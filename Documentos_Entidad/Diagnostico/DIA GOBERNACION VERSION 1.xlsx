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espaldo Informacion\Mercedes M.C\GOBSAN\INFORMES 2022\"/>
    </mc:Choice>
  </mc:AlternateContent>
  <bookViews>
    <workbookView xWindow="0" yWindow="0" windowWidth="20490" windowHeight="8340" activeTab="1"/>
  </bookViews>
  <sheets>
    <sheet name="GLOSARIO" sheetId="1" r:id="rId1"/>
    <sheet name="IDENTIFICACIÓN" sheetId="2" r:id="rId2"/>
    <sheet name="EQUIPO DE TRABAJO" sheetId="3" r:id="rId3"/>
    <sheet name="ASPECTOS ADMINISTRATIVOS" sheetId="5" r:id="rId4"/>
    <sheet name="ASPECTOS DE FUNCIÓN ARCHIVÍSTIC" sheetId="7" r:id="rId5"/>
    <sheet name="ASPECTOS DE PRESERVACIÓN" sheetId="9" r:id="rId6"/>
    <sheet name="Aspectos Archivísticos" sheetId="10" state="hidden" r:id="rId7"/>
    <sheet name="Medición Puntual ML" sheetId="11" state="hidden" r:id="rId8"/>
    <sheet name="Aspectos Conservación" sheetId="12" state="hidden" r:id="rId9"/>
    <sheet name="Aspectos Conservación (5%)" sheetId="13" state="hidden" r:id="rId10"/>
    <sheet name="Apectos Archivísticos (5%)" sheetId="14" state="hidden" r:id="rId11"/>
    <sheet name="Datos" sheetId="15" state="hidden" r:id="rId12"/>
    <sheet name="Gráficas" sheetId="16" state="hidden" r:id="rId13"/>
    <sheet name="Matriz DOFA" sheetId="17" state="hidden" r:id="rId14"/>
    <sheet name="Matriz Mejora y Ruta Acción" sheetId="18" state="hidden" r:id="rId15"/>
  </sheets>
  <definedNames>
    <definedName name="g" localSheetId="6">#REF!</definedName>
    <definedName name="g" localSheetId="8">#REF!</definedName>
    <definedName name="g" localSheetId="7">#REF!</definedName>
    <definedName name="g">#REF!</definedName>
    <definedName name="MEDIANA" localSheetId="6">#REF!</definedName>
    <definedName name="MEDIANA" localSheetId="8">#REF!</definedName>
    <definedName name="MEDIANA" localSheetId="14">#REF!</definedName>
    <definedName name="MEDIANA" localSheetId="7">#REF!</definedName>
    <definedName name="MEDIANA">#REF!</definedName>
    <definedName name="Z_22FD451E_BB62_4A8F_A583_65268F369E9B_.wvu.Rows" localSheetId="6">'Aspectos Archivísticos'!$245:$346</definedName>
    <definedName name="Z_22FD451E_BB62_4A8F_A583_65268F369E9B_.wvu.Rows" localSheetId="8">'Aspectos Conservación'!$134:$135</definedName>
    <definedName name="Z_E0F33300_A76B_4CE9_8DE2_798643301373_.wvu.Rows" localSheetId="6">'Aspectos Archivísticos'!$245:$346</definedName>
    <definedName name="Z_E0F33300_A76B_4CE9_8DE2_798643301373_.wvu.Rows" localSheetId="8">'Aspectos Conservación'!$134:$135</definedName>
  </definedNames>
  <calcPr calcId="162913" concurrentCalc="0"/>
</workbook>
</file>

<file path=xl/calcChain.xml><?xml version="1.0" encoding="utf-8"?>
<calcChain xmlns="http://schemas.openxmlformats.org/spreadsheetml/2006/main">
  <c r="U316" i="11" l="1"/>
  <c r="T316" i="11"/>
  <c r="S316" i="11"/>
  <c r="R316" i="11"/>
  <c r="Q316" i="11"/>
  <c r="P316" i="11"/>
  <c r="O316" i="11"/>
  <c r="N316" i="11"/>
  <c r="M316" i="11"/>
  <c r="L316" i="11"/>
  <c r="K316" i="11"/>
  <c r="J316" i="11"/>
  <c r="I316" i="11"/>
  <c r="H316"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U269" i="11"/>
  <c r="T269" i="11"/>
  <c r="S269" i="11"/>
  <c r="R269" i="11"/>
  <c r="Q269" i="11"/>
  <c r="P269" i="11"/>
  <c r="O269" i="11"/>
  <c r="N269" i="11"/>
  <c r="M269" i="11"/>
  <c r="L269" i="11"/>
  <c r="K269" i="11"/>
  <c r="J269" i="11"/>
  <c r="I269" i="11"/>
  <c r="H269"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11" i="11"/>
  <c r="G14" i="11"/>
  <c r="G17" i="11"/>
  <c r="G18" i="11"/>
  <c r="G19" i="11"/>
  <c r="G32" i="11"/>
  <c r="E7" i="11"/>
  <c r="E8" i="11"/>
  <c r="E9" i="11"/>
  <c r="E10" i="11"/>
  <c r="E11" i="11"/>
  <c r="E12" i="11"/>
  <c r="E14" i="11"/>
  <c r="E16" i="11"/>
  <c r="E17" i="11"/>
  <c r="E18" i="11"/>
  <c r="E19" i="11"/>
  <c r="E20" i="11"/>
  <c r="E22" i="11"/>
  <c r="E23" i="11"/>
  <c r="E24" i="11"/>
  <c r="E25" i="11"/>
  <c r="E26" i="11"/>
  <c r="E27" i="11"/>
  <c r="E28" i="11"/>
  <c r="E29" i="11"/>
  <c r="E32" i="11"/>
</calcChain>
</file>

<file path=xl/comments1.xml><?xml version="1.0" encoding="utf-8"?>
<comments xmlns="http://schemas.openxmlformats.org/spreadsheetml/2006/main">
  <authors>
    <author/>
  </authors>
  <commentList>
    <comment ref="A430" authorId="0" shapeId="0">
      <text>
        <r>
          <rPr>
            <sz val="11"/>
            <rFont val="Calibri"/>
          </rPr>
          <t>DIGITADOR:
Archivo Central</t>
        </r>
      </text>
    </comment>
  </commentList>
</comments>
</file>

<file path=xl/sharedStrings.xml><?xml version="1.0" encoding="utf-8"?>
<sst xmlns="http://schemas.openxmlformats.org/spreadsheetml/2006/main" count="4624" uniqueCount="1621">
  <si>
    <t>PROTOTIPO DE DIAGNÓSTICO INTEGRAL DE ARCHIVOS</t>
  </si>
  <si>
    <t>GLOSARIO</t>
  </si>
  <si>
    <t>CONCEPTO</t>
  </si>
  <si>
    <t>DEFINICIÓN</t>
  </si>
  <si>
    <t>Archivo Central</t>
  </si>
  <si>
    <t xml:space="preserve">Unidad administrativa que coordina y controla el funcionamiento de los archivos de gestión y reúne los documentos transferidos por los mismos una vez finalizado su trámite y cuando su consulta es constante. </t>
  </si>
  <si>
    <t>Archivo de gestión</t>
  </si>
  <si>
    <t xml:space="preserve">Archivo de la oficina productora que reúne su documentación en trámite, sometida a continua utilización y consulta administrativa. </t>
  </si>
  <si>
    <t>Archivo histórico</t>
  </si>
  <si>
    <t xml:space="preserve">Archivo al cual se transfiere del archivo central o del archivo de gestión, la documentación que por decisión del correspondiente Comité de Archivo, debe conservarse permanentemente, dado el valor que adquiere para la investigación, la ciencia y la cultura.
Este tipo de archivo también puede conservar documentos históricos recibidos por donación, depósito voluntario, adquisición o expropiación. </t>
  </si>
  <si>
    <t>Archivo total</t>
  </si>
  <si>
    <t>Concepto que hace referencia al proceso integral de los documentos en su ciclo vital</t>
  </si>
  <si>
    <t>Ciclo vital del documento</t>
  </si>
  <si>
    <t xml:space="preserve">Etapas sucesivas por las que atraviesan los documentos desde su producción o recepción, hasta su disposición final. </t>
  </si>
  <si>
    <t>Conservación de documentos</t>
  </si>
  <si>
    <t xml:space="preserve">Conjunto de medidas preventivas o correctivas adoptadas para asegurar la integridad física y funcional de los documentos de archivo. </t>
  </si>
  <si>
    <t>Conservación preventiva de documentos</t>
  </si>
  <si>
    <t>Conjunto de estrategias y medidas de orden técnico, político y administrativo orientadas a evitar o reducir el riesgo de deterioro de los documentos de archivo, preservando su integridad y estabilidad</t>
  </si>
  <si>
    <t>Depósito de archivo</t>
  </si>
  <si>
    <t xml:space="preserve">Local especialmente equipado y adecuado para el almacenamiento y la conservación de los documentos de archivo. </t>
  </si>
  <si>
    <t>Deterioro</t>
  </si>
  <si>
    <t>Alteración o degradación de las propiedades físicas, químicas y/o mecánicas de un material, causada por envejecimiento natural u otros factores.</t>
  </si>
  <si>
    <t>Diagnóstico  de Archivos</t>
  </si>
  <si>
    <t>Procedimiento de observación, levantamiento de información y  análisis, mediante el cual se establece el estado de los archivos y se determina la aplicación de los procesos archivísticos necesarios</t>
  </si>
  <si>
    <t>Función archivística</t>
  </si>
  <si>
    <t>Actividades relacionadas con la totalidad del quehacer archivístico que comprenden desde la elaboración del documento hasta su eliminación o conservación permanente</t>
  </si>
  <si>
    <t xml:space="preserve">Gestión Documental </t>
  </si>
  <si>
    <t>Conjunto de actividades administrativas y técnicas, tendientes a la planificación, manejo y organización de la documentación producida y recibida por las entidades, desde su origen hasta su destino final con el objeto de facilitar su utilización y conservación.</t>
  </si>
  <si>
    <t>Medición lineal</t>
  </si>
  <si>
    <t>Estimación comparativa de la longitud ocupada por la documentación ubicada de canto o filo</t>
  </si>
  <si>
    <t xml:space="preserve">Muestreo
</t>
  </si>
  <si>
    <t xml:space="preserve">Técnica estadística aplicada en la selección documental, con criterios cuantitativos y cualitativos. </t>
  </si>
  <si>
    <t>Sistema Integrado de Conservación</t>
  </si>
  <si>
    <t>Conjunto de estrategias y procesos de conservación que aseguran el mantenimiento adecuado de los documentos, garantizando su integridad física y funcional en cualquier etapa del ciclo vital.</t>
  </si>
  <si>
    <t>DIAGNÓSTICO INTEGRAL DE ARCHIVOS</t>
  </si>
  <si>
    <t>IDENTIFICACIÓN DE LA ENTIDAD</t>
  </si>
  <si>
    <t>NOMBRE DE LA ENTIDAD</t>
  </si>
  <si>
    <t>NIT</t>
  </si>
  <si>
    <t>890201235-6</t>
  </si>
  <si>
    <t>CIUDAD / MUNICIPIO</t>
  </si>
  <si>
    <t>CATEGORÍA DEL MUNICIPIO</t>
  </si>
  <si>
    <t>1ra. CATEGORIA</t>
  </si>
  <si>
    <t>CARÁCTER DE LA ENTIDAD</t>
  </si>
  <si>
    <t>PUBLICA</t>
  </si>
  <si>
    <t>X</t>
  </si>
  <si>
    <t>PRIVADA</t>
  </si>
  <si>
    <t>PRIVADA CON FUNCIONES PÚBLICAS</t>
  </si>
  <si>
    <t>SECTOR - ORDEN</t>
  </si>
  <si>
    <t>ORDEN TERRITORIAL DEPARTAMENTAL</t>
  </si>
  <si>
    <t>DIRECCIÓN</t>
  </si>
  <si>
    <t>TELÉFONO</t>
  </si>
  <si>
    <t>PAGINA WEB</t>
  </si>
  <si>
    <t>www.santander.gov.co</t>
  </si>
  <si>
    <t>CORREO ELECTRÓNICO INSTITUCIONAL</t>
  </si>
  <si>
    <t>info@santander.gov.co</t>
  </si>
  <si>
    <t>MODELO DE DIAGNÓSTICO INTEGRAL DE ARCHIVOS</t>
  </si>
  <si>
    <t>DEFINICIÓN EQUIPO DE TRABAJO</t>
  </si>
  <si>
    <t>ENTIDAD: GOBERNACION DE SANTANDER</t>
  </si>
  <si>
    <t>FECHA DE ELABORACIÓN:  JUNIO DE 2018</t>
  </si>
  <si>
    <r>
      <rPr>
        <b/>
        <sz val="12"/>
        <color rgb="FF000000"/>
        <rFont val="Calibri"/>
      </rPr>
      <t>Objetivo:</t>
    </r>
    <r>
      <rPr>
        <sz val="12"/>
        <color rgb="FF000000"/>
        <rFont val="Calibri"/>
      </rPr>
      <t xml:space="preserve"> Definir el equipo de trabajo que realizará el Diagnóstico Integral de Archivos. Es importante, que el equipo establecido sea interdisciplinario y se involucren todas las áreas de la entidad.</t>
    </r>
  </si>
  <si>
    <t>No</t>
  </si>
  <si>
    <t>AREA/DEPENDENCIA</t>
  </si>
  <si>
    <t>PERFIL (PROFESION)</t>
  </si>
  <si>
    <t>ROLL (CARGO)</t>
  </si>
  <si>
    <t>RESPONSABILIDAD PRINCIPAL</t>
  </si>
  <si>
    <t>SECRETARIA GENERAL</t>
  </si>
  <si>
    <t>Profesional Directivo</t>
  </si>
  <si>
    <t>Secretario General</t>
  </si>
  <si>
    <t>Responsable del proyecto</t>
  </si>
  <si>
    <t>Ingeniera Industrial- Ciencias de la Información</t>
  </si>
  <si>
    <t>Profesional Universitario - Coordinadora del Grupo Gestión Documental</t>
  </si>
  <si>
    <t>Responsable del Archivo Central</t>
  </si>
  <si>
    <t>Planeación</t>
  </si>
  <si>
    <t>Secretario de Plneación y equipo de trabajo</t>
  </si>
  <si>
    <t>Soporte y apoyo en el desarrollo del proyecto</t>
  </si>
  <si>
    <t>Secretaría de TICS</t>
  </si>
  <si>
    <t>Secretario de TICS y equipo de trabajo</t>
  </si>
  <si>
    <t>Sistemas Integrados de Gestión</t>
  </si>
  <si>
    <t>Director de SIG y equipo de trabajo</t>
  </si>
  <si>
    <t>Control Interno</t>
  </si>
  <si>
    <t>Jefe de Control Interno y equipo de trabajo</t>
  </si>
  <si>
    <t>Jurídica</t>
  </si>
  <si>
    <t>Jefe de Oficina Jurídica y equipo de trabajo</t>
  </si>
  <si>
    <t>ASPECTOS ADMINISTRATIVOS</t>
  </si>
  <si>
    <t>NORMATIVIDAD</t>
  </si>
  <si>
    <t>INSTANCIAS ASESORAS</t>
  </si>
  <si>
    <t>Si</t>
  </si>
  <si>
    <t>Parcial</t>
  </si>
  <si>
    <t>OBSERVACIONES</t>
  </si>
  <si>
    <t>Decreto 1080 de 2015</t>
  </si>
  <si>
    <t>La Entidad ha conformado el Comité Interno de Archivo? Si la respuesta es afirmativa indique el Acto Administrativo y su fecha.</t>
  </si>
  <si>
    <t>La ultima Resolución es la 145 del 17 de enero de 2018</t>
  </si>
  <si>
    <t>Los miembros del Comité Interno de Archivo son los enunciados en el artículo 2.8.2.15 del Decreto 1080 de 2015?</t>
  </si>
  <si>
    <t xml:space="preserve">1. El Secretario General, quien lo presidirá. 
2. El Jefe de la Oficina asesora Jurídica. 
3. El Secretario de Planeación Departamental.
4. El Secretario de las Tecnologías de la información y Comunicaciones.
5. El Director de Sistemas Integrados de Gestión.
6. El Director de Atención al Ciudadano. 
7. El Coordinador del Grupo de Gestión Documental, quien actuará como secretario técnico. 
</t>
  </si>
  <si>
    <t>Las Funciones del Comité Interno de Archivos son las enunciadas en el artículo 2.8.2.16 del Decreto 1080 de 2015?</t>
  </si>
  <si>
    <t>En el territorio (Municipio o Departamento) se ha creado el Archivo General Territorial?</t>
  </si>
  <si>
    <t>Decreto 457 de 1944</t>
  </si>
  <si>
    <t>Están las funciones del Archivo General del Territorio acordes con las disposiciones del artículo 2.8.2.1.6 del Decreto 1080 de 2015?</t>
  </si>
  <si>
    <t>ASPECTOS ORGANIZACIONALES</t>
  </si>
  <si>
    <t>Tiene la Entidad el Organigrama por dependencias actualizado?</t>
  </si>
  <si>
    <t>http://www.santander.gov.co/index.php/gobernacion/informacion-institucional/organigrama</t>
  </si>
  <si>
    <t>Tiene la Entidad un manual de funciones actualizado?</t>
  </si>
  <si>
    <t>Acuerdo 038 de 2002</t>
  </si>
  <si>
    <t>En el Manual de Funciones y de procedimientos se ha regulado el recibo y la entrega de los documentos de archivo por parte de los servidores públicos?</t>
  </si>
  <si>
    <t>La Entidad cuenta con el Mapa de Procesos actualizado?</t>
  </si>
  <si>
    <t>http://www.santander.gov.co/images/institucional/mapa_procesos_sig.jpg</t>
  </si>
  <si>
    <t>Ha desarrollado la Entidad un Normograma de acuerdo a su contexto legal?</t>
  </si>
  <si>
    <t>La entidad ha sufrido reestructuraciones, cuántas y cuándo fue la última?</t>
  </si>
  <si>
    <t>La entidad ha tenido cambios en la estructura orgánico-funcional de la entidad?</t>
  </si>
  <si>
    <t>Existen actos administrativos u otras normas que indiquen la creación de dependencias  o grupos con la respectiva asignación de funciones?</t>
  </si>
  <si>
    <t xml:space="preserve">Indique el Acto Administrativo de creación de la Entidad. </t>
  </si>
  <si>
    <t>Indique el número de dependencias de la Entidad</t>
  </si>
  <si>
    <t>Se ha designado a una dependencia específica la función archivística de la Entidad o se ha creado la dependencia, sección o grupo de archivo? Indique acto administrativo</t>
  </si>
  <si>
    <t>La Entidad ha formulado una política de gestión Documental?</t>
  </si>
  <si>
    <t>Acuerdo 05 de 2013</t>
  </si>
  <si>
    <t>La Entidad ha conformado el Archivo Central Institucional?</t>
  </si>
  <si>
    <t>Acuerdo 04 de 2015</t>
  </si>
  <si>
    <t>Tiene la Entidad funciones relacionadas con la garantía, protección y salvaguardia de los Derechos Humanos y el Derecho Internacional Humanitario?</t>
  </si>
  <si>
    <t>La Entidad ha creado el Archivo Histórico?</t>
  </si>
  <si>
    <t>ASPECTOS DE FINANCIACIÓN</t>
  </si>
  <si>
    <t>Cuál fue el presupuesto designado a las funciones de archivo durante la vigencia?</t>
  </si>
  <si>
    <t>$100516236  (Ampliación del archivo y Consultoria en gestión documental).</t>
  </si>
  <si>
    <t>Cuánto presupuesto ha sido asignado como gastos de funcionamiento del archivo? Describa en qué se ha invertido.</t>
  </si>
  <si>
    <t>Nómina 2 Funcionarios.  Insumos como carpetas, cajas, ganchos y elementos de protección personal.</t>
  </si>
  <si>
    <t>Cuánto presupuesto ha sido asignado en gastos de inversión para el archivo? Describa en que ha sido invertido.</t>
  </si>
  <si>
    <t>N.A.</t>
  </si>
  <si>
    <t>En vigencias anteriores se han contratado o ejecutado proyectos para el funcionamiento del archivo o en sistemas de información?</t>
  </si>
  <si>
    <t>Año 2012  Software SGD 1.5 - Año 2014, 2015 y 2016 Contratación con GSD, para  Capacitación y Elaboración de instrumentos archivísticos.  Organización física de contratos años 2014 y 2015</t>
  </si>
  <si>
    <t>Ha sido suficiente el presupuesto asignado al área de archivo durante la vigencia para cumplir con el PINAR o el PGD? Explique</t>
  </si>
  <si>
    <t>Se han elaborado los instrumentos archivísicos:  CCD, TRD, PINAR, PGD, INVENTARIOS E INSTRUMENTOS DE GESTION DE LA INFORMACION</t>
  </si>
  <si>
    <t>ASPECTOS DE FORMACIÓN Y CAPACITACIÓN</t>
  </si>
  <si>
    <t>Ley 594 de 2000</t>
  </si>
  <si>
    <t>Los funcionarios encargados de los archivos han sido capacitados en programas o áreas de su labor?</t>
  </si>
  <si>
    <t>Capacitación con el AGN:  Participación el o s seminarios del SNA  desde el año 2008, Curso básico y avanzado de archivos, elaboración de TRD, elaboración de PGD.  Capacitaciones  todas las dependencias por parte del archivo central</t>
  </si>
  <si>
    <t>Los servidores públicos han sido capacitados en temas relacionados al manejo y organización de los archivos?</t>
  </si>
  <si>
    <t>Los servidores públicos reciben o entregan los documentos o archivos inventariados?</t>
  </si>
  <si>
    <t>Parcialmente</t>
  </si>
  <si>
    <t>Acuerdo 050 de 2000</t>
  </si>
  <si>
    <t>Los servidores públicos han sido capacitados y entrenados para la atención de emergencias?</t>
  </si>
  <si>
    <t>La Gobernación tiene conformada las brigadas de emergencia y en el área de SST se encuentran las evidencias</t>
  </si>
  <si>
    <t>Acuerdo 060 de 2001</t>
  </si>
  <si>
    <t>La Unidad de Correspondencia cuenta con el personal suficiente y capacitado para recibir, enviar y controlar oportunamente el trámite de las comunicaciones de carácter oficial?</t>
  </si>
  <si>
    <t>En la Dirección de atención al Ciudadadno se vinculada la ventanilla unica y se maneja el software FOREST</t>
  </si>
  <si>
    <t>ASPECTOS DE LA FUNCIÓN ARCHIVÍSTICA</t>
  </si>
  <si>
    <t>INSTRUMENTOS ARCHIVÍSTICOS</t>
  </si>
  <si>
    <t>La Entidad ha elaborado el Cuadro de Clasificación Documental</t>
  </si>
  <si>
    <t>Acuerdo 04 de 2013</t>
  </si>
  <si>
    <t>La Entidad ha elaborado las Tablas de Retención Documental?</t>
  </si>
  <si>
    <t>Las Tablas de Retención Documental fueron aprobadas por la instancia competente? Indique acto administrativo</t>
  </si>
  <si>
    <t>Resolución 142 del 8 de enero de 2014
Resolución No. 24932 del 31 de diciembre de 2015</t>
  </si>
  <si>
    <t>Las Tablas de Retención Documental fueron convalidadas por la instancia competente? Indique acto administrativo</t>
  </si>
  <si>
    <t>Resolución de Aprobación No. 085 del 23 de abril del 2009 del AGN</t>
  </si>
  <si>
    <t>Las Tablas de Retención Documental fueron implementadas por la instancia competente? Indique acto administrativo</t>
  </si>
  <si>
    <t>Falta acto administrativo</t>
  </si>
  <si>
    <t>Las Tablas de Retención Documental fueron publicadas en la página web de la Entidad?</t>
  </si>
  <si>
    <t>http://www.santander.gov.co/index.php/gobernacion/documentacion/category/23-tablas-de-retencin-documental</t>
  </si>
  <si>
    <t>Han sido actualizadas las Tablas de Retención Documental? Indique el motivo y la fecha</t>
  </si>
  <si>
    <t>Modificación de la estructura orgánica desde el 2013</t>
  </si>
  <si>
    <t>La Entidad ha elaborado el Programa de Gestión Documental?</t>
  </si>
  <si>
    <t>El Programa de Gestión Documental fue  aprobado por la instancia competente? Indique acto administrativo</t>
  </si>
  <si>
    <t>Se encuentra en construcción</t>
  </si>
  <si>
    <t>Se ha realizado la implementación del Programa de Gestión Documental?</t>
  </si>
  <si>
    <t>Se ha realizado el seguimiento al Programa de Gestión Documental?</t>
  </si>
  <si>
    <t>Se ha publicado el Programa de Gestión Documental en la página web de la Entidad?</t>
  </si>
  <si>
    <t>http://www.santander.gov.co/index.php/atencion-al-ciudadano/transparencia-y-acceso-a-la-informacion-publica</t>
  </si>
  <si>
    <t>La Entidad ha elaborado el Plan Institucional de Archivos?</t>
  </si>
  <si>
    <t>Resolución # 17961 del 2 de septiembre de 2015</t>
  </si>
  <si>
    <t>La Entidad ha elaborado las Tablas de Valoración Documental?</t>
  </si>
  <si>
    <t>Las Tablas de Valoración Documental fueron aprobadas por la instancia competente? Indique acto administrativo</t>
  </si>
  <si>
    <t>Las Tablas de Valoración Documental fueron convalidadas por la instancia competente? Indique acto administrativo</t>
  </si>
  <si>
    <t>Las Tablas de Valoración Documental fueron implementadas por la instancia competente? Indique acto administrativo</t>
  </si>
  <si>
    <t>Ha implementado la Entidad la elaboración de los inventarios documentales en los archivos de gestión?</t>
  </si>
  <si>
    <t>x</t>
  </si>
  <si>
    <t>Ha elaborado la Entidad el Modelo de Requisitos para la gestión de documentos electrónicos?</t>
  </si>
  <si>
    <t>Ha elaborado la Entidad el banco terminológico de tipos, series y subseries  documentales?</t>
  </si>
  <si>
    <t>Ha desarrollado la Entidad los mapas de procesos, flujos documentales,  y la descripción de funciones de las unidades administrativas?</t>
  </si>
  <si>
    <t>Ha desarrollado la Entidad las Tablas de Control de Acceso para el establecimiento de categorías adecuadas de derechos y restricciones de acceso y seguridad aplicables a los documentos?</t>
  </si>
  <si>
    <t>Acuerdo 06 de 2014</t>
  </si>
  <si>
    <t>Ha elaborado la Entidad el Sistema Integrado de Conservación?</t>
  </si>
  <si>
    <t>El Comité Interno de Archivo emitió concepto para la aprobación del Sistema Integrado de Conservación?</t>
  </si>
  <si>
    <t>Fue aprobado el Sistema Integrado de Conservación mediante acto administrativo?</t>
  </si>
  <si>
    <t>ORGANIZACIÓN Y DESCRIPCIÓN</t>
  </si>
  <si>
    <t>Acuerdo 02 de 2014</t>
  </si>
  <si>
    <t>Se están conformando los expedientes de acuerdo a los Cuadros de Clasificación adoptados por la Entidad?</t>
  </si>
  <si>
    <t>Los expedientes son identificados de acuerdo al sistema de descripción adoptado por la Entidad?</t>
  </si>
  <si>
    <t>Acuerdo 42 de 2002</t>
  </si>
  <si>
    <t>Las carpetas reflejan las series y subseries documentales correspondientes a la Unidad administrativa?</t>
  </si>
  <si>
    <t>Se ha implementado la Hoja de Control de documentos al interior del expediente?</t>
  </si>
  <si>
    <t>La Entidad ha desarrollado un programa de descripción documental?</t>
  </si>
  <si>
    <t>La Entidad ha elaborado instrumentos de descripción?</t>
  </si>
  <si>
    <t>Hoja de control y FUID</t>
  </si>
  <si>
    <t>Se realiza la foliación de los expedientes en su etapa de gestión?</t>
  </si>
  <si>
    <t>La Entidad ha adoptado el Formato Único de Inventario Documental?</t>
  </si>
  <si>
    <t>Se realiza y mantiene actualizado el inventario de los expedientes en los archivos de gestión?</t>
  </si>
  <si>
    <t>Acuerdo 11 de 1996</t>
  </si>
  <si>
    <t>El material gráfico (dibujos, croquis, mapas, planos, fotografías, ilustraciones, prensa, entre otros) es extraído y se deja en su lugar un testigo?</t>
  </si>
  <si>
    <t>El material gráfico es almacenado en la sección del archivo dispuesta para conservar distintos formatos?</t>
  </si>
  <si>
    <t>Acuerdo 042 de 2002</t>
  </si>
  <si>
    <t>Se realiza préstamo de documentos para trámites internos?</t>
  </si>
  <si>
    <t>Las dependencias realizan registro de los préstamos y solicitan su devolución?</t>
  </si>
  <si>
    <t>La Entidad realiza o ha realizado procesos de digitalización de los expedientes? Explique el motivo</t>
  </si>
  <si>
    <t>Para consulta se han digitalizado actos administrativos, contratos, historias laborales</t>
  </si>
  <si>
    <t>Se han realizado las transferencias primarias?</t>
  </si>
  <si>
    <t>Las cajas usadas para la transferencia primaria se encuentran identificadas?</t>
  </si>
  <si>
    <t>Se ha establecido un procedimiento para la Eliminación de documentos?</t>
  </si>
  <si>
    <t>El procedimiento para eliminación de documentos está acorde con lo dispuesto en el Acuerdo 04 de 2013?</t>
  </si>
  <si>
    <t>Acuerdo 02 de 2004</t>
  </si>
  <si>
    <t>Tiene la entidad documentos dispuestos sin ningún criterio de organización archivística (Fondos Acumulados)?</t>
  </si>
  <si>
    <t>Acuerdo 07 de 2015</t>
  </si>
  <si>
    <t>Se han perdido parcial o totalmente uno más expedientes en la Entidad?</t>
  </si>
  <si>
    <t>Circular 04 de 2003</t>
  </si>
  <si>
    <t>Las Historias Laborales son organizadas de acuerdo a lo dispuesto en la Circular 04 de 2003?</t>
  </si>
  <si>
    <t>En los archivos de gestión se utilizan unidades como AZ o carpetas argolladas?</t>
  </si>
  <si>
    <t>COMUNICACIONES OFICIALES</t>
  </si>
  <si>
    <t>La Entidad ha creado o conformado la Unidad de Correspondencia? Indique acto administrativo</t>
  </si>
  <si>
    <t>La Entidad ha adoptado una política respecto las firmas responsables?</t>
  </si>
  <si>
    <t>Describa el procedimiento de radicación de documentos</t>
  </si>
  <si>
    <t>La entidad lo realiza por medio del software FOREST</t>
  </si>
  <si>
    <t>Describa el procedimiento para la numeración de actos administrativos e indique la dependencia responsable.</t>
  </si>
  <si>
    <t>El consecutivo es anual y responsable el despacho del Gobernador</t>
  </si>
  <si>
    <t>Se han desarrollado e implementado planillas, formatos o controles para certificar la recepción de los documentos a nivel interno?</t>
  </si>
  <si>
    <t>Se han dispuesto servicios de alerta para el seguimiento de tiempos de respuesta?</t>
  </si>
  <si>
    <t>La entidad ha publicado el horario de atención al público de la unidad de correspondencia?</t>
  </si>
  <si>
    <t>ASPECTOS DE PRESERVACIÓN A LARGO PLAZO</t>
  </si>
  <si>
    <t>CONDICIONES DE EDIFICIOS Y LOCALES DESTINADOS A ARCHIVOS</t>
  </si>
  <si>
    <t>Acuerdo 049 de 2000</t>
  </si>
  <si>
    <t>Indique el número total de depósitos de archivo</t>
  </si>
  <si>
    <t>tres (3)</t>
  </si>
  <si>
    <t>El terreno se presenta sin riesgos de Humedad subterránea o problemas de inundación y ofrece estabilidad?</t>
  </si>
  <si>
    <t>El terreno se encuentra situado lejos de industrias contaminantes o que presenten riesgos de un posible peligro por atentados u objetivos bélicos?</t>
  </si>
  <si>
    <t>El espacio ofrece suficiente espacio para albergar la documentación acumulada y su natural incremento?</t>
  </si>
  <si>
    <t>Los depósitos presentan el espacio suficiente para albergar la documentación y su natural incremento.</t>
  </si>
  <si>
    <t>Los pisos, muros, techos y puertas están construidos con materiales resistentes?</t>
  </si>
  <si>
    <t>Las pinturas empleadas presentan propiedades ignífugas?</t>
  </si>
  <si>
    <t>La resistencia de las placas es igual o mayor a 1200 Kg/m2</t>
  </si>
  <si>
    <t>El depósito fue diseñado y dimensionado teniendo en cuenta la manipulación, transporte y seguridad de los documentos?</t>
  </si>
  <si>
    <t>Fue adecuado el depósito climáticamente?</t>
  </si>
  <si>
    <t>Las áreas destinadas a custodia cuentan con elementos de control y aislamiento?</t>
  </si>
  <si>
    <t>Las zonas técnicas o de trabajo archivístico, consulta, limpieza, entre otras actividades se encuentran fuera del área de almacenamiento?</t>
  </si>
  <si>
    <t>La estantería está diseñada para almacenar las unidades de conservación usadas por la Entidad?</t>
  </si>
  <si>
    <t>La estantería está elaborada en láminas metálicas, tratadas con tratamiento anticorrosivo y pintura horneada?</t>
  </si>
  <si>
    <t>Las bandejas soportan al menos 100 Kg?</t>
  </si>
  <si>
    <t>Se encuentran los parales de la estantería fijados al piso?</t>
  </si>
  <si>
    <t>La balda inferior se encuentra al menos a 10 cm del piso?</t>
  </si>
  <si>
    <t>Los acabados del mobiliario son redondeados?</t>
  </si>
  <si>
    <t>Se encuentra la estantería recostada sobre los muros?</t>
  </si>
  <si>
    <t>Tiene la estantería un sistema de identificación visual?</t>
  </si>
  <si>
    <t>Presentan oxidación los elementos de la estantería?</t>
  </si>
  <si>
    <t>Las bandejas o parales de la estantería se encuentran deformados?</t>
  </si>
  <si>
    <t>La Entidad usa planotecas?</t>
  </si>
  <si>
    <t>Se encuentran las planotecas en buen estado?</t>
  </si>
  <si>
    <t>Se realiza mantenimiento periódico a los sistemas de rodaje de las bandejas de las planotecas?</t>
  </si>
  <si>
    <t>UNIDADES DE CONSERVACIÓN</t>
  </si>
  <si>
    <t>Las unidades de conservación están elaboradas en cartón neutro?</t>
  </si>
  <si>
    <t>Las unidades de conservación presentan un recubrimiento interno?</t>
  </si>
  <si>
    <t>Las Unidades de conservación presentan orificios?</t>
  </si>
  <si>
    <t>Las carpetas ofrecen protección a los documentos?</t>
  </si>
  <si>
    <t>Es necesario perforar los documentos?</t>
  </si>
  <si>
    <t>Se desgastan o se deforman fácilmente las unidades de conservación como cajas y carpetas?</t>
  </si>
  <si>
    <t>Los diseños y tamaños son acordes al tipo de documentación que se almacena en ellas?</t>
  </si>
  <si>
    <t>CONDICIONES AMIENTALES</t>
  </si>
  <si>
    <t>Se han realizado mediciones de condiciones ambientales en los depósitos de archivo?</t>
  </si>
  <si>
    <t>Se han instalado materiales o equipos de modificación de condiciones ambientales en los depósitos de archivo?</t>
  </si>
  <si>
    <t>Las ventanas, puertas o celosías permiten el intercambio de aire?</t>
  </si>
  <si>
    <t>Estos vanos están acondicionados con filtros que impidan la entrada de partículas o contaminantes al depósito de archivo?</t>
  </si>
  <si>
    <t>Se utilizan luminarias fluorescentes de baja intensidad?</t>
  </si>
  <si>
    <t>Tiene ventanas que permiten la entrada de luz solar al depósito de archivo?</t>
  </si>
  <si>
    <t>MANTENIMIENTO</t>
  </si>
  <si>
    <t>Se realiza la limpieza de las instalaciones? Indique cada cuanto y describa el cómo y los materiales que se utilizan.</t>
  </si>
  <si>
    <t>Limpieza de pisos.  Una vez a la semana.  La actividad consiste en barrido</t>
  </si>
  <si>
    <t>Se realiza la limpieza de la estantería? Indique cada cuanto y describa el cómo y los materiales que se utilizan.</t>
  </si>
  <si>
    <t>Se realiza la limpieza de las unidades de conservación? Indique cada cuanto y describa el cómo y los materiales que se utilizan.</t>
  </si>
  <si>
    <t>SEGURIDAD Y EMERGENCIAS</t>
  </si>
  <si>
    <t>Ha dispuesto la Entidad extintores en el área de archivo?</t>
  </si>
  <si>
    <t xml:space="preserve">Los extintores son de agentes limpios? </t>
  </si>
  <si>
    <t>Los extintores son recargados anualmente?</t>
  </si>
  <si>
    <t>Se han instalado sistemas de alarma contra intrusiones?</t>
  </si>
  <si>
    <t>Se han instalado sistemas de alarma para la detección de incendios?</t>
  </si>
  <si>
    <t>Se han instalado sistemas de alarma para la detección de inundaciones?</t>
  </si>
  <si>
    <t>Se ha proveído la señalización para la identificación de los equipos de atención de desastres y rutas de evacuación?</t>
  </si>
  <si>
    <t>Se ha elaborado un Plan de prevención de desastres y situaciones de riesgo?</t>
  </si>
  <si>
    <t>Se ha realizado el levantamiento y valoración del panorama  de riesgo en la Entidad?</t>
  </si>
  <si>
    <t>FICHA DE DIAGNÓSTICO DE ARCHIVOS - ASPECTOS ARCHIVÍSTICOS</t>
  </si>
  <si>
    <t>INFORMACIÓN GENERAL</t>
  </si>
  <si>
    <t xml:space="preserve">Entidad: </t>
  </si>
  <si>
    <t>GOBERNACION DE SANTANDER</t>
  </si>
  <si>
    <t xml:space="preserve">Dirección: </t>
  </si>
  <si>
    <t>CALLE 37 No. 10 - 30 Bucaramanga</t>
  </si>
  <si>
    <t xml:space="preserve">Teléfono: </t>
  </si>
  <si>
    <t>(+076) 6339666</t>
  </si>
  <si>
    <t>ADMINISTRACIÓN DEL ARCHIVO</t>
  </si>
  <si>
    <r>
      <rPr>
        <b/>
        <sz val="10"/>
        <color rgb="FF000000"/>
        <rFont val="Arial"/>
      </rPr>
      <t xml:space="preserve">PROGRAMA DE GESTIÓN DOCUMENTAL
</t>
    </r>
    <r>
      <rPr>
        <sz val="10"/>
        <color rgb="FF000000"/>
        <rFont val="Arial"/>
      </rPr>
      <t xml:space="preserve">(Desde el Ítem 1 al 4, se aplica a la Unidad de Correspondencia, o quien haga sus veces, y/o a la oficina de Gestión Documental, o quien haga sus veces). </t>
    </r>
  </si>
  <si>
    <t>A. PLANEACIÓN</t>
  </si>
  <si>
    <t>Nº</t>
  </si>
  <si>
    <t xml:space="preserve">ÍTEM </t>
  </si>
  <si>
    <t>1.</t>
  </si>
  <si>
    <t>PLANEACIÓN</t>
  </si>
  <si>
    <t>1.1</t>
  </si>
  <si>
    <t>Señale qué actividades ha desarrollado la Entidad frente a la Política de Gestión Documental (DIRECTOR - ÁREA ADMINISTRATIVA)</t>
  </si>
  <si>
    <t>RTA.</t>
  </si>
  <si>
    <t>SI</t>
  </si>
  <si>
    <t>NO</t>
  </si>
  <si>
    <t>a. Elaboración</t>
  </si>
  <si>
    <t>b. Difusión</t>
  </si>
  <si>
    <t>c. Publicación (en Institución y sitio web)</t>
  </si>
  <si>
    <t>d. Actualización</t>
  </si>
  <si>
    <t>e. Ninguna</t>
  </si>
  <si>
    <t>Observaciones</t>
  </si>
  <si>
    <t xml:space="preserve">tablas de retención documentan tal aprobada por concejo municipal </t>
  </si>
  <si>
    <t>1.2</t>
  </si>
  <si>
    <t>Indique el presupuesto asignado de gastos de funcionamiento de Gestión Documental en la vigencia</t>
  </si>
  <si>
    <t>1.3</t>
  </si>
  <si>
    <t>Indique el presupuesto asignado de gastos de inversión de Gestión Documental en la vigencia</t>
  </si>
  <si>
    <t>Diagnóstico Integral de Archivos, Actualización de TRD, Asesoria en implementación TRD Archivos de Gestión,  Asistencia técnica, Capacitación y Fumigación.</t>
  </si>
  <si>
    <t>1.4</t>
  </si>
  <si>
    <t>En cuál de los siguientes temas ha asignado presupuesto y en cuales requiere asignarlo?</t>
  </si>
  <si>
    <t>ASIGNADO</t>
  </si>
  <si>
    <t>REQUERIDO</t>
  </si>
  <si>
    <t>Gestión de correspondencia</t>
  </si>
  <si>
    <t>Organización de Expedientes</t>
  </si>
  <si>
    <t>Organización de fondos documentales acumulados</t>
  </si>
  <si>
    <t>Elaboración del cuadro de clasificación y tablas de retención documental</t>
  </si>
  <si>
    <t>AÑO 2014 Elaboración de TRD.  AÑOS 2016 Y 2017 Actualización de TRD</t>
  </si>
  <si>
    <t>Aplicación de tablas retención documental</t>
  </si>
  <si>
    <t>AÑO 2016 y 2017.  Contratos de capacitación y asesoria en la implentación de TRD Archivos de Gestión.</t>
  </si>
  <si>
    <t>Actualización del cuadro de clasificación documental y tablas retención documental</t>
  </si>
  <si>
    <t>AÑOS 2016 Y 2017 Actualización de TRD</t>
  </si>
  <si>
    <t>Elaboración del programa de gestión documental - PGD</t>
  </si>
  <si>
    <t xml:space="preserve">AÑO 2015, Elaboración de PGD. </t>
  </si>
  <si>
    <t>Actualización del programa de gestión documental - PGD</t>
  </si>
  <si>
    <t>Se requiere actualización e implementación</t>
  </si>
  <si>
    <t>Digitalización de documentos de archivo</t>
  </si>
  <si>
    <t>Se requiere iniciar la digitalización, especialmente la serie contratos.</t>
  </si>
  <si>
    <t>Implementación de la herramienta tecnológica para la gestión documental</t>
  </si>
  <si>
    <t>Almacenamiento y custodia</t>
  </si>
  <si>
    <t>AÑO 2017.  Ampliación de las instalaciones del archivo central</t>
  </si>
  <si>
    <t>Alquiler de espacios y depósitos</t>
  </si>
  <si>
    <t>Estantería y Mobiliario de Archivo</t>
  </si>
  <si>
    <t>AÑO 2017.  Compra de 40 estantes.</t>
  </si>
  <si>
    <t>Capacitación</t>
  </si>
  <si>
    <t>AÑOS 2014, 2015, 2016 y 2017 se ha capacitado a los funcionaciones en temas de gestión documental.  Funcionaria de archivo se ha capacitado con el AGN 2016 y 2017.</t>
  </si>
  <si>
    <t>Otro1, Fumigación Archivo Central</t>
  </si>
  <si>
    <t>AÑO 2017 Fumigación y desinfección de las áreas del archivo central.</t>
  </si>
  <si>
    <t>Otro2, ¿Cuál?</t>
  </si>
  <si>
    <t>Otro3, ¿Cuál?</t>
  </si>
  <si>
    <t>1.5</t>
  </si>
  <si>
    <t>¿Conoce los instrumentos archivísticos que debe implementar la entidad?</t>
  </si>
  <si>
    <t>1.6</t>
  </si>
  <si>
    <t xml:space="preserve">¿Cuál de los siguientes instrumentos archivísticos conoce? </t>
  </si>
  <si>
    <t>ELABORADO</t>
  </si>
  <si>
    <t>IMPLEMENTADO</t>
  </si>
  <si>
    <t>DIVULGADO</t>
  </si>
  <si>
    <t>Cuadros de Clasificación Documental</t>
  </si>
  <si>
    <t>Tablas de Retención Documental</t>
  </si>
  <si>
    <t>Programa de Gestión Documental</t>
  </si>
  <si>
    <t>Inventario Documental</t>
  </si>
  <si>
    <t>Modelo de requisitos para la gestión de documentos electrónicos</t>
  </si>
  <si>
    <t>Bancos Terminológicos</t>
  </si>
  <si>
    <t>Mapas de procesos de la Entidad</t>
  </si>
  <si>
    <t>Flujos documentales</t>
  </si>
  <si>
    <t>Descripción de funciones de las unidades administrativas de la entidad</t>
  </si>
  <si>
    <t>Tablas de Control de Acceso para el establecimiento de categorías adecuadas de derechos y restricciones de acceso y seguridad aplicables a los documentos</t>
  </si>
  <si>
    <t>No se ha elaborado ningún instrumento</t>
  </si>
  <si>
    <t>1.7</t>
  </si>
  <si>
    <t>Señale si la entidad ha contemplado políticas para el manejo de la información y como se implementan</t>
  </si>
  <si>
    <t>Documentos de archivo (físicos y electrónicos)</t>
  </si>
  <si>
    <t>Descrito en la política de gestión documental.</t>
  </si>
  <si>
    <t>Archivos institucionales (físicos y electrónicos)</t>
  </si>
  <si>
    <t>Conservación documental</t>
  </si>
  <si>
    <t>Preservación a largo plazo</t>
  </si>
  <si>
    <t>Sistemas de información corporativos</t>
  </si>
  <si>
    <t>Sistemas de trabajo colaborativo</t>
  </si>
  <si>
    <t>Sistemas de administración de documentos</t>
  </si>
  <si>
    <t>Sistemas de mensajería electrónica</t>
  </si>
  <si>
    <t>Portales, intranet y extranet</t>
  </si>
  <si>
    <t>Sistemas de bases de datos</t>
  </si>
  <si>
    <t>Discos duros, servidores, discos o medios portables, cintas o medios de video o audio (análogo o digital), etc.</t>
  </si>
  <si>
    <t>La entidad cuenta con un cuarto frio para la conservación del sistema de almacenamiento.</t>
  </si>
  <si>
    <t>Cintas y medios de soporte (backup o contingencia)</t>
  </si>
  <si>
    <t>Uso de tecnologías en la nube (Paquetes ofimáticos, almacenamiento, email, etc.)</t>
  </si>
  <si>
    <t>Otro1, ¿Cuál?</t>
  </si>
  <si>
    <t>1.8</t>
  </si>
  <si>
    <t>¿La entidad cuenta con un equipo interdisciplinario para la aplicación del Programa de Gestión Documental?</t>
  </si>
  <si>
    <t>COMITÉ INTERNO DE ARCHIVO</t>
  </si>
  <si>
    <t>B.</t>
  </si>
  <si>
    <t>PRODUCCIÓN DE DOCUMENTOS</t>
  </si>
  <si>
    <t>GESTIÓN DE CALIDAD</t>
  </si>
  <si>
    <t>2.1</t>
  </si>
  <si>
    <t>¿Cuenta la entidad con un Sistema de Gestión de Calidad?</t>
  </si>
  <si>
    <t>2.2</t>
  </si>
  <si>
    <t>¿Manejan formatos estandarizados para los documentos que se producen tales como oficios, memorandos, informes, actas?</t>
  </si>
  <si>
    <t>CUENTAN CON ELLOS PERO NO SE APLICAN NORMALIZADAMENTE EN LA ENTIDAD</t>
  </si>
  <si>
    <t>2.3</t>
  </si>
  <si>
    <t>¿Manejan formatos estandarizados para la gestión documental de la entidad, tales como el Formato de Inventario Documental, Planillas de Control de Préstamos, hojas de control, entre otros?</t>
  </si>
  <si>
    <t>2.4</t>
  </si>
  <si>
    <t>¿La entidad refleja Imagen corporativa en la producción de sus documentos ? (Acuerdo 060 de 2001 artículo 14)</t>
  </si>
  <si>
    <t>2.5</t>
  </si>
  <si>
    <t>¿Existe un acto administrativo para el control de firmas autorizadas?</t>
  </si>
  <si>
    <t>2.6</t>
  </si>
  <si>
    <t>¿La entidad cuenta con registro de firmas digitales? ¿Qué perfiles están autorizados?</t>
  </si>
  <si>
    <t>DIRECTOR Y CONTADORA</t>
  </si>
  <si>
    <t>PARA DECLARACIONES A LA DIAN</t>
  </si>
  <si>
    <t>2.7</t>
  </si>
  <si>
    <t>¿Se realiza una adecuada separación de los materiales de archivo generados, en recipientes diseñados para tal fin? (papel, cajas, carpetas, ganchos metálicos, clips, esferos) (PIGA)</t>
  </si>
  <si>
    <t>2.8</t>
  </si>
  <si>
    <t>¿Cuentan con un centro de acopio para los materiales de archivo reciclados? (PIGA)</t>
  </si>
  <si>
    <t>2.9</t>
  </si>
  <si>
    <t>¿Se tienen criterios ambientales para la compra y adquisición de materiales de archivo? (PIGA)</t>
  </si>
  <si>
    <t>2.10</t>
  </si>
  <si>
    <t>¿Se realiza seguimiento y control a las condiciones ambientales de cada oficina? ¿Cómo? (PIGA)</t>
  </si>
  <si>
    <t>2.11</t>
  </si>
  <si>
    <t>¿Cuenta la entidad con Procesos y Procedimientos estandarizados para ejecutar su Misión? (MECI)</t>
  </si>
  <si>
    <t>2.12</t>
  </si>
  <si>
    <t>¿Identifica claramente su proceso e interacciones? (MECI)</t>
  </si>
  <si>
    <t>2.13</t>
  </si>
  <si>
    <t>Para la implementación y actualización de las TRD, ¿Se tuvieron en cuenta los procesos y procedimientos de cada una de las dependencias? (MECI)</t>
  </si>
  <si>
    <t>2.14</t>
  </si>
  <si>
    <t>¿Existen procedimientos para el control de los documentos que se generan en cada una de las áreas o dependencias? (MECI)</t>
  </si>
  <si>
    <t>Descritos en el Programa de Gestión Documental de Entidad</t>
  </si>
  <si>
    <t>2.15</t>
  </si>
  <si>
    <t>¿Existe un procedimiento establecido para la recepción, distribución, seguimiento y respuesta a las Peticiones, Quejas, Reclamos y Sugerencias? (MECI)</t>
  </si>
  <si>
    <t xml:space="preserve">PROCESO ATENCIÓN AL CIUDADANO.  PROCEDIMIENTO PQRSF </t>
  </si>
  <si>
    <t>RECEPCIÓN DE DOCUMENTACIÓN (correspondencia)</t>
  </si>
  <si>
    <t>3.1</t>
  </si>
  <si>
    <t>¿Cuenta la Unidad con Ventanilla Única de Correspondencia (Decreto 2150 de 1995 Artículo 32)?</t>
  </si>
  <si>
    <t>Resolución 253 de 2014 de la Empresa Piedecuestana de Servicios Públicos.  Por medio de la cual se establecen las normas generales para el manejo de las comunicaciones y se crea la ventanilla única de correspondencia</t>
  </si>
  <si>
    <t>3.2</t>
  </si>
  <si>
    <t>¿Cuentan  con software  para la recepción y radicación de documentos? ¿Cuál?</t>
  </si>
  <si>
    <t>ARCOSIS</t>
  </si>
  <si>
    <t>3.3</t>
  </si>
  <si>
    <t>¿Aplica el procedimiento para la radicación de comunicaciones oficiales?</t>
  </si>
  <si>
    <t>Recibidas</t>
  </si>
  <si>
    <t>Enviadas</t>
  </si>
  <si>
    <t>Internas (Memorandos)</t>
  </si>
  <si>
    <t>3.4</t>
  </si>
  <si>
    <t>¿Existe un horario establecido para la radicación de la correspondencia? ¿Tiempos de respuesta?</t>
  </si>
  <si>
    <t>TODO EL DÍA SE RECIBE, DENTRO DE LA JORNADA LABORAL</t>
  </si>
  <si>
    <t>de 7:30 a 11:30 y de 1:30 a 5:30</t>
  </si>
  <si>
    <t>3.5</t>
  </si>
  <si>
    <t>¿Por qué medios recepciona las comunicaciones oficiales?</t>
  </si>
  <si>
    <t>Planillas</t>
  </si>
  <si>
    <t>Personal. ¿Tienen planillas de control y radicación de comunicaciones oficiales?</t>
  </si>
  <si>
    <t>Correo postal. ¿Tienen planillas de control y radicación de comunicaciones oficiales?</t>
  </si>
  <si>
    <t>SI.  LAS IMPRIMEN POR EL SOFTWARE DE 472</t>
  </si>
  <si>
    <t>Fax. ¿Tienen planillas de control y radicación de comunicaciones oficiales?</t>
  </si>
  <si>
    <t>Correo Electrónico. ¿Tienen planillas de control y radicación de comunicaciones oficiales?</t>
  </si>
  <si>
    <t>LLEGA DIRECTAMENTE A CADA FUNCIONARIO Y NO HAY PLANILLA</t>
  </si>
  <si>
    <t>Trámite en Línea. ¿Tienen planillas de control y radicación de comunicaciones oficiales?</t>
  </si>
  <si>
    <t>Página Web. ¿Tienen planillas de control y radicación de comunicaciones oficiales?</t>
  </si>
  <si>
    <t>LOS DIRECCIONAN DE SISTEMAS, ELLOS SON QUIENES MANEJAN LOS TRAMITES POR WEB, IGUALMENTE LOS DIRECCIONAN A CORRESPONDENCIA Y ALLÍ SE RADICAN</t>
  </si>
  <si>
    <t>Otros ¿Cuáles?</t>
  </si>
  <si>
    <t>3.6</t>
  </si>
  <si>
    <t>¿Se realiza el proceso de verificación y  confrontación de folios, copias, anexos, firmas, 
constancia de recibo y asignación de datos? (Acuerdo AGN 060/2001 Art. 2) (ll)</t>
  </si>
  <si>
    <t xml:space="preserve">SE VERIFICAN FOLIOS, ANEXOS, FIRMAS. </t>
  </si>
  <si>
    <t>3.7</t>
  </si>
  <si>
    <t>¿La Entidad maneja el consecutivo de comunicaciones oficiales? ¿Cómo?</t>
  </si>
  <si>
    <t>CONSECUTIVO ANUAL</t>
  </si>
  <si>
    <t>3.8</t>
  </si>
  <si>
    <t>¿Se radican todas las comunicaciones que llegan vía fax y correo electrónico? ¿Por qué?</t>
  </si>
  <si>
    <t>No se radican las de correo electrónico.</t>
  </si>
  <si>
    <t>3.9</t>
  </si>
  <si>
    <t>¿Se hace seguimiento a las comunicaciones recibidas y en trámite, para su respuesta oportuna? Tiempos</t>
  </si>
  <si>
    <t>CONTROL INTERNO realiza seguimiento de acuerdo a los reportes de arcosis</t>
  </si>
  <si>
    <t>3.10</t>
  </si>
  <si>
    <t>¿Cuenta la entidad con políticas para el manejo de comunicaciones oficiales vía fax y correo electrónico? ¿Cuáles?</t>
  </si>
  <si>
    <t>Descrito en la Resolución 253 de 2014, pero no se aplica</t>
  </si>
  <si>
    <t>3.11</t>
  </si>
  <si>
    <t>¿Se digitaliza la correspondencia recibida? ¿Con qué fin?</t>
  </si>
  <si>
    <t>En la ventanilla única se digitalizan por el software Arcosis.  Su objetivo es garantizar la trazabilidad y custodiar los ducmentos recibidos.</t>
  </si>
  <si>
    <t>3.12</t>
  </si>
  <si>
    <t>¿Los documentos de archivo que se producen en la Institución se realizan con un máximo de dos copias?</t>
  </si>
  <si>
    <t>ORIGINAL Y COPIA</t>
  </si>
  <si>
    <t>C.</t>
  </si>
  <si>
    <t>GESTIÓN Y TRAMITE</t>
  </si>
  <si>
    <t xml:space="preserve"> DISTRIBUCIÓN DE DOCUMENTOS </t>
  </si>
  <si>
    <t>4.1</t>
  </si>
  <si>
    <t>¿Cuál de las siguientes opciones utiliza para la clasificación y distribución de las comunicaciones oficiales recibidas?</t>
  </si>
  <si>
    <t xml:space="preserve">Oficina productora </t>
  </si>
  <si>
    <t>Por asuntos - TRD</t>
  </si>
  <si>
    <t>Destinatario</t>
  </si>
  <si>
    <t>4.2</t>
  </si>
  <si>
    <t>¿Existe registro de control de entrega de las comunicaciones oficiales recibidas? ¿Cómo?</t>
  </si>
  <si>
    <t>PLANILLA DE REGISTRO Y CONTROL DE CORRESPONDENCIA.</t>
  </si>
  <si>
    <t>4.3</t>
  </si>
  <si>
    <t xml:space="preserve">Los medios de distribución de comunicaciones oficiales utilizados son: </t>
  </si>
  <si>
    <t xml:space="preserve">Personal </t>
  </si>
  <si>
    <t>Correo Tradicional</t>
  </si>
  <si>
    <t>Correo Electrónico</t>
  </si>
  <si>
    <t>Trámite en Línea</t>
  </si>
  <si>
    <t>Buzones o Casilleros</t>
  </si>
  <si>
    <t>CORREO TRADICIONAL 472. CUANDO ES POR CORREO ELECTRÓNICO CADA DEPENDENCIA ENVÍA LA RESPUESTA</t>
  </si>
  <si>
    <t>4.4</t>
  </si>
  <si>
    <t xml:space="preserve">¿Existe registro de control de envío de comunicaciones oficiales enviadas y que medio utiliza? </t>
  </si>
  <si>
    <t>CORREO 472</t>
  </si>
  <si>
    <t>Correo Certificado. ¿Cómo se controla?</t>
  </si>
  <si>
    <t>Mensajería (envío de sobres). ¿Cómo se controla?</t>
  </si>
  <si>
    <t>Carga (envío de cajas). ¿Cómo se controla?</t>
  </si>
  <si>
    <t>Mensajero a Pie. ¿Cómo se controla?</t>
  </si>
  <si>
    <t>Motorizado. ¿Cómo se controla?</t>
  </si>
  <si>
    <t>FUNCIONARIO POR MEDIO DE LA EMPRESA DE TERCERIZACIÓN</t>
  </si>
  <si>
    <t>Otro</t>
  </si>
  <si>
    <t>4.5</t>
  </si>
  <si>
    <t>¿Existe reasignación de documentos mal direccionados? ¿Cuáles son las principales causas?</t>
  </si>
  <si>
    <t>DIRECCIONES ERRADAS</t>
  </si>
  <si>
    <t>VENTANILLA UNICA INFORMA A LA DEPENDENCIA PARA QUE CORRIJA Y SE REENVIE.</t>
  </si>
  <si>
    <t>5.1</t>
  </si>
  <si>
    <t>¿Se llevan planillas de control, de alerta y ruta de trámite?</t>
  </si>
  <si>
    <t>CONTROL INTERNO HACE SEGUIMIENTO APOYADO EN LOS REPORTES DE ARCOSIS</t>
  </si>
  <si>
    <t>5.2</t>
  </si>
  <si>
    <t>¿Los responsables del trámite de documentos conocen los periodos de vigencia y tiempos de respuesta?</t>
  </si>
  <si>
    <t>LAS DEPENDENCIAS QUE MANEJAN PQR TIENEN EN CUENTA LOS TIEMPOS DE RESPUESTA</t>
  </si>
  <si>
    <t>5.3</t>
  </si>
  <si>
    <t>¿Maneja sistemas de información empleados para la gestión documental?</t>
  </si>
  <si>
    <t>5.4</t>
  </si>
  <si>
    <t>¿La Entidad cuenta con una herramienta tecnológica para la gestión documental (administración de archivos, administración de correspondencia)?</t>
  </si>
  <si>
    <t>UNICAMENTE PARA LA ADMINISTRACIÓN DE CORRESPONDENCIA CON UN MODULO EN EL ARCOSIS</t>
  </si>
  <si>
    <t>5.5.</t>
  </si>
  <si>
    <t>¿Ha dejado de utilizar algún sistemas de información o de gestión documental? ¿Cuál / Por que?</t>
  </si>
  <si>
    <t>5.6</t>
  </si>
  <si>
    <t>¿Ha migrado los datos de este sistema a otra herramienta?</t>
  </si>
  <si>
    <t>ÁREA</t>
  </si>
  <si>
    <t>TIPO DE ARCHIVO
 (ARCHIVO DE GESTIÓN             ARCHIVO CENTRAL)</t>
  </si>
  <si>
    <t>NOMBRE DEL SISTEMA DE INFORMACIÓN</t>
  </si>
  <si>
    <t>DESCRIPCIÓN</t>
  </si>
  <si>
    <t>D</t>
  </si>
  <si>
    <t>ORGANIZACIÓN DE DOCUMENTOS</t>
  </si>
  <si>
    <t>ARCHIVO DE GESTIÓN
(este ÍTEM se aplica en cada una de las oficinas encuestadas)</t>
  </si>
  <si>
    <t>6.1</t>
  </si>
  <si>
    <t>Nombre de la oficina productora y grupos internos de trabajo, según organigrama de la entidad</t>
  </si>
  <si>
    <t>GERENCIA</t>
  </si>
  <si>
    <t>COMUNICACIÓN E IMAGEN CORPORATIVA</t>
  </si>
  <si>
    <t>CONTROL INTERNO</t>
  </si>
  <si>
    <t>JURIDICA Y CONTRATACIÓN</t>
  </si>
  <si>
    <t>PLANEACIÓN INSTITUCIONAL</t>
  </si>
  <si>
    <t>DISEÑO Y DESARROLLO</t>
  </si>
  <si>
    <t>SUI</t>
  </si>
  <si>
    <t>SISTEMAS DE GESTIÓN</t>
  </si>
  <si>
    <t>DIRECCIÓN TECNICA Y DE OPERACIONES</t>
  </si>
  <si>
    <t>AMBIENTAL</t>
  </si>
  <si>
    <t>PLANTA PTAP</t>
  </si>
  <si>
    <t>REDES</t>
  </si>
  <si>
    <t>PLANTA PTAR</t>
  </si>
  <si>
    <t>ASEO Y RECOLECCIÓN</t>
  </si>
  <si>
    <t>DIRECCIÓN COMERCIAL</t>
  </si>
  <si>
    <t>GESTIÓN DE COBRO</t>
  </si>
  <si>
    <t>CONTROL Y PÉRDIDAS</t>
  </si>
  <si>
    <t>FACTURACIÓN</t>
  </si>
  <si>
    <t>ATENCIÓN AL USUARIO</t>
  </si>
  <si>
    <t>DIRECCIÓN ADMINISTRATIVA Y FINANCIERA</t>
  </si>
  <si>
    <t>FINANCIERA (CONTABILIDAD Y PRESUPUESTO</t>
  </si>
  <si>
    <t>TALENTO HUMANO</t>
  </si>
  <si>
    <t>RECURSOS FÍSICOS</t>
  </si>
  <si>
    <t>ARCHIVO Y CORRESPODENCIA</t>
  </si>
  <si>
    <t>SISTMAS E INFORMÁTICA</t>
  </si>
  <si>
    <t>6.2</t>
  </si>
  <si>
    <t>Descripción del recurso humano encargado de la gestión documental de la oficina productora o grupo interno de trabajo.</t>
  </si>
  <si>
    <t xml:space="preserve">Secretaria   </t>
  </si>
  <si>
    <t xml:space="preserve">Profesional  </t>
  </si>
  <si>
    <t>Profesional(1) y Contratista(1)</t>
  </si>
  <si>
    <t>No hay</t>
  </si>
  <si>
    <t>Secretaria</t>
  </si>
  <si>
    <t>Ingeniera</t>
  </si>
  <si>
    <t>2 Profesionales y 1 asistente</t>
  </si>
  <si>
    <t>Auxiliar Administrativa</t>
  </si>
  <si>
    <t>Profesional</t>
  </si>
  <si>
    <t>Jefe de planta</t>
  </si>
  <si>
    <t>Ingeniero</t>
  </si>
  <si>
    <t>2 Auxiliares Administrativos</t>
  </si>
  <si>
    <t>2 Profesionales 1 Contratista</t>
  </si>
  <si>
    <t>1 Profesional 1 Contratista</t>
  </si>
  <si>
    <t>1 Contratista</t>
  </si>
  <si>
    <t>6 Contratistas (C/u maneja su archivo)</t>
  </si>
  <si>
    <t>Auxiliar Administrativa (1 ) y Contratista (1)</t>
  </si>
  <si>
    <t>5 Contratistas (C/u maneja su archivo)</t>
  </si>
  <si>
    <t>Auxiliar Adminsitrativo</t>
  </si>
  <si>
    <t>2 Auxiliares Administrativas y 1 Contratista</t>
  </si>
  <si>
    <t>Nombre</t>
  </si>
  <si>
    <t>Derly Almeyda</t>
  </si>
  <si>
    <t>Sofia Uribe</t>
  </si>
  <si>
    <t>Diego Garcia. Karen Martinez</t>
  </si>
  <si>
    <t>Claudia Jaimes</t>
  </si>
  <si>
    <t>Betty Hernández</t>
  </si>
  <si>
    <t>Mayra Becerra</t>
  </si>
  <si>
    <t>Liset Calderon</t>
  </si>
  <si>
    <t>Nora Garcia</t>
  </si>
  <si>
    <t>Jesús Jerez</t>
  </si>
  <si>
    <t>Melisa Puello</t>
  </si>
  <si>
    <t>Yuli Rangel Mantilla</t>
  </si>
  <si>
    <t>Jesus Alberto Rodriguez</t>
  </si>
  <si>
    <t>Milena/Darwin</t>
  </si>
  <si>
    <t>Carolina Aparicio</t>
  </si>
  <si>
    <t>Lina Muñoz</t>
  </si>
  <si>
    <t>Wendy</t>
  </si>
  <si>
    <t>Yenny</t>
  </si>
  <si>
    <t>Esmeralda Wandurraga</t>
  </si>
  <si>
    <t>Anny Bastilla y Tatiana Ruiz</t>
  </si>
  <si>
    <t>Luz Dary Uribe</t>
  </si>
  <si>
    <t>Jacqueline Ardila Duarte</t>
  </si>
  <si>
    <t>Erick Solano</t>
  </si>
  <si>
    <t>Cargo que ocupa en Entidad</t>
  </si>
  <si>
    <t>Secretaria de Gerencia</t>
  </si>
  <si>
    <t>Profesional Universitario</t>
  </si>
  <si>
    <t>Control Interno.  Contratista</t>
  </si>
  <si>
    <t>Apoyo SST</t>
  </si>
  <si>
    <t>Auxiliares Administrativos</t>
  </si>
  <si>
    <t>Contratista</t>
  </si>
  <si>
    <t>Auxiliar Administrativa y Contratista</t>
  </si>
  <si>
    <t>Auxiliares Administrativa</t>
  </si>
  <si>
    <t>Nivel de Estudios</t>
  </si>
  <si>
    <t>Profesional.  Ing Ambiental 9 semestre</t>
  </si>
  <si>
    <t>Tecnologia Gestión Empresarial</t>
  </si>
  <si>
    <t>Tecnología en Administración de Empresas</t>
  </si>
  <si>
    <t>Especialización</t>
  </si>
  <si>
    <t>Bachiller</t>
  </si>
  <si>
    <t>Tecnologa en recuros naturales</t>
  </si>
  <si>
    <t>Tecnología Contabilidad y Finanzas</t>
  </si>
  <si>
    <t>Derecho</t>
  </si>
  <si>
    <t>Tecnología Getión Empresarial.  Bachiller</t>
  </si>
  <si>
    <t>Profesión</t>
  </si>
  <si>
    <t>Contadora Pública</t>
  </si>
  <si>
    <t>Comunicadora Social</t>
  </si>
  <si>
    <t>Abogado.  Tecnologa en recuros naturales</t>
  </si>
  <si>
    <t>Tecnologa Gestión Empresarial</t>
  </si>
  <si>
    <t>Ing Civil</t>
  </si>
  <si>
    <t>Ing Industrial</t>
  </si>
  <si>
    <t>Tecnologa en Administración de Empresas</t>
  </si>
  <si>
    <t>Ing. Ambiental</t>
  </si>
  <si>
    <t>Microbióloga</t>
  </si>
  <si>
    <t>Ing. Electro mecánico</t>
  </si>
  <si>
    <t>Abogada</t>
  </si>
  <si>
    <t>Tecnologa en Contabilidad y Finanzas</t>
  </si>
  <si>
    <t>Tecnologa.  Bachiller</t>
  </si>
  <si>
    <t>Administradora de empresas</t>
  </si>
  <si>
    <t>Ingeniero de Sistemas</t>
  </si>
  <si>
    <t>Años de Experiencia en Entidad</t>
  </si>
  <si>
    <t>2 y 1</t>
  </si>
  <si>
    <t>2 y medio</t>
  </si>
  <si>
    <t>2 y medio. 2</t>
  </si>
  <si>
    <t>Años de Experiencia en Gestión Documental</t>
  </si>
  <si>
    <t>1</t>
  </si>
  <si>
    <t xml:space="preserve">1 </t>
  </si>
  <si>
    <t>3 meses</t>
  </si>
  <si>
    <t>2 Talleres AGN 2016 Y 2017</t>
  </si>
  <si>
    <t>6.3</t>
  </si>
  <si>
    <t>¿Cuáles son los documentos que considera de mayor importancia se tramitan y gestionan en la oficina productora y grupo interno de trabajo? - (Fechas Extremas)</t>
  </si>
  <si>
    <t>RESOLUCIONES (1997 - 2017).  ACUERDOS DE JUNTA DIRECTIVA (2009-2017).  ACTAS DE JUNTA DIRECTIVA (2014-2017)</t>
  </si>
  <si>
    <t xml:space="preserve">ESTRATEGIAS COMUNICATIVAS (2016 -2017).  IMAGEN CORPORATIVA (2016-2017).  INFORMES DE GESTIÓN Y RESULTADOS (2016-2017) </t>
  </si>
  <si>
    <t>AUDITORIAS(2012-2016).  PLANES DE MEJORAMIENTO(2012-2016)</t>
  </si>
  <si>
    <t>ACCIONES DE TUTELA (2009-2017)</t>
  </si>
  <si>
    <t>CONVENIOS (2009-2017).  CONTRATOS (2010-2017)</t>
  </si>
  <si>
    <t>CONCEPTOS TECNICOS. PROYECTOS URBANOS Y RURALES (2016-2017)</t>
  </si>
  <si>
    <t>INFORMES DE GESTION Y RESULTADOS (2016-2017). INFORMES AOTRAS ENTIDADES (2016-2017)</t>
  </si>
  <si>
    <t>ACTAS DE COMITÉ DE CONVIVENCIA LABORAL (2016-2017).  ACTA DE COMITÉ DE SALUD Y SEGURIDAD EN EL TRABAJO (2016-2017) PLAN DE FORMACIÓN Y CAPACITACIÓN (2016)</t>
  </si>
  <si>
    <t>CONTRATOS (2015-2017)</t>
  </si>
  <si>
    <t>PQRSF(2016-2017)</t>
  </si>
  <si>
    <t>INFORMES DE GESTION Y RESULTADOS (2016-2017).  INFORMES DE CALIDAD DE AGUA (2016-2017)</t>
  </si>
  <si>
    <t>PRQSF(2016-2017) ACTAS DE PRUEBA DE INSTALACIÓN DE MEDIDORES (2016- 2017)</t>
  </si>
  <si>
    <t>INFORMES DE GESTIÓN Y RESULTADOS (2016 - 2017)</t>
  </si>
  <si>
    <t>PROGRAMACIÓN DE ACTIVIDADES RECOLECCIÓN DE PODAS Y ASEO (2016-2017).  PROGRAMACIÓN ACTIVIDADES DE BARRIDO (2016-2017)</t>
  </si>
  <si>
    <t>CONTRATOS (2016-2017).  DERECHOS DE PETICIÓN (2016-2017)</t>
  </si>
  <si>
    <t>PROCESOS DE GESTIÓN DE COBRO (2015-2017)</t>
  </si>
  <si>
    <t>PRSF(2016-2017) DERECHOS DE PETICION(2016-2017)ACTAS DE ACUERDOS DE PAGO(2016-2017)</t>
  </si>
  <si>
    <t>TARIFAS YAFOROS (2016-2017)</t>
  </si>
  <si>
    <t xml:space="preserve">CONCILIACIONES BANCARIAS(2010-2017).  COMPROBANTES DE FACTURACIÓN (2014-2017).  </t>
  </si>
  <si>
    <t>HISTORIAS LABORALES (2015-2017)</t>
  </si>
  <si>
    <t>ACTAS DEL COMITÉ TECNICO DE INVENTARIOS Y BAJAS DE MUEBLES, BIENES Y ENSERES (2016-2017)</t>
  </si>
  <si>
    <t>ACTAS DE COMITÉ INTERNO DE ARCHIVO (2016-2017).  PRESTAMOS DE DOCUMENTOS (2016-2017)</t>
  </si>
  <si>
    <t xml:space="preserve">MANTENIMIENTOS DE HARDWARE Y SOFTWARE (2015-2017).  </t>
  </si>
  <si>
    <t>Facturación soporte digital</t>
  </si>
  <si>
    <t>6.4</t>
  </si>
  <si>
    <t>¿Conoce las TRD con sus respectivas series y subseries documentales de su dependencia?</t>
  </si>
  <si>
    <t>6.5</t>
  </si>
  <si>
    <t>¿Se tramita o gestiona documentación que no este registrada en las TRD?</t>
  </si>
  <si>
    <t xml:space="preserve"> Listar y mencionar a que esta asociado</t>
  </si>
  <si>
    <t>Documentos de apoyo</t>
  </si>
  <si>
    <t xml:space="preserve">SE CONFORMA UN PAQUETE DE DOCUMENTOS QUE VAN: SOLICITUD DE CAPACITACIÓN POR LAS ENTIDADES O EMPRESAS, COTIZACIÓN, PAGO, PLANILLAS DE ASISTENCIA, EVALUACIÓN (ALGUNAS NO LAS TIENEN). LAS CERTIFICACIONES SE GENERAL APARTE </t>
  </si>
  <si>
    <t>HAY UNOS QUE YA NO SE PRODUCEN COMO LOS INFORMES DE EMERGENCIA Y ORDENES DEL DÍA, SOLICITUD DE SERVICIOS PORQUE AHORA SON DIGITALES. TODOS LOS INFORMES AHORA SON DIGITALES. LA FUNCIONARIA INFORMA QUE LOS DOCUMENTOS DIGITALES NO POSEEN ENCABEZADO Y PIE DE PAGINA CORRESPONDIENTE A LOS FORMATOS ESTABLECIDOS POR EL SISTEMA DE CALIDAD,</t>
  </si>
  <si>
    <t>6.6</t>
  </si>
  <si>
    <t>¿Se tienen identificadas (rotulados) las gavetas o  archivadores, conforme a las TRD de la dependencia? (visual)</t>
  </si>
  <si>
    <t>6.7</t>
  </si>
  <si>
    <t>¿Las unidades de conservación (cajas, carpetas), se tienen identificadas conforme lo establece el Acuerdo 042 de 2002? (visual)</t>
  </si>
  <si>
    <t>6.8</t>
  </si>
  <si>
    <t>¿Las series se encuentran identificadas con separadores? (visual)</t>
  </si>
  <si>
    <t>6.9</t>
  </si>
  <si>
    <t>¿La identificación de las unidades de conservación está conforme a su contenido? (visual)</t>
  </si>
  <si>
    <t>6.10</t>
  </si>
  <si>
    <t>¿La documentación se encuentra conforme al principio de orden original, es decir, conforme al trámite? (visual)</t>
  </si>
  <si>
    <t>6.11</t>
  </si>
  <si>
    <t>¿Se cumplen con los lineamientos para la foliación de documentos? (visual)</t>
  </si>
  <si>
    <t>6.12</t>
  </si>
  <si>
    <t>¿Se cuenta con inventarios documentales para cada una de las series?</t>
  </si>
  <si>
    <t>SST y Calidad</t>
  </si>
  <si>
    <t>BARRIDO 2017</t>
  </si>
  <si>
    <t>AUX PQR 2017</t>
  </si>
  <si>
    <t>Parcialmente 2017</t>
  </si>
  <si>
    <t>6.13</t>
  </si>
  <si>
    <t xml:space="preserve">¿Ha recibido visitas de verificación sobre la aplicación de TRD en su dependencia? </t>
  </si>
  <si>
    <t>Contratista en Gestión Documental</t>
  </si>
  <si>
    <t>6.14</t>
  </si>
  <si>
    <t>¿Conoce el instructivo para la aplicación de las Tablas de Retención Documental?</t>
  </si>
  <si>
    <t>No hay instructivo.  Se ha realizado proceso de socialización de organización de archivos y entrega de infografía.  Adicional talleres aplicación TRD</t>
  </si>
  <si>
    <t>6.15</t>
  </si>
  <si>
    <t>¿Conoce cuáles son los documentos de apoyo?</t>
  </si>
  <si>
    <t>6.16</t>
  </si>
  <si>
    <t>¿Los documentos de apoyo están separados de la organización documental según la TRD?</t>
  </si>
  <si>
    <t>6.17</t>
  </si>
  <si>
    <t xml:space="preserve">¿Se han realizado transferencias primarias? </t>
  </si>
  <si>
    <t>¿Qué instrumento emplea?</t>
  </si>
  <si>
    <t>6.18</t>
  </si>
  <si>
    <t>¿Utiliza algún sistema de ordenación? (visual)</t>
  </si>
  <si>
    <t>Cronológico</t>
  </si>
  <si>
    <t>¿Cuál? (visual)</t>
  </si>
  <si>
    <t>6.19</t>
  </si>
  <si>
    <t>¿Tiene documentos pendientes por transferir al archivo central?</t>
  </si>
  <si>
    <t>Volumen Anual Transferido</t>
  </si>
  <si>
    <t>CONSULTA DE  DOCUMENTOS</t>
  </si>
  <si>
    <t>7.1</t>
  </si>
  <si>
    <t>¿Existe restricción para el acceso y consulta de algunos documentos?</t>
  </si>
  <si>
    <t>¿Cuáles? - ¿Por qué?</t>
  </si>
  <si>
    <t>7.2</t>
  </si>
  <si>
    <t>¿Existen sistemas de registro y control de préstamo y devolución de documentos?</t>
  </si>
  <si>
    <t>¿Cuál?</t>
  </si>
  <si>
    <t>Aplica formato para solicitar al AC</t>
  </si>
  <si>
    <t>Archivo Central.  Aplica formato préstamo de documentos</t>
  </si>
  <si>
    <t>7.3</t>
  </si>
  <si>
    <t>¿Existe una serie documental con alto nivel de consulta?</t>
  </si>
  <si>
    <t>¿Cuál(es)? - Promedio de consultas por año y por tipo de usuario (cada consulta: promedio de folios, serie compuesta o simple)</t>
  </si>
  <si>
    <t>Resoluciones.  Consulta diaria.  Serie simple</t>
  </si>
  <si>
    <t>7.4</t>
  </si>
  <si>
    <t>¿Existen instrumentos de descripción? (Guías, Inventarios, Catálogos e Índices)</t>
  </si>
  <si>
    <t xml:space="preserve"> ¿Cuáles? - ¿En qué soporte esta?</t>
  </si>
  <si>
    <t>FUID 2017</t>
  </si>
  <si>
    <t>7.5</t>
  </si>
  <si>
    <t xml:space="preserve">¿Existe servicio de reprografía en la Entidad? </t>
  </si>
  <si>
    <t>¿Qué tipo?</t>
  </si>
  <si>
    <t>7.6</t>
  </si>
  <si>
    <t>¿Qué serie documental o que tipos documentales generan mayor volumen de copias y por qué motivo?</t>
  </si>
  <si>
    <t>7.7</t>
  </si>
  <si>
    <t>¿Para la consulta de documentos por entes de control se generan copias? ¿En qué volumen?</t>
  </si>
  <si>
    <t>Entre 1 y 200 folios</t>
  </si>
  <si>
    <t>Entre 200 y 600 folios</t>
  </si>
  <si>
    <t>Entre 600 y 1200 folios</t>
  </si>
  <si>
    <t>7.8</t>
  </si>
  <si>
    <t>Disposición Final de las copias una vez realizada la consulta</t>
  </si>
  <si>
    <t>Eliminación</t>
  </si>
  <si>
    <t>Se Conservan</t>
  </si>
  <si>
    <t>Quien consulta se las lleva</t>
  </si>
  <si>
    <t>7.9</t>
  </si>
  <si>
    <t>¿Se han eliminado documentos?</t>
  </si>
  <si>
    <t>¿Por qué?</t>
  </si>
  <si>
    <t>Cumplimiento tiempo de retención</t>
  </si>
  <si>
    <t>E.</t>
  </si>
  <si>
    <t>TRANSFERENCIAS</t>
  </si>
  <si>
    <t>ARCHIVO CENTRAL</t>
  </si>
  <si>
    <t>ÍTEM</t>
  </si>
  <si>
    <t>8.1</t>
  </si>
  <si>
    <t>¿Se encuentra recopilada la normatividad de la entidad?</t>
  </si>
  <si>
    <t>8.2</t>
  </si>
  <si>
    <t>¿Existe documentación de otras entidades? ¿Cuáles?-¿Cuánto?</t>
  </si>
  <si>
    <t>8.3</t>
  </si>
  <si>
    <t>¿Se encuentra identificada?</t>
  </si>
  <si>
    <t>8.4</t>
  </si>
  <si>
    <t>¿Conoce su ubicación?</t>
  </si>
  <si>
    <t>8.5</t>
  </si>
  <si>
    <t>¿Cuenta con instrumentos de recuperación e identificación de la información? (Listados, inventarios, guías, relaciones, entre otros)</t>
  </si>
  <si>
    <t>POR MOTIVO DE AMPLIACIÓN DE ARCHIVO CENTRAL INICIARON DILIGENCIAMIENTO DE INVENTARIO EN FORMATO FUID</t>
  </si>
  <si>
    <t>8.6</t>
  </si>
  <si>
    <t>¿Se encuentran identificadas series o asuntos? ¿Cuáles?</t>
  </si>
  <si>
    <t>POR DEPENDENCIA Y ASUNTO</t>
  </si>
  <si>
    <t>2014 HACIA ATRÁS SE ENCUENTRA FONDO DOCUMENTAL.  A PARTIR DE 2015 DEBEN APLICAN LAS TABLAS DE RETENCIÓN DOCUMENTAL.</t>
  </si>
  <si>
    <t>8.7</t>
  </si>
  <si>
    <t>¿Cuándo se reciben documentos por transferencias primarias se verifica el cumplimientos de los procesos archivísticos ( inventario documental, ordenación, foliación)?</t>
  </si>
  <si>
    <t>A LA FECHA NO SE HAN INICIADO TRANSFERENCIAS PRIMARIAS</t>
  </si>
  <si>
    <t>8.8</t>
  </si>
  <si>
    <t>¿Se elabora el Programa de Transferencias Documentales en cumplimiento con lo establecido en la TRD?</t>
  </si>
  <si>
    <t>8.9</t>
  </si>
  <si>
    <t>¿Se ejecuta el Programa de Transferencias Documentales?</t>
  </si>
  <si>
    <t>8.10</t>
  </si>
  <si>
    <t>¿Se divulga el Cronograma de Transferencias Documentales?</t>
  </si>
  <si>
    <t>8.11</t>
  </si>
  <si>
    <t>¿Se cumplen con las fechas establecidas en el cronograma?</t>
  </si>
  <si>
    <t>8.12</t>
  </si>
  <si>
    <t>¿Se han recibido Transferencias Documentales de otras Instituciones?</t>
  </si>
  <si>
    <t>8.13</t>
  </si>
  <si>
    <t>¿Se reciben las Transferencias Documentales en el formato establecido? (FUID)</t>
  </si>
  <si>
    <t>8.14</t>
  </si>
  <si>
    <t>¿El Archivo Central se encuentra organizado? ¿Cómo?</t>
  </si>
  <si>
    <t>INICIARON LA ORGANIZACIÓN DEL AREA DE AMPLIACIÓN POR DEPENDENCIAS.  ESTAN ORGANIZANDO Y LEVANTANDO FUID EN ESTADO NATURAL CON PLANEACIÓN</t>
  </si>
  <si>
    <t>NO CUENTAN CON TVD, Y NO TIENE UN ORDEN ATENDIENDO TRANSFERENCIA, NI SERIES DOCUMENTALES</t>
  </si>
  <si>
    <t>8.15</t>
  </si>
  <si>
    <t>¿Tiene identificadas las fechas extremas de la documentación? Cuáles?</t>
  </si>
  <si>
    <t>8.16</t>
  </si>
  <si>
    <t>¿Utiliza un sistema de ordenación para la ubicación de las Cajas? ¿Cuál?</t>
  </si>
  <si>
    <t>CRONOLÓGICO</t>
  </si>
  <si>
    <t>EL ALMACENAMIENTO ESTA EN CAJAS Y AZ SE ESTA ORDENADANDO POR FECHAS.</t>
  </si>
  <si>
    <t>8.17</t>
  </si>
  <si>
    <t>¿El mobiliario se encuentra identificado, de manera tal que facilite la ubicación topográfica? (Visual)</t>
  </si>
  <si>
    <t>POR DEPENDENCIAS, SIN EMBARGO NO EXISTE SIGNATURA TOPOGRÁFICA</t>
  </si>
  <si>
    <t>8.18</t>
  </si>
  <si>
    <t>¿Tiene inventarios documentales actualizados? (Bases de datos, Excel, u otros).</t>
  </si>
  <si>
    <t>8.19</t>
  </si>
  <si>
    <t>¿Están consolidados? ¿Qué soporte se emplea y qué campos diligencian en cada uno?</t>
  </si>
  <si>
    <t>8.20</t>
  </si>
  <si>
    <t>¿Existe restricción de préstamos de documentos? ¿Cuáles? ¿Por qué?</t>
  </si>
  <si>
    <t>PRESTAN LOS DOCUMENTOS SI EL JEFE DE CADA AREA AUTORIZA LA SOLICITUD DE PRESTAMOS DE DOCUMENTOS</t>
  </si>
  <si>
    <t>8.21</t>
  </si>
  <si>
    <t>¿Existe procedimiento de préstamo reglamentado? (Descripción)</t>
  </si>
  <si>
    <t>Procedimiento de consulta y préstamo de documentos. GAF-AyC.CP04-300</t>
  </si>
  <si>
    <t>F.</t>
  </si>
  <si>
    <t>DISPOSICIÓN DE DOCUMENTOS</t>
  </si>
  <si>
    <t>VALORACIÓN Y DISPOSICIÓN FINAL DE LOS DOCUMENTOS</t>
  </si>
  <si>
    <t>9.1</t>
  </si>
  <si>
    <t>¿Aplica la TRD para la eliminación de documentos? Explique</t>
  </si>
  <si>
    <t>SE HAN REALIZADO 2 ELIMINACIONES QUE CORRESPONDEN A PERIODOS ANTERIORES A LA TRD</t>
  </si>
  <si>
    <t>9.2</t>
  </si>
  <si>
    <t>¿En el proceso de eliminación de documentos, se cumple con la normatividad  vigente? (acuerdo 004 2013)</t>
  </si>
  <si>
    <t>SE LLEVA A CONSIDERACIÓN DEL CIA.  LEVANTAMIENTO DE ACTA.  REGISTRO FOTOGRÁFICO Y ELIMINACIÓN POR PICADO DE LOS DOCUMENTOS.</t>
  </si>
  <si>
    <t>9.3</t>
  </si>
  <si>
    <t>¿Se realizan Transferencias Documentales secundarias?</t>
  </si>
  <si>
    <t>9.4</t>
  </si>
  <si>
    <t>¿Se tienen establecidos los criterios de valoración para definir la disposición final de la documentación?</t>
  </si>
  <si>
    <t>9.5</t>
  </si>
  <si>
    <t>¿Tiene documentos que considere de importancia histórica? ¿Cuáles? ¿Por qué?</t>
  </si>
  <si>
    <t>RESOLUCIONES.  ACUERDOS DE JUNTA DIRECTIVA.  DISEÑOS DE REDES.</t>
  </si>
  <si>
    <t>G.</t>
  </si>
  <si>
    <t>PRESERVACIÓN A LARGO PLAZO</t>
  </si>
  <si>
    <t>REPROGRAFÍA</t>
  </si>
  <si>
    <t>10.1</t>
  </si>
  <si>
    <t>¿Se utiliza alguna técnica de reprografía de los documentos?</t>
  </si>
  <si>
    <t>Digitalización. ¿Cuáles documentos?</t>
  </si>
  <si>
    <t>CONTRATOS</t>
  </si>
  <si>
    <t>Microfilmación. ¿Cuáles documentos?</t>
  </si>
  <si>
    <t>10.2</t>
  </si>
  <si>
    <t>¿Se realiza control de calidad durante todo el proceso de reprografía de documentos?</t>
  </si>
  <si>
    <t>Indique las actividades que desarrolla la Entidad para la conservación documental:</t>
  </si>
  <si>
    <t>11.1</t>
  </si>
  <si>
    <t>A. Diagnostico del estado de conservación de la documentación</t>
  </si>
  <si>
    <t>B. Mantenimiento y adecuación de instalaciones físicas</t>
  </si>
  <si>
    <t>BARRIDO DEL ÁREA UNA VEZ POR MES</t>
  </si>
  <si>
    <t>C. Limpieza de áreas (saneamiento ambiental) y documentos</t>
  </si>
  <si>
    <t>PRIMERA FUMIGACIÓN SEPTIEMBRE 30 DE 2017</t>
  </si>
  <si>
    <t>D. Monitoreo de condiciones ambientales</t>
  </si>
  <si>
    <t>E. Prevención de riesgos y manejo de emergencias</t>
  </si>
  <si>
    <t>F. Adquisición y/o adecuación de mobiliario y equipo</t>
  </si>
  <si>
    <t>ADQUIRIERON 40 ESTANTES PARA EL ESPACIO DE LA AMPLIACIÓN DEL ARCHIVO CENTRAL</t>
  </si>
  <si>
    <t>G. Unidades de almacenamiento y conservación</t>
  </si>
  <si>
    <t>ADQUIRIERON CARPETAS CUATRO ALETAS Y CAJAS X200 ENTREGADAS A LOS ARCHIVOS DE GESTIÓN</t>
  </si>
  <si>
    <t>H. Intervenciones menores</t>
  </si>
  <si>
    <t>I. Otro1, ¿Cuál?</t>
  </si>
  <si>
    <t>J. Otro2, ¿Cuál?</t>
  </si>
  <si>
    <t>K. Otro3, ¿Cuál?</t>
  </si>
  <si>
    <t>L. No ha desarrollado actividades</t>
  </si>
  <si>
    <t>OBSERVACIONES:</t>
  </si>
  <si>
    <t>Elaboró: Gestiones y Soluciones Documentales SAS</t>
  </si>
  <si>
    <t>Fecha: Diciembre de 2017</t>
  </si>
  <si>
    <t>FICHA DE MEDICIÓN PUNTUAL EN ML</t>
  </si>
  <si>
    <t>Dirección: CALLE 37 No. 10 - 30 Bucamanga</t>
  </si>
  <si>
    <t>SECRETARIO GENERAL : CAMILO ANDRES ARENAS VALDIVIESO - COORDINADORA DEL GRUPO DE GESTION DOCUMENTAL: MERCEDES MARTIB¿NEZ CORREA</t>
  </si>
  <si>
    <t>Teléfono: 7-6339666</t>
  </si>
  <si>
    <t>gestiondocumental@santander.gov.co</t>
  </si>
  <si>
    <t xml:space="preserve">No </t>
  </si>
  <si>
    <t>Oficina Productora</t>
  </si>
  <si>
    <t>ARCHIVOS DE GESTIÓN</t>
  </si>
  <si>
    <t>FONDO ACUMULADO</t>
  </si>
  <si>
    <t>MATERIAL PLANIMÉTRICO</t>
  </si>
  <si>
    <t>Fechas Extremas (aaaa - aaaa)</t>
  </si>
  <si>
    <t>Volumen Documental
(ML)</t>
  </si>
  <si>
    <t>Total de planos</t>
  </si>
  <si>
    <t>1997 - 2017</t>
  </si>
  <si>
    <t>2011 - 2013</t>
  </si>
  <si>
    <t>2012 - 2017</t>
  </si>
  <si>
    <t>OFICINA DE CONTROL INTERNO</t>
  </si>
  <si>
    <t>2012 - 2107</t>
  </si>
  <si>
    <t>OFICINA ASESORA JURÍDICA Y DE CONTRATACIÓN</t>
  </si>
  <si>
    <t>2005 - 2017</t>
  </si>
  <si>
    <t>OFICINA DE PLANEACIÓN INSTITUCIONAL</t>
  </si>
  <si>
    <t>2009 -2017</t>
  </si>
  <si>
    <t>2008 - 2012</t>
  </si>
  <si>
    <t>2016 - 2017</t>
  </si>
  <si>
    <t>2014 - 2017</t>
  </si>
  <si>
    <t>2013 - 2017</t>
  </si>
  <si>
    <t>2008 - 2014</t>
  </si>
  <si>
    <t>ACUEDUCTO Y ALCANTARILLADO</t>
  </si>
  <si>
    <t>2016 -2017</t>
  </si>
  <si>
    <t>PLANTA DE TRATAMIENTO AGUAS RESIDUALES PTAR</t>
  </si>
  <si>
    <t>2011 - 2017</t>
  </si>
  <si>
    <t>MATRICULAS</t>
  </si>
  <si>
    <t>2012 - 2014</t>
  </si>
  <si>
    <t>CONTABILIDAD</t>
  </si>
  <si>
    <t>2006 - 2014</t>
  </si>
  <si>
    <t>PRESUPUESTO</t>
  </si>
  <si>
    <t>2015 - 2017</t>
  </si>
  <si>
    <t>SISTEMAS E INFORMÁTICA</t>
  </si>
  <si>
    <t>TESORERIA</t>
  </si>
  <si>
    <t>2009 - 2017</t>
  </si>
  <si>
    <t>2012 - 2013</t>
  </si>
  <si>
    <t>COMERCIAL</t>
  </si>
  <si>
    <t>VINCULACIÓN Y DESVINCULACIÓN SERVICIO DE ASEO</t>
  </si>
  <si>
    <t>ATENCIÓN AL USUARIO PQR</t>
  </si>
  <si>
    <t>COBRO COACTIVO</t>
  </si>
  <si>
    <t>TOTALES</t>
  </si>
  <si>
    <t>OBSERVACIONES GENERALES</t>
  </si>
  <si>
    <t>Elaboró: Gestiones y Soluciones Documentale SAS</t>
  </si>
  <si>
    <r>
      <rPr>
        <b/>
        <sz val="10"/>
        <color rgb="FF000000"/>
        <rFont val="Arial"/>
      </rPr>
      <t>Fecha:</t>
    </r>
    <r>
      <rPr>
        <sz val="10"/>
        <color rgb="FF000000"/>
        <rFont val="Arial"/>
      </rPr>
      <t xml:space="preserve"> Diciembre de 2017</t>
    </r>
  </si>
  <si>
    <t>Asuntos</t>
  </si>
  <si>
    <t>Fechas Extremas</t>
  </si>
  <si>
    <t>Volumen  Documental Estimando, en ML</t>
  </si>
  <si>
    <t>Total Series registradas según TRD</t>
  </si>
  <si>
    <t>Total Series NO  registradas en TRD</t>
  </si>
  <si>
    <t>Inicial (aaaa)</t>
  </si>
  <si>
    <t>Final (aaaa)</t>
  </si>
  <si>
    <t>ML</t>
  </si>
  <si>
    <t>Cantidad Cajas X200</t>
  </si>
  <si>
    <t>ML Cajas x200</t>
  </si>
  <si>
    <t>Cantidad de Carpetas</t>
  </si>
  <si>
    <t>ML de Carpetas</t>
  </si>
  <si>
    <t>Cantidad de AZ</t>
  </si>
  <si>
    <t>ML de cada AZ</t>
  </si>
  <si>
    <t>Cantidad Legajos</t>
  </si>
  <si>
    <t>ML Legajos</t>
  </si>
  <si>
    <t>Suelta</t>
  </si>
  <si>
    <t>Cantidad de Cajas Mayor Formato</t>
  </si>
  <si>
    <t>ML Cajas Mayor Formato</t>
  </si>
  <si>
    <t>Cantidad Otro</t>
  </si>
  <si>
    <t>ML Otro</t>
  </si>
  <si>
    <t>Descripción otro</t>
  </si>
  <si>
    <t>INFOMES DE JUNTA, PQR, ACTAS</t>
  </si>
  <si>
    <t>RESOLUCIONES, DOCUMENTOS DE APOYO</t>
  </si>
  <si>
    <t>ACTAS JUNTA DIRECTIVA</t>
  </si>
  <si>
    <t>ACTAS, ACUERDOS DOCUMENTOS DE APOYO</t>
  </si>
  <si>
    <t>INFORMES A OTRAS ENTIDADES Y DOCUMENTOS DE APOYO</t>
  </si>
  <si>
    <t>ACUERDOS DE JUNTA DIRECTIVA</t>
  </si>
  <si>
    <t>TOMOS</t>
  </si>
  <si>
    <t xml:space="preserve">RESOLUCIONES  </t>
  </si>
  <si>
    <t>PUBLICIDAD, CORRESPONDENCIA, SEGUIMEINTO A NOTICIAS VARIOS</t>
  </si>
  <si>
    <t>REVISTAS - PAUTAS</t>
  </si>
  <si>
    <t>REVISTAS</t>
  </si>
  <si>
    <t>CORRESPONDENCIA, PUBLICIDAD Y CERTIFICADOS</t>
  </si>
  <si>
    <t>ESTRATEGIAS COMUNICATIVAS, SOLICITUDES</t>
  </si>
  <si>
    <t>INFORMES, ESTRATEGIAS COMUNICATIVAS, PQR, VARIOS</t>
  </si>
  <si>
    <t>COMUNIACIONES PDS VARIOS</t>
  </si>
  <si>
    <t>ACTAS, INFORMES, PLANES, SEGUIMIENTO</t>
  </si>
  <si>
    <t>DOCUMENTOS DE APOYO</t>
  </si>
  <si>
    <t>AUDITORIAS, PLANES, ACTAS</t>
  </si>
  <si>
    <t>VARIOS</t>
  </si>
  <si>
    <t xml:space="preserve">CORRESPONDENCIA  </t>
  </si>
  <si>
    <t>ACCIONES DE TUTELA</t>
  </si>
  <si>
    <t>COMITÉ DE CONCILIACIONES, VARIOS</t>
  </si>
  <si>
    <t>CORRESPONDENCIA</t>
  </si>
  <si>
    <t>VARIOS, TUTELAS</t>
  </si>
  <si>
    <t>PQR´S - DERECHOS DE PETICIÓN</t>
  </si>
  <si>
    <t>CONVENIOS</t>
  </si>
  <si>
    <t>CONTRATOS Y CONVENIOS</t>
  </si>
  <si>
    <t>INFORMES DE CONTRATOS</t>
  </si>
  <si>
    <t>CONVENIOS Y CONTRATOS</t>
  </si>
  <si>
    <t xml:space="preserve">CONVENIOS  </t>
  </si>
  <si>
    <t>DERECHOS DE PETICIÓN</t>
  </si>
  <si>
    <t>CORRESPONDENCIA, INFORMES, PQR´S</t>
  </si>
  <si>
    <t>PLANOS</t>
  </si>
  <si>
    <t>CONTRATROS, INFORMES Y VARIOS</t>
  </si>
  <si>
    <t>CORRESPONDENCIA, CONVENIOS</t>
  </si>
  <si>
    <t>CONTRATOS, CORRESPONDENCIA</t>
  </si>
  <si>
    <t>CONTRATOS, CORRESPONDENCIA, CONVENIOS</t>
  </si>
  <si>
    <t>DERECHOS DE PETICIÓN, CORRESPONDENCIA, CONVENIOS</t>
  </si>
  <si>
    <t>CORRESPONDENCIA, INFORMES PTAP, CONTRATOS</t>
  </si>
  <si>
    <t>CONVENIOS, CONTRATOS, CORRESPONDENCIA</t>
  </si>
  <si>
    <t>SEGURIDAD Y SALUD EN EL TRABAJO</t>
  </si>
  <si>
    <t>CALIDAD</t>
  </si>
  <si>
    <t>PROCEDIMIENTOS - MANUALES Y CARACTERIZACIÓN DE PROCESOS</t>
  </si>
  <si>
    <t>TARIFAS - INFORMES DE GESTIÓN - INFORMES A OTRAS ENTIDADES</t>
  </si>
  <si>
    <t>PQR - DERECHOS DE PETICIÓN - INFORMES - VARIOS</t>
  </si>
  <si>
    <t>CONTRATOS - DOCUMENTOS VARIOS</t>
  </si>
  <si>
    <t>INFORMES DE GESTIÓN</t>
  </si>
  <si>
    <t>CONTRATOS - INFORMES</t>
  </si>
  <si>
    <t>CONTROL DE ASISTENTICA - CONTRATOS- VARIOS</t>
  </si>
  <si>
    <t>INFORMES A OTRAS ENTIDADES - COTRATOS - VARIOS</t>
  </si>
  <si>
    <t>DERECHOS DE PETICIÓN - INFORMES- VARIOS</t>
  </si>
  <si>
    <t>CORRESPONDENCIA - INFORMES - SEGUIMIENTO - VARIOS</t>
  </si>
  <si>
    <t>CONTRATOS - DOCUMENTOS CARRASCO</t>
  </si>
  <si>
    <t>CONTRATOS - VARIOS - INFORMES</t>
  </si>
  <si>
    <t>CONTRATOS VARIOS</t>
  </si>
  <si>
    <t>CONTRATOS - DOCUMENTOS DEPSER</t>
  </si>
  <si>
    <t>CATALOGOS - PROYECTOS - VARIOS</t>
  </si>
  <si>
    <t>INFORMES - PLANILLAS - VARIOS</t>
  </si>
  <si>
    <t>INFORMES - VARIOS</t>
  </si>
  <si>
    <t>INFORMES - DOCUMENTOS DE APOYO</t>
  </si>
  <si>
    <t>PQR - PRUEBA GEOFONO - ACTAS DE INSTALACIÓN - DERECHOS DE PETICIÓN</t>
  </si>
  <si>
    <t>INFORMES, DERECHOS DE PETICIÓN, CONTRATOS, PLANOS, ACTAS, VARIOS</t>
  </si>
  <si>
    <t>CORRESPONDENCIA, VARIOS</t>
  </si>
  <si>
    <t>MANUALES, PEDIDOS, COTIZACIONES Y VARIOS</t>
  </si>
  <si>
    <t>REPORTES, RESULTADOS, VARIOS</t>
  </si>
  <si>
    <t>VARIABLES DE LABORATORIO Y REGISTROS DE PRUEBAS</t>
  </si>
  <si>
    <t>PLANILLAS DE OPERACIONES, CONTROL DE OXIGENO DISUELTO</t>
  </si>
  <si>
    <t>VARIOS Y DOCUMENTOS DE APOYO</t>
  </si>
  <si>
    <t>HISTORIAL DEL USUARIO</t>
  </si>
  <si>
    <t>DOCUMENTOS DE APOYO Y VARIOS</t>
  </si>
  <si>
    <t>HISTORIAL DEL USUARIO Y VARIOS</t>
  </si>
  <si>
    <t>INFORMES Y DERECHOS DE PETICIÓN</t>
  </si>
  <si>
    <t>AJUSTES DE ESTADO</t>
  </si>
  <si>
    <t>COMPROBANTES, CAUSACIONES, LIBROS, CAJA, VARIOS</t>
  </si>
  <si>
    <t>COMPROBANTES DE FACTURACIÓN</t>
  </si>
  <si>
    <t xml:space="preserve">NOTAS DE CONTABILIDAD, COMPROBANTES </t>
  </si>
  <si>
    <t>BALANCES, ESTADOS FINANCIEROS Y VARIOS</t>
  </si>
  <si>
    <t>CDP, RP, CONCILIACIONES</t>
  </si>
  <si>
    <t>ESTADOS FINANCIEROS, FACTURAS</t>
  </si>
  <si>
    <t>IMPUESTOS, FACTURAS, VARIOS</t>
  </si>
  <si>
    <t>NOTAS DE CONTABILIDAD, NOMINA, COMPROBANTES</t>
  </si>
  <si>
    <t>COMPROBANTES DE INGRESO</t>
  </si>
  <si>
    <t>NOTAS DE PRESUPUESTO Y VARIOS</t>
  </si>
  <si>
    <t>CDP,, RP, NOTAS DE PRESUPUESTO</t>
  </si>
  <si>
    <t>MODIFICACIONES AL PRESUPUESTO</t>
  </si>
  <si>
    <t>NOTAS DE PRESUPUESTO, CDP, RP</t>
  </si>
  <si>
    <t>MANTENIMIENTOS</t>
  </si>
  <si>
    <t>CONVENIOS PRACTICANTES COLEGIOS</t>
  </si>
  <si>
    <t>HISTORIAS LABORALES</t>
  </si>
  <si>
    <t>PQR´S , INFORMES, VARIOS</t>
  </si>
  <si>
    <t>NOTAS TESORERIA - NOTAS BANCARIAS - CONCILIACIONES</t>
  </si>
  <si>
    <t>CONSIGNACIONES - CONVENIOS - TRASLADOS</t>
  </si>
  <si>
    <t>CONCILIACIONES - VARIOS</t>
  </si>
  <si>
    <t>CONCILIACIONES BANCARIAS</t>
  </si>
  <si>
    <t>CERTIFICACIONES - CORRESPONDENCIA</t>
  </si>
  <si>
    <t>NOTAS BANCARIAS - NOTAS TESORERIA</t>
  </si>
  <si>
    <t>EGRESOS - NOTAS BANCARIAS - NOMINA</t>
  </si>
  <si>
    <t xml:space="preserve">NOTAS BANCARIAS  </t>
  </si>
  <si>
    <t>COMPROBANTES DE EGRESOS</t>
  </si>
  <si>
    <t>CUENTAS POR PAGAR - EGRESOS - VARIOS</t>
  </si>
  <si>
    <t>TRANSFERENCIAS ELECTRÓNICAS - COMPROBANTES DE EGRESO</t>
  </si>
  <si>
    <t>PAGOS ELECTRÓNICOS - EGRESOS - VIÁTICOS</t>
  </si>
  <si>
    <t xml:space="preserve">COMPROBANTES DE EGRESO </t>
  </si>
  <si>
    <t>NOTAS BANCARIAS - COMPROBANTES DE EGRESOS</t>
  </si>
  <si>
    <t>CONCILIACIONES BANCARIAS DE CUENTAS PROPIAS</t>
  </si>
  <si>
    <t>CUENTAS CONVENIO</t>
  </si>
  <si>
    <t>CUENTAS CONVENIO CANCELADAS</t>
  </si>
  <si>
    <t>NOTAS DE TESORERIA - NOTAS BANCARIAS - TRANSFERENCIAS</t>
  </si>
  <si>
    <t>CONCILIACIONES BANCARIAS DE CUENTAS CONVENIO</t>
  </si>
  <si>
    <t>COMPROBANTES DE EGRESO</t>
  </si>
  <si>
    <t>EGRESOS - CONVENIOS - CREDITOS</t>
  </si>
  <si>
    <t>ACUERDOS DE PAGO - INFORMES - RECUADOS - VENTAS MEDIDORES</t>
  </si>
  <si>
    <t>CREDITOS VENTA DE MEDIDORES</t>
  </si>
  <si>
    <t xml:space="preserve">DOCUMENTOS VARIOS </t>
  </si>
  <si>
    <t>CUPONES</t>
  </si>
  <si>
    <t>CREDITOS POR VENTA DE MEDIDORES - ACUERDOS DE PAGO</t>
  </si>
  <si>
    <t>VARIOS - CONTRATOS</t>
  </si>
  <si>
    <t>CONTRATOS SUMINISTROS-INFORMES</t>
  </si>
  <si>
    <t>CONTROL Y PERDIDAS</t>
  </si>
  <si>
    <t>ACTAS DE ACUERDO - INFORMES - DEFRAUACIÓN</t>
  </si>
  <si>
    <t>ACTAS DE CORRESPONDENCIA - OFICIOS VARIOS</t>
  </si>
  <si>
    <t>ORDENES DE SERVICIO - INFORMES DE GESTIÓN Y RESULTADOS - DERECHOS DE PETICION</t>
  </si>
  <si>
    <t xml:space="preserve">ORDENES DE SEGUIMIENTO  </t>
  </si>
  <si>
    <t>PQR - VINCULACIÓN Y DESVINCULACIÓN</t>
  </si>
  <si>
    <t>VINCULACIONES Y DESVINCULACIONES</t>
  </si>
  <si>
    <t>PQR VARIOS</t>
  </si>
  <si>
    <t>VARIOS - PQR - DESVINCULACIONES</t>
  </si>
  <si>
    <t>PQRSF Comercial</t>
  </si>
  <si>
    <t>INFORMES DE GESTIÓN - INFORMES A OTRAS ENTIDADES - VARIOS</t>
  </si>
  <si>
    <t>FACTURACIÓN - RECONEXIONES - TARIFAS - GRANDES CLIENTES</t>
  </si>
  <si>
    <t>GRANDES CLIENTES - SUSPENSIONES</t>
  </si>
  <si>
    <t>RECONEXIONES Y SUSPENSIONES</t>
  </si>
  <si>
    <t>RECIBOS</t>
  </si>
  <si>
    <t>EXPEDIENTES COBRO COACTIVO</t>
  </si>
  <si>
    <t>CORRESPONDENCIA VARIOS INFORMES</t>
  </si>
  <si>
    <t>HISTORIAL COBRO COACTIVO</t>
  </si>
  <si>
    <t>RESOLUCIONES COBRO COACTIVO - INFORMES</t>
  </si>
  <si>
    <t>PROCESOS COACTIVOS - FINANCIACIÓN - SUSPENSIONES</t>
  </si>
  <si>
    <t>PROCESOS DE COBRO COACTIVO EN DIFERENTES ESTADOS</t>
  </si>
  <si>
    <t>MANDAMIENTOS DE PAGO</t>
  </si>
  <si>
    <t>INVENTARIO DOCUMENTAL</t>
  </si>
  <si>
    <t>ESPACIOS DE ALMACENAMIENTO DISPONIBLES (ML)</t>
  </si>
  <si>
    <t>150 ML</t>
  </si>
  <si>
    <t>PROYECTOS DEL SISTEMA DE ALCANTARILLADO</t>
  </si>
  <si>
    <t>DISEÑOS</t>
  </si>
  <si>
    <t>RELIQUIDACIÓN, PAGARES, ACUERDOS DE PAGO</t>
  </si>
  <si>
    <t>HISORIAL DEL USUARIO</t>
  </si>
  <si>
    <t>INFORMES, CONTRATOS, ORDENES</t>
  </si>
  <si>
    <t>ADMINISTRATIVA Y FINANCIERA</t>
  </si>
  <si>
    <t>COMPROBANTES DE EGRESO Y CAUSACIONES</t>
  </si>
  <si>
    <t>CORRESPONDENCIA, ACTAS</t>
  </si>
  <si>
    <t>RECUADOS, CONSIGNACIONES</t>
  </si>
  <si>
    <t>TOTAL</t>
  </si>
  <si>
    <t>Oficinas Productoras-Series o asuntos documentales identificados</t>
  </si>
  <si>
    <t>Volumen documental estimado, por serie</t>
  </si>
  <si>
    <t>Cajas</t>
  </si>
  <si>
    <t>Carpetas</t>
  </si>
  <si>
    <t>AZ</t>
  </si>
  <si>
    <t xml:space="preserve">Otro </t>
  </si>
  <si>
    <t>FICHA DE DIAGNÓSTICO DE ARCHIVOS - ASPECTOS DE CONSERVACIÓN</t>
  </si>
  <si>
    <t>INFORMACIÓN GENERAL - DECRETO 1080 DE 2015</t>
  </si>
  <si>
    <t>(+57) 6339666</t>
  </si>
  <si>
    <t>A.</t>
  </si>
  <si>
    <t>¿Conoce qué es un sistema integrado de conservación?</t>
  </si>
  <si>
    <t>La funcionaria de planta del archivo se capacito en el tema con una taller en el AGN</t>
  </si>
  <si>
    <t>¿Se ha implementado en la entidad? ¿Como?</t>
  </si>
  <si>
    <t>¿Se destina presupuesto para la ejecución de los programas del Sistema Integrado de Conservación? ¿Con qué frecuencia?</t>
  </si>
  <si>
    <t>¿Se establecen los requisitos para materiales calidad archivo? (ganchos plásticos, cajas con pH neutro, etc.) ¿Cuáles?</t>
  </si>
  <si>
    <t>¿Existe plan y brigada para la atención y prevención de emergencias para material documental?</t>
  </si>
  <si>
    <t>¿Existe personal capacitado para poner en práctica el plan?</t>
  </si>
  <si>
    <t>Nombre de la oficina productora, según organigrama de la entidad</t>
  </si>
  <si>
    <t>Número de oficina productora</t>
  </si>
  <si>
    <t>PRODUCCIÓN DOCUMENTAL</t>
  </si>
  <si>
    <t xml:space="preserve">¿En qué formatos se encuentra la documentación de la oficina? </t>
  </si>
  <si>
    <t xml:space="preserve">Carta </t>
  </si>
  <si>
    <t xml:space="preserve">Oficio </t>
  </si>
  <si>
    <t xml:space="preserve">Menor a carta </t>
  </si>
  <si>
    <t xml:space="preserve">Mayor a oficio </t>
  </si>
  <si>
    <t>Gran formato</t>
  </si>
  <si>
    <t>Formato digital (preservación)</t>
  </si>
  <si>
    <t>Formato mixto (papel y digital) (conservación y preservación )</t>
  </si>
  <si>
    <t>Resoluciones</t>
  </si>
  <si>
    <t>Material publicitario</t>
  </si>
  <si>
    <t>Planos de proyectos</t>
  </si>
  <si>
    <t>CD´S de proyectos de redes y urbanisticos</t>
  </si>
  <si>
    <t>Sistemas de Información de la superservicios</t>
  </si>
  <si>
    <t>Los procesos, procedimientos y formatos del SGC</t>
  </si>
  <si>
    <t>Informe calidad del agua para el SUI</t>
  </si>
  <si>
    <t>Planillas de la correspondencia</t>
  </si>
  <si>
    <t>Backup en DVD con la información del software arcosis 2012 en adelante</t>
  </si>
  <si>
    <t>Características físicas de la documentación:</t>
  </si>
  <si>
    <t>2.2.1</t>
  </si>
  <si>
    <t xml:space="preserve">Tipo de soporte </t>
  </si>
  <si>
    <t>Bond 75 g</t>
  </si>
  <si>
    <t>Copia - Papel químico</t>
  </si>
  <si>
    <t>Fotografías</t>
  </si>
  <si>
    <t>Medios magnéticos</t>
  </si>
  <si>
    <t>DVD</t>
  </si>
  <si>
    <t>2.2.2</t>
  </si>
  <si>
    <t xml:space="preserve">Técnica de registro </t>
  </si>
  <si>
    <t>Impresión</t>
  </si>
  <si>
    <t>Manuscrito</t>
  </si>
  <si>
    <t>¿Toman fotocopias de fax u otros documentos recibidos susceptibles de pérdida de información?</t>
  </si>
  <si>
    <t>¿Cuáles?</t>
  </si>
  <si>
    <t xml:space="preserve">C. </t>
  </si>
  <si>
    <t>GESTIÓN Y TRÁMITE</t>
  </si>
  <si>
    <t>¿Cuenta con una unidad de almacenamiento (embalaje) acorde para la distribución de documentos?</t>
  </si>
  <si>
    <t>¿Qué útiles de escritorio emplea durante el trámite de documentos? (visual)</t>
  </si>
  <si>
    <t xml:space="preserve">Esferos o bolígrafos </t>
  </si>
  <si>
    <t xml:space="preserve">Lápiz de mina negra </t>
  </si>
  <si>
    <t xml:space="preserve">Resaltadores </t>
  </si>
  <si>
    <t xml:space="preserve">Micro punta </t>
  </si>
  <si>
    <t xml:space="preserve">Marcadores </t>
  </si>
  <si>
    <t xml:space="preserve">Colores o lápices de color </t>
  </si>
  <si>
    <t xml:space="preserve">Corrector de escritura </t>
  </si>
  <si>
    <t xml:space="preserve">Sellos de tinta </t>
  </si>
  <si>
    <t xml:space="preserve">Sellos secos </t>
  </si>
  <si>
    <t>Cosedora</t>
  </si>
  <si>
    <t>Perforadora</t>
  </si>
  <si>
    <t>Clips metálicos</t>
  </si>
  <si>
    <t>¿Se conservan adecuadamente los documentos? (visual)</t>
  </si>
  <si>
    <t xml:space="preserve">D. </t>
  </si>
  <si>
    <t xml:space="preserve">ORGANIZACIÓN DE DOCUMENTOS  </t>
  </si>
  <si>
    <t>¿Durante la organización  se registra en el FUID o en otra herramienta, el estado de conservación de los documentos?</t>
  </si>
  <si>
    <t>¿Existen documentos con deterioro biológico?</t>
  </si>
  <si>
    <t>¿Se identifican y aíslan los documentos con deterioro biológico?</t>
  </si>
  <si>
    <t xml:space="preserve">¿Utiliza lápiz de mina de grafito negro para la foliación? </t>
  </si>
  <si>
    <t xml:space="preserve">Durante la organización de documentos, ¿se retira material abrasivo como ganchos de cosedora, clips, post it, cintas, etc.? </t>
  </si>
  <si>
    <t>4.6</t>
  </si>
  <si>
    <t>¿Se realizan procesos de primeros auxilios y/o restauración a los documentos que presentan deterioros?</t>
  </si>
  <si>
    <t>4.7</t>
  </si>
  <si>
    <t>¿Aplica los lineamientos de conservación para las transferencias primarias? (uso de materiales calidad archivo)</t>
  </si>
  <si>
    <t>4.8</t>
  </si>
  <si>
    <t>¿Cuentan con medios magnéticos?</t>
  </si>
  <si>
    <t>4.9</t>
  </si>
  <si>
    <t>¿Aplican parámetros de preservación para los medios magnéticos?</t>
  </si>
  <si>
    <t>Servidor y CD´s</t>
  </si>
  <si>
    <t>4.10</t>
  </si>
  <si>
    <t>¿Existe el mobiliario adecuado para la organización y conservación de los archivos? (visual)</t>
  </si>
  <si>
    <t>Falta mobiliario</t>
  </si>
  <si>
    <t>4.11</t>
  </si>
  <si>
    <t>¿Los soportes documentales presentan material particulado en las superficies? (visual)</t>
  </si>
  <si>
    <t xml:space="preserve">E. </t>
  </si>
  <si>
    <t>TRANSFERENCIAS PRIMARIAS</t>
  </si>
  <si>
    <t>La documentación se encuentra almacenada en:</t>
  </si>
  <si>
    <t>Paquetes</t>
  </si>
  <si>
    <t>Tomos</t>
  </si>
  <si>
    <t>Planos</t>
  </si>
  <si>
    <t>Legajos</t>
  </si>
  <si>
    <t>Disquetes</t>
  </si>
  <si>
    <t>CD</t>
  </si>
  <si>
    <t>Folders</t>
  </si>
  <si>
    <t>Anillados</t>
  </si>
  <si>
    <t>¿Se encuentra estandarizado el uso de las unidades de conservación (Cajas y carpetas) en la Entidad?</t>
  </si>
  <si>
    <t>LA ENTIDAD HA VENIDO ADQUIRIENDO CARPETAS CUATRO ALETAS Y CAJAS X200.  PERO TODAS LAS OFICINAS NO CUENTAN CON ESTE MATERIAL PARA ARCHIVAR</t>
  </si>
  <si>
    <t>¿La documentación se encuentra dispuesta directamente sobre el piso? (visual)</t>
  </si>
  <si>
    <t>Los soportes documentales están sujetos con: (visual)</t>
  </si>
  <si>
    <t>Gancho metálico</t>
  </si>
  <si>
    <t>Gancho plástico</t>
  </si>
  <si>
    <t>Amarrados con pita o cabuya</t>
  </si>
  <si>
    <t>Amarrados con caucho</t>
  </si>
  <si>
    <t xml:space="preserve">Amarrados con zuncho </t>
  </si>
  <si>
    <t>5.5</t>
  </si>
  <si>
    <t>¿Las unidades de almacenamiento y/o la documentación a transferir presentan indicadores de biodeterioro? (visual)</t>
  </si>
  <si>
    <t xml:space="preserve">F. </t>
  </si>
  <si>
    <t>¿Se realiza la migración de la información a un soporte que garantice la perdurabilidad de la información?</t>
  </si>
  <si>
    <t>ATENCIÓN Y PREVENCIÓN DE EMERGENCIAS</t>
  </si>
  <si>
    <t>¿Conoce plan y brigada para la atención y prevención de emergencias para material documental?</t>
  </si>
  <si>
    <t>El archivo cuenta con (visual)</t>
  </si>
  <si>
    <t>7.2.1</t>
  </si>
  <si>
    <t>Extintores:</t>
  </si>
  <si>
    <t>Solkaflam</t>
  </si>
  <si>
    <t>Multipropósito</t>
  </si>
  <si>
    <t>Polvo Químico</t>
  </si>
  <si>
    <t>Gas carbónico (CO2)</t>
  </si>
  <si>
    <t>Agua a presión</t>
  </si>
  <si>
    <t>7.2.2</t>
  </si>
  <si>
    <t>Seguridad: (visual)</t>
  </si>
  <si>
    <t xml:space="preserve">Detectores de humo  </t>
  </si>
  <si>
    <t xml:space="preserve">Alarma de seguridad </t>
  </si>
  <si>
    <t xml:space="preserve">Personal de vigilancia </t>
  </si>
  <si>
    <t xml:space="preserve">Cámaras de seguridad </t>
  </si>
  <si>
    <t>Sensores de inundación</t>
  </si>
  <si>
    <t>¿La cantidad de sistemas de detección y control son suficientes para el área del archivo? (visual)</t>
  </si>
  <si>
    <t>¿Cuenta con sistemas de señalización y rutas de evacuación? (visual)</t>
  </si>
  <si>
    <t>¿La documentación se ha afectado por algún siniestro? (inundaciones, incendios, vandalismo, entre otros)</t>
  </si>
  <si>
    <t>Qué tratamiento se realizó?</t>
  </si>
  <si>
    <t>Secado</t>
  </si>
  <si>
    <t>Limpieza</t>
  </si>
  <si>
    <t>Desinfección</t>
  </si>
  <si>
    <t>PROGRAMA DE LIMPIEZA DE ÁREAS Y DOCUMENTOS</t>
  </si>
  <si>
    <t>¿El mobiliario presenta material particulado? (Estanterías, mesas de trabajo, etc.) (visual)</t>
  </si>
  <si>
    <t>¿Las unidades de almacenamiento y la documentación presenta acumulación de material particulado? (visual)</t>
  </si>
  <si>
    <t>¿Se realiza limpieza periódica de áreas físicas? ¿Cómo?</t>
  </si>
  <si>
    <t>Aseo general de las instalaciones.  Barrido y trapeado de pisos</t>
  </si>
  <si>
    <t>¿Cuenta con un cronograma de limpieza?</t>
  </si>
  <si>
    <t>La limpieza se realiza a:</t>
  </si>
  <si>
    <t>Depósitos</t>
  </si>
  <si>
    <t>Oficinas</t>
  </si>
  <si>
    <t>Áreas comunes</t>
  </si>
  <si>
    <t>Mobiliario y/o estantería</t>
  </si>
  <si>
    <t>Unidades de almacenamiento</t>
  </si>
  <si>
    <t xml:space="preserve">Unidades documentales </t>
  </si>
  <si>
    <t>¿Qué elementos usa para este proceso?</t>
  </si>
  <si>
    <t>Bayetillas</t>
  </si>
  <si>
    <t>Traperos</t>
  </si>
  <si>
    <t>Escobas</t>
  </si>
  <si>
    <t>Aspiradora</t>
  </si>
  <si>
    <t>¿Utiliza productos para el proceso de limpieza? ¿Cuáles?</t>
  </si>
  <si>
    <t>Limpidos.  Desinfectantes</t>
  </si>
  <si>
    <t>PROGRAMA DE SANEAMIENTO AMBIENTAL (CONTROL DE PLAGAS)</t>
  </si>
  <si>
    <t>Se realiza control de roedores en:</t>
  </si>
  <si>
    <t>Áreas de almacenamiento</t>
  </si>
  <si>
    <t>¿El control de roedores esta debidamente señalizado y con raticida?</t>
  </si>
  <si>
    <t>Se realiza control de insectos en:</t>
  </si>
  <si>
    <t>Se realiza control de microorganismos (desinfección) en:</t>
  </si>
  <si>
    <t>¿El proceso de control es frecuente? ¿Cada cuánto?</t>
  </si>
  <si>
    <t>Primera fumigación Septiembre 30 de 2017</t>
  </si>
  <si>
    <t>SALUD OCUPACIONAL</t>
  </si>
  <si>
    <t>¿Se realizan capacitaciones en normas de bioseguridad para manejo documental a todo el personal de la entidad?</t>
  </si>
  <si>
    <t>¿Se emplean elementos de protección personal durante la manipulación de los soportes documentales? (visual)</t>
  </si>
  <si>
    <t>Los funcionarios del archivo central, utilizan tapabocas y guantes</t>
  </si>
  <si>
    <t>SENSIBILIZACIÓN Y TOMA DE CONCIENCIA</t>
  </si>
  <si>
    <t>¿Han recibido capacitaciones  en temas de conservación y seguridad de la información con sus diferentes soportes documentales?</t>
  </si>
  <si>
    <t>SIC</t>
  </si>
  <si>
    <t xml:space="preserve">INSPECCIÓN Y MANTENIMIENTO DE INSTALACIONES </t>
  </si>
  <si>
    <t>12.1</t>
  </si>
  <si>
    <t>¿El archivo se encuentra ubicado en un lugar? (visual)</t>
  </si>
  <si>
    <t>Seguro  (terrorismo, vandalismo, hurto, entre otros)</t>
  </si>
  <si>
    <t>Libre de humedad</t>
  </si>
  <si>
    <t>Riesgos de inundación</t>
  </si>
  <si>
    <t>Riesgos naturales</t>
  </si>
  <si>
    <t>Incendios</t>
  </si>
  <si>
    <t xml:space="preserve">Industrias </t>
  </si>
  <si>
    <t>Otros</t>
  </si>
  <si>
    <t>12.2</t>
  </si>
  <si>
    <t>El archivo se encuentra protegido contra las condiciones ambientales adversas? (visual)</t>
  </si>
  <si>
    <t>12.3</t>
  </si>
  <si>
    <t>¿Los pisos, muros, techos, paredes y puertas están construidos con materiales ignífugos? (visual)</t>
  </si>
  <si>
    <t>12.4</t>
  </si>
  <si>
    <t>¿La cubierta y/o techos están en buen estado? (visual)</t>
  </si>
  <si>
    <t>12.5</t>
  </si>
  <si>
    <t>¿Los muros y/o paredes están en buen estado? (visual)</t>
  </si>
  <si>
    <t>12.6</t>
  </si>
  <si>
    <t>¿Los pisos están en buen estado? (visual)</t>
  </si>
  <si>
    <t>12.7</t>
  </si>
  <si>
    <t>¿Las instalaciones eléctricas están en buen estado? (visual)</t>
  </si>
  <si>
    <t>12.8</t>
  </si>
  <si>
    <t>¿Las instalaciones hidráulicas y sanitarias están en buen estado? (visual)</t>
  </si>
  <si>
    <t>12.9</t>
  </si>
  <si>
    <t>¿Las zonas de acceso y circulación son adecuadas? (visual)</t>
  </si>
  <si>
    <t>12.10</t>
  </si>
  <si>
    <t>¿El área de almacenamiento de la documentación esta separada de las zonas de trabajo y áreas de consulta? (visual)</t>
  </si>
  <si>
    <t>No hay área de consulta de documentos</t>
  </si>
  <si>
    <t>12.11</t>
  </si>
  <si>
    <t>¿Cuenta con el espacio suficiente para albergar el archivo? (Archivo Central - Área m²)</t>
  </si>
  <si>
    <t>12.12</t>
  </si>
  <si>
    <t>¿Cuenta con espacio suficiente (estantería) para recibir las Transferencias Documentales? (Archivo Central)</t>
  </si>
  <si>
    <t>12.13</t>
  </si>
  <si>
    <t>¿La cantidad y distribución de la estantería está acorde con la documentación producida?</t>
  </si>
  <si>
    <t>12.14</t>
  </si>
  <si>
    <t>La estantería es:</t>
  </si>
  <si>
    <t>Metálica Fija</t>
  </si>
  <si>
    <t>Rodante</t>
  </si>
  <si>
    <t>12.15</t>
  </si>
  <si>
    <t>El mobiliario es</t>
  </si>
  <si>
    <t>Madera</t>
  </si>
  <si>
    <t xml:space="preserve">Planotecas </t>
  </si>
  <si>
    <t>Archivadores verticales</t>
  </si>
  <si>
    <t>Mixto</t>
  </si>
  <si>
    <t>12.16</t>
  </si>
  <si>
    <t>¿La estantería se encuentra en buen estado de conservación? (Visual)</t>
  </si>
  <si>
    <t>Para la ampliación del archivo central compraron 40 estantes</t>
  </si>
  <si>
    <t>12.17</t>
  </si>
  <si>
    <t>¿El cerramiento superior de la estantería es utilizado para almacenar documentación u otro tipo de materiales diferentes a los de archivo? (Visual)</t>
  </si>
  <si>
    <t>12.18</t>
  </si>
  <si>
    <t>¿La estantería esta separada de los muros? (Visual)</t>
  </si>
  <si>
    <t>12.19</t>
  </si>
  <si>
    <t xml:space="preserve">¿Se realiza mantenimiento locativo periódico a las instalaciones? ¿Cuáles?¿Con qué frecuencia? </t>
  </si>
  <si>
    <t>MEDICIÓN DE CONDICIONES AMBIENTALES</t>
  </si>
  <si>
    <t>13.1</t>
  </si>
  <si>
    <t>¿La entidad realiza monitoreo de condiciones ambientales (monitoreo microbiológico, de gases, de luz) en el archivo y/o en los espacios de almacenamiento?</t>
  </si>
  <si>
    <t>13.2</t>
  </si>
  <si>
    <t>¿Cuenta con equipos para medir los factores ambientales? ¿Cuáles?</t>
  </si>
  <si>
    <t>13.3</t>
  </si>
  <si>
    <t>¿Se analiza la información obtenida con los equipos de medición?</t>
  </si>
  <si>
    <t>13.4</t>
  </si>
  <si>
    <t>¿Toma acciones de acuerdo a los resultados? ¿Cuáles?</t>
  </si>
  <si>
    <t>13.5</t>
  </si>
  <si>
    <t>Medición de Iluminación:</t>
  </si>
  <si>
    <t>Punto 1</t>
  </si>
  <si>
    <t>Punto 2</t>
  </si>
  <si>
    <t>Punto 3</t>
  </si>
  <si>
    <t>Punto 4</t>
  </si>
  <si>
    <t>Punto 5</t>
  </si>
  <si>
    <t>Punto 6</t>
  </si>
  <si>
    <t>Punto 7</t>
  </si>
  <si>
    <t>Punto 8</t>
  </si>
  <si>
    <t>Punto 9</t>
  </si>
  <si>
    <t>Punto 10</t>
  </si>
  <si>
    <t xml:space="preserve">Lux </t>
  </si>
  <si>
    <t>UV</t>
  </si>
  <si>
    <t>13.6</t>
  </si>
  <si>
    <t xml:space="preserve">Medición de Humedad Relativa y Temperatura  </t>
  </si>
  <si>
    <t>Fecha instalación datalogger</t>
  </si>
  <si>
    <t>Hora instalación datalogger</t>
  </si>
  <si>
    <t>Fecha retiro datalogger</t>
  </si>
  <si>
    <t>Hora retiro datalogger</t>
  </si>
  <si>
    <t>Datalogger No.</t>
  </si>
  <si>
    <t>13.7</t>
  </si>
  <si>
    <t>Toma de muestras microbiológicas</t>
  </si>
  <si>
    <t>Ambientes (Archivo Central Sede/Dirección Seccional)</t>
  </si>
  <si>
    <t>Fecha muestreo:</t>
  </si>
  <si>
    <t>Superficies (Documentos con biodeterioro, caja  y estantería)</t>
  </si>
  <si>
    <t>REGISTRO FOTOGRÁFICO</t>
  </si>
  <si>
    <t xml:space="preserve">Aspectos relevantes del estado actual de las instalaciones físicas del archivo y de la documentación. 
</t>
  </si>
  <si>
    <t xml:space="preserve">
</t>
  </si>
  <si>
    <t xml:space="preserve">H. </t>
  </si>
  <si>
    <t>VALORACIÓN</t>
  </si>
  <si>
    <t>14.1</t>
  </si>
  <si>
    <t>¿Los documentos una vez valorados, se almacenan adecuadamente en materiales calidad archivo?</t>
  </si>
  <si>
    <t>Cajas, Carpetas, AZ</t>
  </si>
  <si>
    <t xml:space="preserve">DIAGNÓSTICO DOCUMENTAL EN CONSERVACIÓN </t>
  </si>
  <si>
    <t>ENTIDAD:</t>
  </si>
  <si>
    <t>DIRECCIÓN:</t>
  </si>
  <si>
    <t xml:space="preserve">CALLE 37 No. 10 - 30 </t>
  </si>
  <si>
    <t>TELÉFONO:</t>
  </si>
  <si>
    <t>ELABORADO POR:</t>
  </si>
  <si>
    <t>GRUPO GESTION DOCUMENTAL</t>
  </si>
  <si>
    <t>FECHA:</t>
  </si>
  <si>
    <t>JUNIO DE 2018</t>
  </si>
  <si>
    <t>IDENTIFICACION</t>
  </si>
  <si>
    <t>ESTADO DE CONSERVACION</t>
  </si>
  <si>
    <t>OTROS SOPORTES</t>
  </si>
  <si>
    <t xml:space="preserve">TECNICA </t>
  </si>
  <si>
    <t>TIPO PAPEL</t>
  </si>
  <si>
    <t>IDENTIFICACIÓN</t>
  </si>
  <si>
    <t>Identificar si presenta o no, en los aspectos que sean identificados por unidad documental</t>
  </si>
  <si>
    <t>No.</t>
  </si>
  <si>
    <t>OFICINA PRODUCTORA</t>
  </si>
  <si>
    <t>NOMBRE DE LA SERIE, SUBSERIE O ASUNTO</t>
  </si>
  <si>
    <t>CAJA</t>
  </si>
  <si>
    <t>UNIDAD</t>
  </si>
  <si>
    <t>TIPO DE UNIDAD</t>
  </si>
  <si>
    <t>NUMERO DE FOLIOS TOTAL</t>
  </si>
  <si>
    <t>UNIDAD SIN DETERIORO</t>
  </si>
  <si>
    <t>BIODETERIORO</t>
  </si>
  <si>
    <t>RASGADURAS</t>
  </si>
  <si>
    <t>FALTANTES</t>
  </si>
  <si>
    <t>REFUERZOS INADECUADOS</t>
  </si>
  <si>
    <t>MATERIAL METALICO</t>
  </si>
  <si>
    <t>CINTA ADHESIVA</t>
  </si>
  <si>
    <t>DEFORMACION DE PLANO / DOBLECES</t>
  </si>
  <si>
    <t>SUCIEDAD ACUMULADA</t>
  </si>
  <si>
    <t>RESTOS DE ADHESIVO ACTIVO</t>
  </si>
  <si>
    <t>FAX</t>
  </si>
  <si>
    <t>FOTOGRAFÍAS</t>
  </si>
  <si>
    <t>MEDIOS  MAGNÈTICOS</t>
  </si>
  <si>
    <t>OTROS</t>
  </si>
  <si>
    <t>MANUSCRITO</t>
  </si>
  <si>
    <t>MAQUINA DE ESCRIBIR</t>
  </si>
  <si>
    <t>IMPRESIÓN DE PUNTO</t>
  </si>
  <si>
    <t>IMPRESIÓN DE INYECCION</t>
  </si>
  <si>
    <t>PAPEL COPIA</t>
  </si>
  <si>
    <t>PAPEL BOND</t>
  </si>
  <si>
    <t>PAPEL PERIODICO</t>
  </si>
  <si>
    <t>DESCRIPCIÓN OTROS</t>
  </si>
  <si>
    <t>ENTIDAD ADSCRITA</t>
  </si>
  <si>
    <t>FECHA</t>
  </si>
  <si>
    <t>HORA</t>
  </si>
  <si>
    <t>RESOLUCIONES</t>
  </si>
  <si>
    <t>TM</t>
  </si>
  <si>
    <t>OFICINA DE PLANEACIÓN</t>
  </si>
  <si>
    <t>CARP</t>
  </si>
  <si>
    <t>LG</t>
  </si>
  <si>
    <t xml:space="preserve">ATENCIÓN AL USUARIO </t>
  </si>
  <si>
    <t>PQRSF COMERCIAL</t>
  </si>
  <si>
    <t>DIAGNÓSTICO DOCUMENTAL EN PROCESOS ARCHIVÍSTICOS</t>
  </si>
  <si>
    <t>CLASIFICACIÓN A NIVEL DE FONDO DOCUMENTAL</t>
  </si>
  <si>
    <t>ORDENACIÓN DOCUMENTAL</t>
  </si>
  <si>
    <t>DESCRIPCION DOCUMENTAL - ROTULO</t>
  </si>
  <si>
    <t>ROTULACION - SE CAPTURAN DATOS DE:</t>
  </si>
  <si>
    <t>CRONOLÓGICA / NUMERICA</t>
  </si>
  <si>
    <t>FOLIACIÓN</t>
  </si>
  <si>
    <t>DUPLICIDAD</t>
  </si>
  <si>
    <t>ORDENACION DE LAS UNIDADES POR CONSECUTIVO AL INTERIOR DE LA CAJA</t>
  </si>
  <si>
    <t>LA UNIDAD DOCUMENTAL SE ENCUENTRA REGISTRADA EN EL INVENTARIO DOCUMENTAL</t>
  </si>
  <si>
    <t>HOJA DE CONTROL O DE RUTA</t>
  </si>
  <si>
    <t>LAS UNIDADES DOCUMENTALES SE ENCUENTRAN IDENTIFICADAS CON ROTULO NORMALIZADO (N) O MANO (M)</t>
  </si>
  <si>
    <t>UNIDAD ADMINISTRATIVA</t>
  </si>
  <si>
    <t>UNIDAD PRODUCTORA</t>
  </si>
  <si>
    <t>SERIE</t>
  </si>
  <si>
    <t>SUBSERIE</t>
  </si>
  <si>
    <t>ASUNTO</t>
  </si>
  <si>
    <t>FECHAS EXTREMAS</t>
  </si>
  <si>
    <t>FOLIOS</t>
  </si>
  <si>
    <t>UBICACIÓN TOPOGRÁFICA</t>
  </si>
  <si>
    <t xml:space="preserve">C </t>
  </si>
  <si>
    <t>C</t>
  </si>
  <si>
    <t>N</t>
  </si>
  <si>
    <t>CRONOLÓGICA</t>
  </si>
  <si>
    <t>UNIDAD DOCUMENTAL REGISTRADA EN INVENTARIO</t>
  </si>
  <si>
    <t>RÓTULO NORMALIZADO (N)</t>
  </si>
  <si>
    <t>CARPETA</t>
  </si>
  <si>
    <t>36.7%</t>
  </si>
  <si>
    <t>NUMERICA</t>
  </si>
  <si>
    <t>RÓTULO A MANO (M)</t>
  </si>
  <si>
    <t>TIPO FOLDER</t>
  </si>
  <si>
    <t>PAQUETE</t>
  </si>
  <si>
    <t>TOMO</t>
  </si>
  <si>
    <t>CONSECUTIVO AL INTERIOR DE LA CAJA</t>
  </si>
  <si>
    <t>LEGAJO</t>
  </si>
  <si>
    <t>MÁQUINA DE ESCRIBIR</t>
  </si>
  <si>
    <t>MEDIOS  MAGNÉTICOS</t>
  </si>
  <si>
    <t>MATERIAL METÁLICO</t>
  </si>
  <si>
    <t>DEFORMACIÓN DE PLANO</t>
  </si>
  <si>
    <t>RESTOS DE ADHESIVO</t>
  </si>
  <si>
    <t>MATRIZ DOFA</t>
  </si>
  <si>
    <t xml:space="preserve">ITEM </t>
  </si>
  <si>
    <t xml:space="preserve">DEBILIDADES </t>
  </si>
  <si>
    <t xml:space="preserve">OPORTUNIDADES </t>
  </si>
  <si>
    <t>FORTALEZAS</t>
  </si>
  <si>
    <t xml:space="preserve">AMENAZAS </t>
  </si>
  <si>
    <t>ASPECTOS ARCHIVÍSTICOS</t>
  </si>
  <si>
    <t>Falta de personal idóneo en gestión documental que  lidere la política archivística ,  asesore  y apoye la elaboración e implementación de los instrumentos archivísticos.</t>
  </si>
  <si>
    <t>1. Contratación y/o nombramiento  de personal idóneo que asesore a la entidad en temas de gestión documental.</t>
  </si>
  <si>
    <t>Compromiso de los directivos de la entidad para la implementación de los procesos de la gestión documental y asignación de recursos para  la ejecución de las actividades tendientes a mejora de dichos procesos.</t>
  </si>
  <si>
    <t xml:space="preserve">1. Hallazgos y posibles sanciones por parte de los entes de control en cuanto a la no aplicación de la normatividad archivística vigente.
2.Recibir por parte de los usuarios solicitudes, quejas, denuncias y reclamos e interponer recursos, por la falta de gestión oportuna.
3. Altas cargas de trabajo y multiplicidad  de funciones, que no permiten realizar adecuadamente las tareas de gestión documental. </t>
  </si>
  <si>
    <t>La entidad cuenta con una ventanilla única de correspondencia, sin embargo, esta no gestiona de manera centralizada y normalizada todas las comunicaciones oficiales.</t>
  </si>
  <si>
    <t xml:space="preserve">1. Acuerdo 060 de 2001 "por el cual se establecen pautas para la administración de las comunicaciones oficiales en las entidades públicas y las privadas que cumplen funciones públicas".
2. Circular  de 05 de 2012 "Recomendaciones para llevar a cabo procesos de digitalización y comunicaciones oficiales electrónicas en el marco de la iniciativa cero papel"  </t>
  </si>
  <si>
    <t>1.Sistema de información "Arcosis" con el que cuenta la entidad para la radicación de las comunicaciones oficiales.  El soporte que da 472 para el resparto de la correspondencia enviada.                                                                                                                                                                                                                                                                                  2.  Oficialización de la ventanilla única en el año 2014 con el fin de dar cumplimiento a la normatividad vigente.  Reslución # 253 de 20 noviembre 2014</t>
  </si>
  <si>
    <t>1.  Pérdida de información al no tener el control total de la comunicaciones oficiales.                        2.  Hallazgos emitidos por entes de control por la falta de aplicación de la normatividad vigente.</t>
  </si>
  <si>
    <t>Las Tablas de Retención Documental no se encuentran aplicadas en su totalidad,  a pesar de contar con el instrumento archivístico aprobado desde el año 2014 y actualizado en el año 2016</t>
  </si>
  <si>
    <t>1. Poder realizar las  actualizaciones de la TRD, conforme a la normatividad vigente.
2. Mini manual de Tablas de Retención Documental del Archivo General de la Nación.
3. Decreto 1080 de 2015 "Por el cual se expide el decreto único reglamentario del sector cultura".
4. Capacitación del personal , a fin de que el personal se apropie del conocimiento y se de continuidad a los procesos en gestión documental .
5. Acuerdo 05 de 2013 "Por medio del cual se establecen los criterios básicos para la clasificación, ordenación y descripción de archivos en las entidades publicas y privadas que cumplen funciones públicas y se dictan otras disposiciones".</t>
  </si>
  <si>
    <t>Cuentan con Tabla de Retención Documental actualizada de conformidad con la última estructura orgánico funcional.  Acuerdo de Junta Directiva 009 de Octubre de 2017.  Resolución # 471 diciembre 4 de 2017, por medio de la cual la entidad aprueba la actualización de TRD.</t>
  </si>
  <si>
    <t xml:space="preserve">1. Pérdida de información y mal manejo de procesos de gestión documental.
2. Hallazgos emitidos por entes de control, por la falta de aplicación de la normatividad vigente.
3.Formación de Fondos acumulados.
4. Recibir por parte de los usuarios solicitudes, quejas, denuncias y reclamos e interponer recursos, por la falta de gestión oportuna.
</t>
  </si>
  <si>
    <t>No todas las dependencias aplican instrumentos de descripción (Hoja de Control e Inventario Documental), que permitan el control y consulta ágil y oportuna de la información.  Teniendo en cuenta que estos formatos se encuentran parametrizados por la entidad.</t>
  </si>
  <si>
    <t>1. Acuerdo 038 de 2002 del Archivo General de la Nación "Por el cual se desarrolla el artículo 15 de la Ley General de Archivos 594 de 2000".
2. Acuerdo 05 de 2013 "Por medio del cual se establecen los criterios básicos para la clasificación, ordenación y descripción de archivos en las entidades públicas y privadas que cumplen funciones públicas y se dictan otras disposiciones".</t>
  </si>
  <si>
    <t>Contar con instrumentos de descripción documental como los inventarios documentales y la Hoja de Control parametrizados dentro del sistema de gestión de calidad.</t>
  </si>
  <si>
    <t xml:space="preserve">1. Perder el control de la documentación, repercutiendo en que los usuarios interpongan solicitudes, quejas, denuncias y reclamos, por la falta de gestión oportuna a causa de la tardía recuperación de la información.
</t>
  </si>
  <si>
    <t xml:space="preserve">No se han socializado los procedimientos y las políticas internas en materia de gestión documental al interior de la entidad. </t>
  </si>
  <si>
    <t xml:space="preserve">1. Contratación de empresas especializadas en temas de gestión documental y gestión de calidad, que capaciten al personal de la entidad en la construcción de los mismos.
2. Contratación de empresas especializadas en temas de gestión documental y gestión de calidad, que elaboren los procedimientos armonizándolos con los sistemas de gestión de calidad.
3. Decreto 1080 de 2015 "Por el cual se expide el decreto único reglamentario del sector cultura".
4. Decreto 2482 de 2012 "Por el cual se establecen los lineamientos generales para la integración de la planeación y la gestión".
 </t>
  </si>
  <si>
    <t>Compromiso de los directivos de la entidad para la implementación de los procesos de la gestión documental.</t>
  </si>
  <si>
    <t>1. Hallazgos por parte de los entes de control
2. Desgreño administrativo por falta de políticas que determinen la secuencia de los trámites.</t>
  </si>
  <si>
    <t>No contar  con Tablas de Valoración Documental.</t>
  </si>
  <si>
    <t>1. Contratación para la elaboración de la TVD.
2. Acuerdo 04 de 2013 "por el cual se reglamentan parcialmente los decretos 2578 y 2609 de 2012 y se modifica el procedimiento para la elaboración, presentación, evaluación, aprobación e implementación de las TRD y TVD"</t>
  </si>
  <si>
    <t>Inicio de elaboración de inventarios documentales en estado natural del archivo central de la entidad.</t>
  </si>
  <si>
    <t>1. Hallazgos por parte de los entes de control, por la no aplicación de la normatividad archivística vigente.
2. Pérdida de información histórica, valiosa para la entidad y el país.
3. Desorden documental, al no poder realizar la disposición final de los documentos, por falta de valoración de los mismos.</t>
  </si>
  <si>
    <t>No se ha actualizado el  Programa de Gestión Documental, el cual  le permite a la entidad normalizar los procedimientos  y desarrollar los programas específicos, ejemplo el Sistema Integrado de Conservación.</t>
  </si>
  <si>
    <t xml:space="preserve">Decreto 1080 de 2015 "Por el cual se expide el decreto único reglamentario del sector cultura".
2. Guía  "Gestión Documental -Bases para la implementación de un programa" y Guía para la implementación de un Programa de Gestión Documental: Fase I. </t>
  </si>
  <si>
    <t>La entidad cuenta con un documento base del PGD Programa de Gestión Documental, elaborado y aporbado por la entidad en el año 2015, según consta en la Resolución # 094 Junio 30 de 2016.                                                                                                                                                                                                                                                                                                                      Y la Política de Gestión Documental adoptada por la entidad mediante Resolución # 0095 Junio 30 de 2016.</t>
  </si>
  <si>
    <t xml:space="preserve">1. Hallazgos y posibles sanciones por parte de los entes de control en cuanto a la no aplicación de la normatividad archivística vigente.
</t>
  </si>
  <si>
    <t>La entidad cuenta con el PINAR Plan Institucional de Archivo, elaborado y aprobado en el año 2014,  pero es necesario actualizarlo y establecer nuevos planes de acción acordes con el plan de desarrollo de la actual administración.</t>
  </si>
  <si>
    <t>Decreto 1080 de 2015 "Por el cual se expide el decreto único reglamentario del sector cultura".                                                                                                 Guia para la elaboración del Plan Institucional de Archivos PINAR</t>
  </si>
  <si>
    <t>La entidad cuenta con un documento base del PINAR Plan Institucional de Archivos, elaborado y aporbado por la entidad en el año 2014, según consta en la Resolución # 072 Abril 14 de 2015.</t>
  </si>
  <si>
    <t>ASPECTOS DE CONSERVACIÓN</t>
  </si>
  <si>
    <t>La entidad no cuenta con  Sistema integrado de conservación (SIC),  durante el levantamiento de información se hallaron las siguientes debilidades:
1. Durante la gestión y trámite de los documentos se evidenció el uso de material metálico como ganchos de cosedora y clips.
2. Se evidenciaron documentos con deterioro biológico causado por hongos e insectos en el archivo central.
3. El mobiliario en los archivos de gestión no es suficiente para el adecuado almacenamiento de los documentos.
4.Uso de materiales inadecuados para el almacenamiento de la documentación (carátulas en cartulina, AZ) las cuales no aseguran una adecuada conservación de los documentos.
5. El sistema de atención de emergencias es deficiente ya que no cuentan con suficientes extintores, no hay detectores de humo.
6. En el Archivo Central se evidenció exceso de polvo, lo que pone en riesgo la conservación de los documentos.
7. La estantería en el Archivo Central no está separada de los muros.
8. No se realizan monitoreos de condiciones ambientales.
9. No cuentan con plan de atención y prevención de emergencias para material documental. 
10. No se aplican los lineamientos de conservación para las transferencias primarias, ya que se evidenció material abrasivo, así como los materiales de las carpetas no son adecuados según los tiempos de retención de los documentos.
11. El sistema de almacenamiento de los planos no es adecuado para su conservación, ya que se observaron planos rasgados y doblados.</t>
  </si>
  <si>
    <t>1. Acuerdo 006 de 2014 "“Por medio del cual se desarrollan los artículos 46, 47 y 48 del Título XI “Conservación de Documentos” de la Ley 594 de 2000" y Art 6 "Programas de conservación preventiva, Capitulo II "Plan de conservación documental".
2. Acuerdo 050 de 2009, "prevención de deterioro de los documentos de archivo y situaciones de riesgo"
3. NTC 5397 DE 2000, en el que se estipulan los materiales calidad archivo.
4. Acuerdo 049 de 2000, "Por el cual se desarrolla el artículo 61 del capítulo 7º de conservación documentos el reglamento general de archivos sobre "condiciones de edificios y locales destinados a archivos"
5. Capacitación del AGN.
6. Contratación de personal con formación en esta materia.</t>
  </si>
  <si>
    <t>En algunas oficinas se realiza el retiro del material abrasivo de los documentos.</t>
  </si>
  <si>
    <t>Posible pérdida de información de los soportes documentales a falta de la implementación del Sistema Integrado de Conservación.</t>
  </si>
  <si>
    <t>La entidad contrató una jornada de fumigación y desratización en el segundo semestre del presente año.</t>
  </si>
  <si>
    <t>INFRAESTRUCTURA</t>
  </si>
  <si>
    <t>La infraestructura del depósito de archivo no cuenta con las características locativas que garanticen la conservación de los documentos</t>
  </si>
  <si>
    <t>Acuerdo 049 de 2000, "Por el cual se desarrolla el artículo 61 del capítulo 7º de conservación documentos el reglamento general de archivos sobre "condiciones de edificios y locales destinados a archivos"</t>
  </si>
  <si>
    <t>Durante el año 2017 la entidad realizó una ampliación del archivo central, que le permitirá recibir transferencias primarias, descogestionando los archivos de gestión.</t>
  </si>
  <si>
    <t>Riesgos para la conservación de los soportes documentales.</t>
  </si>
  <si>
    <t>La ubicación del archivo central esta expuesto a riesgos de inundación.</t>
  </si>
  <si>
    <t>TECNOLÓGICOS</t>
  </si>
  <si>
    <t>No se cuenta con un inventario de documentos electrónicos ni soportes</t>
  </si>
  <si>
    <t xml:space="preserve">Realizar un inventario de archivos digitales por formato, y definir formatos para la preservación digital textual, audiovisual e imagen </t>
  </si>
  <si>
    <t>Personal idóneo y competente en el área de sistemas para realizar la actividad.</t>
  </si>
  <si>
    <t>Los almacenamientos locales de información que puede quedar por fuera de los inventarios y que son susceptibles de perdida</t>
  </si>
  <si>
    <t>No existen procedimientos para el manejo de los documentos y la creación de expedientes electrónicos, no existen a la fecha protocolos de digitalización para documentos que requieren preservarse a largo plazo</t>
  </si>
  <si>
    <t>Contar con normativiadad y manuales existentes tales como:
1. Pautas para la utilización de digitalización http://www.archivogeneral.gov.co/sites/all/themes/nevia/PDF/Consulte/Pautas_para_la_Utilizacion_de_la_Digitalizacion.pdf
2. Requisitos mínimos de digitalización http://observatoriotic.archivogeneral.gov.co/project/requisitos-minimos-de-digitalizacion/
3. La norma ISO 19005
4. Contratar o elaborar  el manual de reprografía con la definición técnica de requisitos para la preservación a largo plazo basado en la ISO 19005. Se debe especificar en el documento las características del PDF/A y sus  especificación a,b,u y Niveles PDF/A 1, PDF/A 2, PDF/A 3.                                                                                                                                             5. Guia para la gestión de documentos y expedientes electrónicos G.INF.07 de MINTIC y AGN.</t>
  </si>
  <si>
    <t xml:space="preserve">Interes de la Alta Dirección de la entidad por mejorar su Gestión documental y dar cumplimiento a la normatividad archivística.   </t>
  </si>
  <si>
    <t>1. Incumplimiento de la Normatividad exigida, con riesto de hallazgos por los entes de control.
2. El volumen actual de los documentos digitalizados no cuentan con  especificaciones técnicas ni estándares para preservación, lo que genera riesgo de pérdida de la información.</t>
  </si>
  <si>
    <t>La entidad no cuenta con una estrategia de almacenamiento externa para los Backup realizados por el área de sistemas.</t>
  </si>
  <si>
    <t>Adquisición o Uso de otros medios de almacenamiento externos.</t>
  </si>
  <si>
    <t>Pérdida de información relevante que debería conservarse y preservarse a largo plazo.</t>
  </si>
  <si>
    <t>No se cuenta con aplicaciones  para la preservación Digital a largo plazo.</t>
  </si>
  <si>
    <t>1. Guia para la gestión de documentos y expedientes electrónicos G.INF.07 de MINTIC y AGN.                                                                                                                                                                          2. Norma ISO 23081</t>
  </si>
  <si>
    <t>En la Política de Gestión Documental de la entidad (Resolución # 095 Junio 30 de 2016), se menciona la gestión electrónica de documentos como uno de los lineamientos generales para la aplicación de la gestión documental en la empresa Piedecuestana.</t>
  </si>
  <si>
    <t>Sin metadatos de preservación no se puede conocer formatos para posibles migraciones, requerimientos técnicos para evitar obsolescencia tecnológica y pérdida de información.</t>
  </si>
  <si>
    <t>No se cuenta con un sistema para la Gestión de Documentos Electrónicos SGDE</t>
  </si>
  <si>
    <t xml:space="preserve">1. Contar con normas Nacionales e  internacionales que permiten desarrollar estos instrumentos tales como: MOREQ2
http://observatoriotic.archivogeneral.gov.co/project/modelo-de-requisitos-documentos-electronicos/Especificar los requerimientos funcionales.                                                                                                               2. Guia para la gestión de documentos y expedientes electrónicos G.INF.07 de MINTIC y AGN.   </t>
  </si>
  <si>
    <t>1. Hallazgos y posibles sanciones por parte de los entes de control en cuanto a la no aplicación de la normatividad archivística vigente.
2. La falta de administración eficiente de la información documental de la entidad.</t>
  </si>
  <si>
    <t>Descripción del hallazgo</t>
  </si>
  <si>
    <t>Causa del hallazgo</t>
  </si>
  <si>
    <t>Efecto del hallazgo</t>
  </si>
  <si>
    <t>Acción correctiva</t>
  </si>
  <si>
    <t>Objetivo</t>
  </si>
  <si>
    <t>Descripción de las metas</t>
  </si>
  <si>
    <t>Falta de personal idóneo en gestión documental que  lidere la política archivística,  asesore  y apoye la elaboración e implementación de los instrumentos archivísticos.</t>
  </si>
  <si>
    <t xml:space="preserve">1. No contar con el perfil profesional dentro de la planta de personal, que permita suplir la necesidad.
</t>
  </si>
  <si>
    <t>1 Que no haya  claridad al momento de la organización de los archivos de gestión conforme a la aplicación de las TRD.
2. No ordenar debidamente los archivos de gestión
3. No identificar debidamente las unidades de conservación (cajas y carpetas), es decir que la rotulación se haga de manera normalizada y completa.
4. Inadecuada aplicación de TRD, lo que se verá reflejado en el archivo central al momento de las transferencias, ocasionando que el Archivo Central se convierta en un  Fondo Acumulado.
5. Desarticulación de la política archivística con los demás sistemas de la entidad.
6.Inadecuada inversión de los recursos por desconocimiento de la política archivística.</t>
  </si>
  <si>
    <t xml:space="preserve">1. Contratar una persona idónea que apoye a la entidad en la formulación de las políticas internas en materia de Gestión Documental, dándole continuidad a la gestión.
</t>
  </si>
  <si>
    <t xml:space="preserve">1. Mejorar la Gestión Documental de la entidad.
2. Propender por que los recursos invertidos por la Entidad, generen productos de calidad que garanticen las buenas prácticas en materia de gestión documental.
3. Cumplimiento de la normatividad archivística </t>
  </si>
  <si>
    <t>1. Incluir en el presupuesto la contratación de personal con perfiles afines, que apoyen al profesional  en las labores de gestión documental .
2. Incluir en la planta de personal de la Entidad ,  perfiles afines 
3. Suscribir convenios para la vinculación de practicantes, que apoyen el desarrollo de las actividades a desarrollar en materia de gestión documental.</t>
  </si>
  <si>
    <t xml:space="preserve">
Falta divulgar y aplicar los procedimientos que describen el paso a paso de las actividades a desarrollar en la ventanilla única.
No concientizar al la totalidad de los funcionarios en el manejo adecuado de la unidad de correspondencia  o gestión documental que tramite todas  las comunicaciones oficiales de manera centralizada y normalizada</t>
  </si>
  <si>
    <t>1. Desconocimiento de los procesos técnicos de archivo, ocasionando que:
- No haya  claridad al momento de la organización de los archivos de gestión conforme a la aplicación de las TRD.
- No se ordenen debidamente los archivos de gestión
- No se identifiquen las unidades de conservación (cajas y carpetas), debidamente, es decir, con series y no con asuntos.
- Inadecuada aplicación de TRD,
2. Desarticulación de la política archivística con los demás sistemas de la entidad</t>
  </si>
  <si>
    <t xml:space="preserve">1. Desarrollar políticas de gestión documental armonizadas con los demás sistemas de la entidad y alineados con las políticas nacionales. 
3.Socializar los procedimientos enfocados a los lineamientos de gestión documental de planeación, producción, gestión y trámite, organización, transferencias, disposición de documentos, preservación a largo plazo y valoración.
 </t>
  </si>
  <si>
    <t>1. Aplicar los procesos archivísticos adecuadamente, con el fin de organizar los archivos conforme a las TRD.
2. Organizar los archivos de gestión, acorde con los lineamientos tanto externos como internos</t>
  </si>
  <si>
    <t xml:space="preserve"> 
1. Disponer de recursos para implementar  los procedimientos de gestión documental, guías y reglamentos.
2. Gestionar de manera Centralizada y normalizada todas  las comunicaciones oficiales con personal exclusivo para desarrollar las actividades. 
3. Capacitar al personal de la ventanilla única en el manejo de  las comunicaciones oficiales y la TRD.</t>
  </si>
  <si>
    <t>Las Tablas de Retención Documental no se encuentran aplicadas en su totalidad,  a pesar de contar con el instrumento archivístico aprobado desde el año 2014 y actualizado en el año 2016.</t>
  </si>
  <si>
    <t xml:space="preserve">1. No hay claridad frente a los procesos de gestión documental y aplicación de instrumentos archivísticos.
2. Falta de sensibilización sobre la responsabilidad de los funcionarios públicos frente a los archivos.  </t>
  </si>
  <si>
    <t>1. Inadecuada organización de los archivos de gestión y central de la Entidad.
2. Falta de control frente al manejo de la documentación de archivo.
3. Incorrecta  aplicación de Tabla de Retención Documental</t>
  </si>
  <si>
    <t xml:space="preserve">1. Capacitar a los funcionarios en procesos de organización documental y aplicación de TRD.
</t>
  </si>
  <si>
    <t>1.  Cumplir con la normatividad archivística vigente.
2. Realizar las transferencias primarias en forma adecuada.
3. Garantizar el control de los documentos de archivo</t>
  </si>
  <si>
    <t>1. Capacitar a los funcionarios en TRD
2. Exigir la aplicación de las TRD
3. Realizar internamente visitas de seguimiento a las dependencias de la entidad a fin de verificar la aplicación de las TRD</t>
  </si>
  <si>
    <t>1. Falta de claridad frente a los procesos de gestión documental y aplicación de instrumentos archivísticos.
2. Desconocimiento de la normatividad Nacional  en materia archivística.
3. La no aplicación de la TRD.</t>
  </si>
  <si>
    <t>1. Inadecuada organización de los archivos de gestión y central de la Entidad.
2. Falta de control frente al manejo de la documentación de archivo.</t>
  </si>
  <si>
    <t xml:space="preserve">1. Capacitar a los funcionarios en lo relativo a instrumentos de descripción (inventarios Documentales).
</t>
  </si>
  <si>
    <t>2. Realizar las transferencias primarias con el instrumento archivístico establecido.
3. Garantizar el control de los documentos de archivo</t>
  </si>
  <si>
    <t>1. Capacitar a los funcionarios en elaboración de inventarios y aplicación de TRD
2. Exigir la elaboración del inventario documental para la entrega de las transferencias primarias
3. Elaborar los instructivos y manuales de apoyo para el personal tenga guías que permitan la adecuada gestión documental.</t>
  </si>
  <si>
    <t>1. Falta de interés por parte de los funcionarios.
2. No contar con el perfil profesional dentro de la planta de personal, que permita suplir la necesidad.</t>
  </si>
  <si>
    <t>Incumplimiento de las políticas archivísticas.</t>
  </si>
  <si>
    <t>Aplicación de las herramientas y políticas implementadas desde el nivel central.</t>
  </si>
  <si>
    <t>La adecuada organización de los archivos.</t>
  </si>
  <si>
    <t xml:space="preserve">1. Sensibilizaciones sobre la política implementada por la EMPRESA PIEDECUESTANA DE SERVICIOS PUBLICOS DOMICILIARIOS.
2. Aplicación de las directrices establecidas internamente en materia archivística.
</t>
  </si>
  <si>
    <t xml:space="preserve">1. Falta de aplicación de las TRD, generando la conformación de Fondos Acumulados
</t>
  </si>
  <si>
    <t xml:space="preserve">1. Pérdida de información histórica
2. Ausencia de valoración documental </t>
  </si>
  <si>
    <t>1. Elaborar la Tabla de Valoración Documental</t>
  </si>
  <si>
    <t>1. Establecer los tiempos de retención y disposición final de los documentos.
2. Salvaguardar la documentación histórica de la entidad.</t>
  </si>
  <si>
    <t>1. Contratar personal idóneo que asesore la elaboración de las TVD.
2. Contratar una firma para la elaboración de la TVD y aplicación de la misma.</t>
  </si>
  <si>
    <t>1. Falta de claridad frente a los procesos de gestión documental y aplicación de instrumentos archivísticos.
2. Desconocimiento de la normatividad Nacional  en materia archivística.
3. No contar dentro de la planta de personal con perfiles afines a la gestión documental.</t>
  </si>
  <si>
    <t xml:space="preserve">1. Prácticas inadecuadas en materia de gestión documental, que no garantizan el ciclo vital del documento.
2. No contar con el instrumento  actualizado, que permita el desarrollo sistemático de los procesos archivísticos encaminados a la planificación, procesamiento, manejo y organización de la documentación. 
</t>
  </si>
  <si>
    <t xml:space="preserve">1. Contar con personal que lidere y asesore la gestión documental en la entidad.
2. Actualizar el Programa de Gestión Documental   </t>
  </si>
  <si>
    <t xml:space="preserve">1. Actualizar y armonizar el PGD con los demás sistemas, permitiendo una política adecuada en materia de gestión documental que garantice y contribuya a la implementación de la política de desarrollo administrativo y eficiencia administrativa  </t>
  </si>
  <si>
    <t>1. Actualuzar el PGD y generar Política interna en materia de gestión documental.
2. Contar con personal idóneo que lidere la política de gestión documental al interior de la entidad.</t>
  </si>
  <si>
    <t>1.  Falta de interés por parte de los funcionarios.
2.  Falta de claridad frente a las funciones que debe desarrollar el archivo central.</t>
  </si>
  <si>
    <t>1. Inadecuadecuada planecion de activdades a corto mediano y largo plazo relacionadas con la Gestión documental de la Entidad.                                                                                        2.Que el Archivo Central se convierta en un  Fondo Acumulado y no en la Unidad administrativa que coordina y controla el funcionamiento de los archivos de la Entidad.</t>
  </si>
  <si>
    <t>1. Actualizar el Pkna Institucional de Archivos PNAR, acorde a las politicas y lneamientos de la actual Administración.</t>
  </si>
  <si>
    <t>1. Planear y organizar actividades a corto, mediano y largo plazo y asignar recursos para su ejecución.</t>
  </si>
  <si>
    <t>1. Planear las actvidades y optimizar los ecursos asignados al Proceso de Gestión documental en la Entidad.</t>
  </si>
  <si>
    <t xml:space="preserve">La entidad no cuenta con un Sistema Integrado de Conservación </t>
  </si>
  <si>
    <t>No se realizan capacitación en temas de conservación.</t>
  </si>
  <si>
    <t xml:space="preserve">Malas prácticas para el manejo de documentos. </t>
  </si>
  <si>
    <t xml:space="preserve">Realizar capacitaciones en materia de conservación de los documentos. </t>
  </si>
  <si>
    <t xml:space="preserve">Garantizar el adecuado manejo de los documentos. </t>
  </si>
  <si>
    <t>1. Elaborar el Plan de Capacitación y sensibilización, en el que se incluyan temas tanto archivísticos como de conservación.
2. Ejecutar el plan con apoyo de profesionales en conservación.</t>
  </si>
  <si>
    <t>Durante la gestión y trámite de los documentos se evidenció el uso de material metálico como ganchos de cosedora y clips.</t>
  </si>
  <si>
    <t xml:space="preserve">Deterioros de tipo físico, químico y biológico en los documentos, lo que puede dar lugar a perdida de la información contenida en ellos. </t>
  </si>
  <si>
    <t>Implementar el Plan de almacenamiento y realmacenamiento y el Plan de inspección y mantenimiento de sistemas de almacenamiento e instalaciones físicas</t>
  </si>
  <si>
    <t>Brindar las condiciones adecuadas para la conservación de los documentos.</t>
  </si>
  <si>
    <t>1. Realizar la eliminación del material metálico de los documentos una vez se realice el alistamiento para la transferencia al archivo central.</t>
  </si>
  <si>
    <t>Se evidenciaron documentos con deterioro biológico causado por hongos e insectos en el archivo central.</t>
  </si>
  <si>
    <t>1. Identificar los documentos con deterioros biológicos.
2. Aislarlos de la demás documentación.
3. Realizar los procesos de limpieza y desinfección a fin de controlar el deterioro y evitar posible pérdida de información.</t>
  </si>
  <si>
    <t>El mobiliario en los archivos de gestión no es suficiente para el adecuado almacenamiento de los documentos.</t>
  </si>
  <si>
    <t>1. Realizar la adquisición de estantería de material metálico.</t>
  </si>
  <si>
    <t>Uso de materiales inadecuados para el almacenamiento de la documentación (caratulas en cartulina, AZ) las cuales no aseguran una adecuada conservación de los documentos.</t>
  </si>
  <si>
    <t xml:space="preserve">1. Realizar el cambio de las AZ por carpetas de materiales adecuados para la conservación de los diferentes soportes documentales. </t>
  </si>
  <si>
    <t>La estantería en el Archivo Central no está separada de los muros.</t>
  </si>
  <si>
    <t>1. Realizar las adecuaciones necesarias en el archivo central para separar la estantería de los muros.</t>
  </si>
  <si>
    <t>El sistema de almacenamiento de los planos no es adecuado para su conservación, ya que se observaron planos rasgados y doblados.</t>
  </si>
  <si>
    <t>1. Realizar la adquisición de planotecas horizontales.
2. Realizar el almacenamiento de los planos en carpetas de propalcote desacidificadas.</t>
  </si>
  <si>
    <t>En el Archivo Central se evidenció exceso de polvo, lo que pone en riesgo la conservación de los documentos.</t>
  </si>
  <si>
    <t xml:space="preserve">Proliferación de microorganismos que pueden infectar los documentos y afectar la salud del personal que labora en estas instalaciones. </t>
  </si>
  <si>
    <t>Implementar el Plan de inspección y mantenimiento de sistemas de almacenamiento e instalaciones físicas</t>
  </si>
  <si>
    <t>1. Elaborar el cronograma de limpieza del archivo central.
2. Contratar personal para el desarrollo de las actividades. 
3. Realizar seguimiento y control del plan.</t>
  </si>
  <si>
    <t xml:space="preserve">No cuentan con plan de atención y prevención de emergencias para material documental. </t>
  </si>
  <si>
    <t>Pérdida de información en caso de una emergencia.</t>
  </si>
  <si>
    <t>Implementar el Plan de atención y prevención de emergencias para material documental.</t>
  </si>
  <si>
    <t>Minimizar los riesgos para la conservación de los documentos ante una emergencia.</t>
  </si>
  <si>
    <t>1. Elaborar el Plan de atención y prevención de emergencias, en el que se incluyan los procedimiento a tener en cuenta ante un siniestro, así:
- Inundación.
- Incendio.
- Vandalismo y/o terrorismo.
2. Realizar la adquisición de elementos para la atención y prevención de emergencias, tales como extintores de tipo solkaflam, cámaras de seguridad, detectores de humo y señalización.</t>
  </si>
  <si>
    <t>El sistema de atención de emergencias es deficiente ya que no cuentan con suficientes extintores, no hay detectores de humo, ni adecuada señalización.</t>
  </si>
  <si>
    <t>No se realizan monitoreos de condiciones ambientales.</t>
  </si>
  <si>
    <t xml:space="preserve">Proliferación de microorganismos en el ambiente a falta de seguimiento de las condiciones ambientales </t>
  </si>
  <si>
    <t>Implementar el Plan de monitoreo y control de las condiciones ambientales.</t>
  </si>
  <si>
    <t>1. Elaboración del Plan de monitoreo y control de condiciones ambientales.
2. Adquisición de equipos para el desarrollo del plan o contratación de una empresa que brinde dichos servicios.</t>
  </si>
  <si>
    <t>No se cuenta con un inventario de documentos electronicos</t>
  </si>
  <si>
    <t>No contar con metodologías ni procedimientos internos que determinen las actividades necesarias para la implementación del Inventario de Documentos electrónicos
Durante el proceso de encuesta de documento electronico y preservacion digital se pudo establecer que no existe inventario de documentos electronicos</t>
  </si>
  <si>
    <t>1. Almacenamiento innecesario de información porque no se requiere o porque su tiempo de almacenamiento ya termino y no se pueden ubicar en los servidores y/o equipos locales
2. Obsolescencia del formato de documento
3. Obsolescencia de Software para su lectura, al no conocer que se tiene</t>
  </si>
  <si>
    <t>Elaborar  un inventario de archivos digitales por formato, y definir formatos para la preservación digital textual, audiovisual e imagen </t>
  </si>
  <si>
    <t>1. Facilitar la Gestión de Documentos electronicos
2. Asegurar la preservación de los documentos que lo requieran
3. Eliminar información innecesaria y duplicada
4. Asociar los documentos electronicos con la TRD</t>
  </si>
  <si>
    <t>Poder establecer la cantidad de documentos por formato y las caracteristicas de los mismos, asociandolos con la TRD para determinar cuales se pueden eliminar, cuales requieren migración de formato y cuales se deben preservar a largo plazo</t>
  </si>
  <si>
    <t>No existe un protocolo de digitalización</t>
  </si>
  <si>
    <t>Carencia de implementación de la normatividad vigente en esta materia.
Durante el proceso de encuesta de documento electronico y preservacion digital se pudo establecer que no existe un protocolo de digitalizacón</t>
  </si>
  <si>
    <t>1. Riesgo de obsolescencia tecnologica del formato utilizado, al no usar standares en los formatos se corre el riesgo en el futuro de no poder acceder a ellos
2. Malas practicas de digitalización, archivos mal nombrados, uso de profundidad de bit inadecuado</t>
  </si>
  <si>
    <t>1. Establecer un manual de reprografía con la definición técnica de requisitos para la preservación a largo plazo basado en la ISO 19005. Se debe especificar en el documento las características del PDF/A y sus  especificación a,b,u y Niveles PDF/A 1, PDF/A 2, PDF/A 3.</t>
  </si>
  <si>
    <t>1. Facilitar la consulta de la información
2. Asegurar la preservación digital a largo plazo 
3.Evitar la manipulación, pérdida o deterioro físico del soporte original (de gran ayuda en archivos históricos) 
4. Acceso simultáneo a la información contenida por parte de varios usuarios (de gran ayuda en la gestión). </t>
  </si>
  <si>
    <t>Contar con los recursos para la correcta digitalización de los documentos que puede ser para gestión y tramite en el caso de las comunicaciones oficiales y/o para preservación digital a largo plazo de acuerdo a las TRD</t>
  </si>
  <si>
    <t>En la visita de diagnostico se encontraron los backup en un disco duro y su copia</t>
  </si>
  <si>
    <t>Riesgo de perdida de información en el momento que se requiera restaurar una copia</t>
  </si>
  <si>
    <t xml:space="preserve">Adquirir servicios externps de almacenamiento masivo </t>
  </si>
  <si>
    <t>Contar con la información completa de los Backup externo</t>
  </si>
  <si>
    <t>Contar con un sistema de Backup externo</t>
  </si>
  <si>
    <t>No se cuenta con Metadatos para la preservación Digital a largo plazo en las aplicaciones existentes</t>
  </si>
  <si>
    <t>Durante el proceso de encuesta de Infraestructura tecnologica  se pudo establecer que no se cuenta con Metadatos de preservación de los documentos</t>
  </si>
  <si>
    <t>No se cuenta con el conjunto de metadatos encargado de gestionar las funciones de mantenimiento de la viabilidad, legibilidad y accesibilidad, autenticidad e identificación en el contexto de preservación</t>
  </si>
  <si>
    <t>1. Definir un esquema de metadatos de preservación donde se identifique entre otros:
- aplicación con la que se creó
- identificación de las tareas de preservación que han de aplicarse
- designación que identifica unívocamente al documento
- relaciones existentes entre documentos</t>
  </si>
  <si>
    <t>Contar con descripciones asociadas a la preservación para la toma de decisiones</t>
  </si>
  <si>
    <t xml:space="preserve">En las aplicaciones establecer un esquema de metadatos de preservacion. </t>
  </si>
  <si>
    <t>FLORIDABLANCA</t>
  </si>
  <si>
    <t>CARRERA 4 # 5- 05 FLORIDABLANCA</t>
  </si>
  <si>
    <t>6910880 ext 1057 - 1058 - 1068- 1061-1064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</si>
</sst>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Red]\-&quot;$&quot;#,##0"/>
    <numFmt numFmtId="165" formatCode="&quot;$&quot;\ #,##0.00"/>
    <numFmt numFmtId="166" formatCode="0.0"/>
    <numFmt numFmtId="167" formatCode="_(* #,##0.00_);_(* \(#,##0.00\);_(* &quot;-&quot;??_);_(@_)"/>
    <numFmt numFmtId="168" formatCode="_(* #,##0_);_(* \(#,##0\);_(* &quot;-&quot;??_);_(@_)"/>
  </numFmts>
  <fonts count="49">
    <font>
      <sz val="11"/>
      <name val="Calibri"/>
    </font>
    <font>
      <b/>
      <sz val="18"/>
      <name val="Calibri"/>
    </font>
    <font>
      <sz val="11"/>
      <name val="Calibri"/>
    </font>
    <font>
      <b/>
      <sz val="12"/>
      <name val="Calibri"/>
    </font>
    <font>
      <b/>
      <sz val="15"/>
      <color rgb="FF1F497D"/>
      <name val="Calibri"/>
    </font>
    <font>
      <sz val="11"/>
      <name val="Calibri"/>
    </font>
    <font>
      <sz val="10"/>
      <name val="Calibri"/>
    </font>
    <font>
      <u/>
      <sz val="11"/>
      <name val="Calibri"/>
    </font>
    <font>
      <sz val="12"/>
      <name val="Calibri"/>
    </font>
    <font>
      <u/>
      <sz val="11"/>
      <name val="Calibri"/>
    </font>
    <font>
      <u/>
      <sz val="11"/>
      <name val="Calibri"/>
    </font>
    <font>
      <sz val="12"/>
      <name val="Arial"/>
    </font>
    <font>
      <u/>
      <sz val="11"/>
      <name val="Calibri"/>
    </font>
    <font>
      <u/>
      <sz val="11"/>
      <name val="Calibri"/>
    </font>
    <font>
      <u/>
      <sz val="11"/>
      <name val="Calibri"/>
    </font>
    <font>
      <u/>
      <sz val="11"/>
      <name val="Calibri"/>
    </font>
    <font>
      <sz val="11"/>
      <color rgb="FF000000"/>
      <name val="Calibri"/>
    </font>
    <font>
      <u/>
      <sz val="11"/>
      <name val="Calibri"/>
    </font>
    <font>
      <b/>
      <sz val="10"/>
      <color rgb="FF000000"/>
      <name val="Arial"/>
    </font>
    <font>
      <b/>
      <sz val="10"/>
      <name val="Arial"/>
    </font>
    <font>
      <sz val="10"/>
      <color rgb="FF000000"/>
      <name val="Arial"/>
    </font>
    <font>
      <sz val="10"/>
      <color rgb="FF000000"/>
      <name val="Calibri"/>
    </font>
    <font>
      <b/>
      <sz val="8"/>
      <color rgb="FF000000"/>
      <name val="Arial"/>
    </font>
    <font>
      <sz val="8"/>
      <color rgb="FF000000"/>
      <name val="Arial"/>
    </font>
    <font>
      <b/>
      <sz val="8"/>
      <name val="Arial"/>
    </font>
    <font>
      <sz val="10"/>
      <name val="Arial"/>
    </font>
    <font>
      <sz val="8"/>
      <name val="Arial"/>
    </font>
    <font>
      <b/>
      <sz val="8"/>
      <color rgb="FFFF0000"/>
      <name val="Arial"/>
    </font>
    <font>
      <sz val="8"/>
      <name val="Calibri"/>
    </font>
    <font>
      <sz val="10"/>
      <name val="Arial"/>
    </font>
    <font>
      <b/>
      <sz val="8"/>
      <name val="Arial"/>
    </font>
    <font>
      <sz val="7"/>
      <color rgb="FF000000"/>
      <name val="Arial"/>
    </font>
    <font>
      <sz val="8"/>
      <name val="Arial"/>
    </font>
    <font>
      <u/>
      <sz val="11"/>
      <name val="Calibri"/>
    </font>
    <font>
      <b/>
      <sz val="10"/>
      <name val="Arial"/>
    </font>
    <font>
      <sz val="8"/>
      <color rgb="FFFF0000"/>
      <name val="Arial"/>
    </font>
    <font>
      <b/>
      <sz val="9"/>
      <color rgb="FF333300"/>
      <name val="Arial"/>
    </font>
    <font>
      <sz val="11"/>
      <color rgb="FF333300"/>
      <name val="Calibri"/>
    </font>
    <font>
      <sz val="10"/>
      <color rgb="FF333300"/>
      <name val="Calibri"/>
    </font>
    <font>
      <sz val="9"/>
      <color rgb="FF333300"/>
      <name val="Arial"/>
    </font>
    <font>
      <b/>
      <sz val="8"/>
      <color rgb="FF333300"/>
      <name val="Arial"/>
    </font>
    <font>
      <sz val="10"/>
      <name val="Calibri"/>
    </font>
    <font>
      <sz val="8"/>
      <color rgb="FF333300"/>
      <name val="Arial"/>
    </font>
    <font>
      <b/>
      <sz val="11"/>
      <color rgb="FF000000"/>
      <name val="Arial"/>
    </font>
    <font>
      <sz val="11"/>
      <color rgb="FF000000"/>
      <name val="Arial"/>
    </font>
    <font>
      <sz val="11"/>
      <name val="Arial"/>
    </font>
    <font>
      <b/>
      <sz val="11"/>
      <name val="Arial"/>
    </font>
    <font>
      <b/>
      <sz val="12"/>
      <color rgb="FF000000"/>
      <name val="Calibri"/>
    </font>
    <font>
      <sz val="12"/>
      <color rgb="FF000000"/>
      <name val="Calibri"/>
    </font>
  </fonts>
  <fills count="31">
    <fill>
      <patternFill patternType="none"/>
    </fill>
    <fill>
      <patternFill patternType="gray125"/>
    </fill>
    <fill>
      <patternFill patternType="solid">
        <fgColor rgb="FF548DD4"/>
        <bgColor rgb="FF548DD4"/>
      </patternFill>
    </fill>
    <fill>
      <patternFill patternType="solid">
        <fgColor rgb="FF95B3D7"/>
        <bgColor rgb="FF95B3D7"/>
      </patternFill>
    </fill>
    <fill>
      <patternFill patternType="solid">
        <fgColor rgb="FFD6E3BC"/>
        <bgColor rgb="FFD6E3BC"/>
      </patternFill>
    </fill>
    <fill>
      <patternFill patternType="solid">
        <fgColor rgb="FFDBE5F1"/>
        <bgColor rgb="FFDBE5F1"/>
      </patternFill>
    </fill>
    <fill>
      <patternFill patternType="solid">
        <fgColor rgb="FFC6D9F0"/>
        <bgColor rgb="FFC6D9F0"/>
      </patternFill>
    </fill>
    <fill>
      <patternFill patternType="solid">
        <fgColor rgb="FFFABF8F"/>
        <bgColor rgb="FFFABF8F"/>
      </patternFill>
    </fill>
    <fill>
      <patternFill patternType="solid">
        <fgColor rgb="FFFBD4B4"/>
        <bgColor rgb="FFFBD4B4"/>
      </patternFill>
    </fill>
    <fill>
      <patternFill patternType="solid">
        <fgColor rgb="FFE5DFEC"/>
        <bgColor rgb="FFE5DFEC"/>
      </patternFill>
    </fill>
    <fill>
      <patternFill patternType="solid">
        <fgColor rgb="FFC0C0C0"/>
        <bgColor rgb="FFC0C0C0"/>
      </patternFill>
    </fill>
    <fill>
      <patternFill patternType="solid">
        <fgColor rgb="FFBFBFBF"/>
        <bgColor rgb="FFBFBFBF"/>
      </patternFill>
    </fill>
    <fill>
      <patternFill patternType="solid">
        <fgColor rgb="FFD8D8D8"/>
        <bgColor rgb="FFD8D8D8"/>
      </patternFill>
    </fill>
    <fill>
      <patternFill patternType="solid">
        <fgColor rgb="FFD9D9D9"/>
        <bgColor rgb="FFD9D9D9"/>
      </patternFill>
    </fill>
    <fill>
      <patternFill patternType="solid">
        <fgColor rgb="FFA5A5A5"/>
        <bgColor rgb="FFA5A5A5"/>
      </patternFill>
    </fill>
    <fill>
      <patternFill patternType="solid">
        <fgColor rgb="FFA6A6A6"/>
        <bgColor rgb="FFA6A6A6"/>
      </patternFill>
    </fill>
    <fill>
      <patternFill patternType="solid">
        <fgColor rgb="FFB8CCE4"/>
        <bgColor rgb="FFB8CCE4"/>
      </patternFill>
    </fill>
    <fill>
      <patternFill patternType="solid">
        <fgColor rgb="FFC2D69B"/>
        <bgColor rgb="FFC2D69B"/>
      </patternFill>
    </fill>
    <fill>
      <patternFill patternType="solid">
        <fgColor rgb="FF92D050"/>
        <bgColor rgb="FF92D050"/>
      </patternFill>
    </fill>
    <fill>
      <patternFill patternType="solid">
        <fgColor rgb="FFFFFFFF"/>
        <bgColor rgb="FFFFFFFF"/>
      </patternFill>
    </fill>
    <fill>
      <patternFill patternType="solid">
        <fgColor rgb="FF8DB3E2"/>
        <bgColor rgb="FF8DB3E2"/>
      </patternFill>
    </fill>
    <fill>
      <patternFill patternType="solid">
        <fgColor rgb="FFC4BD97"/>
        <bgColor rgb="FFC4BD97"/>
      </patternFill>
    </fill>
    <fill>
      <patternFill patternType="solid">
        <fgColor rgb="FFD99594"/>
        <bgColor rgb="FFD99594"/>
      </patternFill>
    </fill>
    <fill>
      <patternFill patternType="solid">
        <fgColor rgb="FFCCC0D9"/>
        <bgColor rgb="FFCCC0D9"/>
      </patternFill>
    </fill>
    <fill>
      <patternFill patternType="solid">
        <fgColor rgb="FFFFFF00"/>
        <bgColor rgb="FFFFFF00"/>
      </patternFill>
    </fill>
    <fill>
      <patternFill patternType="solid">
        <fgColor rgb="FFFF0000"/>
        <bgColor rgb="FFFF0000"/>
      </patternFill>
    </fill>
    <fill>
      <patternFill patternType="solid">
        <fgColor rgb="FFDAEEF3"/>
        <bgColor rgb="FFDAEEF3"/>
      </patternFill>
    </fill>
    <fill>
      <patternFill patternType="solid">
        <fgColor rgb="FFFDE9D9"/>
        <bgColor rgb="FFFDE9D9"/>
      </patternFill>
    </fill>
    <fill>
      <patternFill patternType="solid">
        <fgColor rgb="FFF2DBDB"/>
        <bgColor rgb="FFF2DBDB"/>
      </patternFill>
    </fill>
    <fill>
      <patternFill patternType="solid">
        <fgColor rgb="FF7030A0"/>
        <bgColor rgb="FF7030A0"/>
      </patternFill>
    </fill>
    <fill>
      <patternFill patternType="solid">
        <fgColor rgb="FFA66BD3"/>
        <bgColor rgb="FFA66BD3"/>
      </patternFill>
    </fill>
  </fills>
  <borders count="139">
    <border>
      <left/>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right style="thin">
        <color rgb="FF000000"/>
      </right>
      <top style="medium">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740">
    <xf numFmtId="0" fontId="0" fillId="0" borderId="0" xfId="0" applyFont="1" applyAlignment="1"/>
    <xf numFmtId="0" fontId="1" fillId="2" borderId="6" xfId="0" applyFont="1" applyFill="1" applyBorder="1" applyAlignment="1">
      <alignment horizontal="center"/>
    </xf>
    <xf numFmtId="0" fontId="3" fillId="3" borderId="6" xfId="0" applyFont="1" applyFill="1" applyBorder="1" applyAlignment="1">
      <alignment horizontal="left" vertical="center" wrapText="1"/>
    </xf>
    <xf numFmtId="0" fontId="0" fillId="0" borderId="6" xfId="0" applyFont="1" applyBorder="1" applyAlignment="1">
      <alignment wrapText="1"/>
    </xf>
    <xf numFmtId="0" fontId="0" fillId="0" borderId="6" xfId="0" applyFont="1" applyBorder="1" applyAlignment="1">
      <alignment wrapText="1"/>
    </xf>
    <xf numFmtId="0" fontId="0" fillId="0" borderId="7" xfId="0" applyFont="1" applyBorder="1"/>
    <xf numFmtId="0" fontId="5" fillId="4" borderId="6" xfId="0" applyFont="1" applyFill="1" applyBorder="1" applyAlignment="1">
      <alignment vertical="center"/>
    </xf>
    <xf numFmtId="0" fontId="0" fillId="0" borderId="6" xfId="0" applyFont="1" applyBorder="1" applyAlignment="1">
      <alignment horizontal="center" vertical="center"/>
    </xf>
    <xf numFmtId="0" fontId="0" fillId="0" borderId="6" xfId="0" applyFont="1" applyBorder="1"/>
    <xf numFmtId="0" fontId="6" fillId="4" borderId="6" xfId="0" applyFont="1" applyFill="1" applyBorder="1" applyAlignment="1">
      <alignment vertical="center" wrapText="1"/>
    </xf>
    <xf numFmtId="0" fontId="8" fillId="0" borderId="0" xfId="0" applyFont="1"/>
    <xf numFmtId="0" fontId="3" fillId="3" borderId="6" xfId="0" applyFont="1" applyFill="1" applyBorder="1" applyAlignment="1">
      <alignment horizontal="center" vertical="center"/>
    </xf>
    <xf numFmtId="0" fontId="8" fillId="0" borderId="6" xfId="0" applyFont="1" applyBorder="1"/>
    <xf numFmtId="0" fontId="8" fillId="0" borderId="6" xfId="0" applyFont="1" applyBorder="1" applyAlignment="1">
      <alignment vertical="center" wrapText="1"/>
    </xf>
    <xf numFmtId="0" fontId="8" fillId="0" borderId="6" xfId="0" applyFont="1" applyBorder="1" applyAlignment="1">
      <alignment vertical="center"/>
    </xf>
    <xf numFmtId="0" fontId="8" fillId="0" borderId="6" xfId="0" applyFont="1" applyBorder="1" applyAlignment="1">
      <alignment wrapText="1"/>
    </xf>
    <xf numFmtId="0" fontId="0" fillId="0" borderId="0" xfId="0" applyFont="1"/>
    <xf numFmtId="0" fontId="0" fillId="3" borderId="6" xfId="0" applyFont="1" applyFill="1" applyBorder="1"/>
    <xf numFmtId="0" fontId="0" fillId="3" borderId="6" xfId="0" applyFont="1" applyFill="1" applyBorder="1" applyAlignment="1">
      <alignment wrapText="1"/>
    </xf>
    <xf numFmtId="0" fontId="0" fillId="3" borderId="6" xfId="0" applyFont="1" applyFill="1" applyBorder="1" applyAlignment="1">
      <alignment horizontal="center"/>
    </xf>
    <xf numFmtId="0" fontId="0" fillId="5" borderId="6" xfId="0" applyFont="1" applyFill="1" applyBorder="1" applyAlignment="1">
      <alignment wrapText="1"/>
    </xf>
    <xf numFmtId="0" fontId="0" fillId="5" borderId="6" xfId="0" applyFont="1" applyFill="1" applyBorder="1" applyAlignment="1">
      <alignment horizontal="center" vertical="center"/>
    </xf>
    <xf numFmtId="0" fontId="0" fillId="5" borderId="6" xfId="0" applyFont="1" applyFill="1" applyBorder="1" applyAlignment="1">
      <alignment horizontal="center" vertical="center" wrapText="1"/>
    </xf>
    <xf numFmtId="0" fontId="0" fillId="5" borderId="7" xfId="0" applyFont="1" applyFill="1" applyBorder="1" applyAlignment="1">
      <alignment wrapText="1"/>
    </xf>
    <xf numFmtId="0" fontId="0" fillId="5" borderId="7" xfId="0" applyFont="1" applyFill="1" applyBorder="1"/>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8" fillId="5" borderId="6" xfId="0" applyFont="1" applyFill="1" applyBorder="1" applyAlignment="1">
      <alignment horizontal="center" vertical="center" wrapText="1"/>
    </xf>
    <xf numFmtId="0" fontId="0" fillId="5" borderId="6" xfId="0" applyFont="1" applyFill="1" applyBorder="1" applyAlignment="1">
      <alignment horizontal="center"/>
    </xf>
    <xf numFmtId="0" fontId="11" fillId="5" borderId="6" xfId="0" applyFont="1" applyFill="1" applyBorder="1" applyAlignment="1">
      <alignment horizontal="center" vertical="center" wrapText="1"/>
    </xf>
    <xf numFmtId="0" fontId="0" fillId="5" borderId="6" xfId="0" applyFont="1" applyFill="1" applyBorder="1" applyAlignment="1">
      <alignment wrapText="1"/>
    </xf>
    <xf numFmtId="0" fontId="0" fillId="5" borderId="6" xfId="0" applyFont="1" applyFill="1" applyBorder="1" applyAlignment="1">
      <alignment vertical="center" wrapText="1"/>
    </xf>
    <xf numFmtId="0" fontId="11" fillId="5" borderId="16" xfId="0" applyFont="1" applyFill="1" applyBorder="1" applyAlignment="1">
      <alignment horizontal="center" vertical="center" wrapText="1"/>
    </xf>
    <xf numFmtId="0" fontId="0" fillId="5" borderId="6" xfId="0" applyFont="1" applyFill="1" applyBorder="1" applyAlignment="1">
      <alignment horizontal="center" wrapText="1"/>
    </xf>
    <xf numFmtId="0" fontId="0" fillId="5" borderId="7" xfId="0" applyFont="1" applyFill="1" applyBorder="1" applyAlignment="1">
      <alignment horizontal="center"/>
    </xf>
    <xf numFmtId="0" fontId="0" fillId="5" borderId="7" xfId="0" applyFont="1" applyFill="1" applyBorder="1" applyAlignment="1">
      <alignment horizontal="left"/>
    </xf>
    <xf numFmtId="0" fontId="0" fillId="0" borderId="0" xfId="0" applyFont="1" applyAlignment="1">
      <alignment vertical="center" wrapText="1"/>
    </xf>
    <xf numFmtId="0" fontId="0" fillId="7" borderId="6" xfId="0" applyFont="1" applyFill="1" applyBorder="1" applyAlignment="1">
      <alignment vertical="center" wrapText="1"/>
    </xf>
    <xf numFmtId="0" fontId="0" fillId="7" borderId="6" xfId="0" applyFont="1" applyFill="1" applyBorder="1" applyAlignment="1">
      <alignment wrapText="1"/>
    </xf>
    <xf numFmtId="0" fontId="0" fillId="7" borderId="6" xfId="0" applyFont="1" applyFill="1" applyBorder="1" applyAlignment="1">
      <alignment horizontal="center" vertical="center"/>
    </xf>
    <xf numFmtId="0" fontId="0" fillId="8" borderId="6" xfId="0" applyFont="1" applyFill="1" applyBorder="1" applyAlignment="1">
      <alignment vertical="center" wrapText="1"/>
    </xf>
    <xf numFmtId="0" fontId="0" fillId="8" borderId="6" xfId="0" applyFont="1" applyFill="1" applyBorder="1" applyAlignment="1">
      <alignment wrapText="1"/>
    </xf>
    <xf numFmtId="0" fontId="0" fillId="8" borderId="6" xfId="0" applyFont="1" applyFill="1" applyBorder="1" applyAlignment="1">
      <alignment horizontal="center" vertical="center"/>
    </xf>
    <xf numFmtId="0" fontId="0" fillId="8" borderId="16" xfId="0" applyFont="1" applyFill="1" applyBorder="1" applyAlignment="1">
      <alignment horizontal="center" vertical="center"/>
    </xf>
    <xf numFmtId="0" fontId="0" fillId="0" borderId="0" xfId="0" applyFont="1" applyAlignment="1">
      <alignment wrapText="1"/>
    </xf>
    <xf numFmtId="0" fontId="0" fillId="0" borderId="0" xfId="0" applyFont="1" applyAlignment="1">
      <alignment horizontal="center" vertical="center"/>
    </xf>
    <xf numFmtId="0" fontId="0" fillId="7" borderId="6" xfId="0" applyFont="1" applyFill="1" applyBorder="1"/>
    <xf numFmtId="0" fontId="0" fillId="8" borderId="17" xfId="0" applyFont="1" applyFill="1" applyBorder="1" applyAlignment="1">
      <alignment wrapText="1"/>
    </xf>
    <xf numFmtId="0" fontId="0" fillId="8" borderId="18" xfId="0" applyFont="1" applyFill="1" applyBorder="1" applyAlignment="1">
      <alignment wrapText="1"/>
    </xf>
    <xf numFmtId="0" fontId="0" fillId="8" borderId="18" xfId="0" applyFont="1" applyFill="1" applyBorder="1" applyAlignment="1">
      <alignment horizontal="center" vertical="center"/>
    </xf>
    <xf numFmtId="0" fontId="0" fillId="0" borderId="6" xfId="0" applyFont="1" applyBorder="1" applyAlignment="1">
      <alignment vertical="center" wrapText="1"/>
    </xf>
    <xf numFmtId="0" fontId="0" fillId="0" borderId="6" xfId="0" applyFont="1" applyBorder="1" applyAlignment="1">
      <alignment wrapText="1"/>
    </xf>
    <xf numFmtId="0" fontId="0" fillId="0" borderId="6" xfId="0" applyFont="1" applyBorder="1" applyAlignment="1">
      <alignment horizontal="center"/>
    </xf>
    <xf numFmtId="0" fontId="0" fillId="9" borderId="6" xfId="0" applyFont="1" applyFill="1" applyBorder="1"/>
    <xf numFmtId="0" fontId="0" fillId="9" borderId="6" xfId="0" applyFont="1" applyFill="1" applyBorder="1" applyAlignment="1">
      <alignment horizontal="center" vertical="center"/>
    </xf>
    <xf numFmtId="0" fontId="0" fillId="9" borderId="16" xfId="0" applyFont="1" applyFill="1" applyBorder="1" applyAlignment="1">
      <alignment horizontal="center" vertical="center"/>
    </xf>
    <xf numFmtId="0" fontId="16" fillId="9" borderId="6" xfId="0" applyFont="1" applyFill="1" applyBorder="1" applyAlignment="1">
      <alignment horizontal="left" vertical="center" wrapText="1"/>
    </xf>
    <xf numFmtId="0" fontId="0" fillId="9" borderId="7" xfId="0" applyFont="1" applyFill="1" applyBorder="1"/>
    <xf numFmtId="0" fontId="0" fillId="9" borderId="7" xfId="0" applyFont="1" applyFill="1" applyBorder="1" applyAlignment="1">
      <alignment horizontal="center" vertical="center"/>
    </xf>
    <xf numFmtId="0" fontId="0" fillId="9" borderId="7" xfId="0" applyFont="1" applyFill="1" applyBorder="1" applyAlignment="1">
      <alignment horizontal="left" wrapText="1"/>
    </xf>
    <xf numFmtId="0" fontId="0" fillId="0" borderId="6" xfId="0" applyFont="1" applyBorder="1" applyAlignment="1">
      <alignment horizontal="center" vertical="center"/>
    </xf>
    <xf numFmtId="0" fontId="16" fillId="9" borderId="7" xfId="0" applyFont="1" applyFill="1" applyBorder="1" applyAlignment="1">
      <alignment horizontal="left" vertical="center" wrapText="1"/>
    </xf>
    <xf numFmtId="0" fontId="0" fillId="9" borderId="6" xfId="0" applyFont="1" applyFill="1" applyBorder="1" applyAlignment="1">
      <alignment wrapText="1"/>
    </xf>
    <xf numFmtId="0" fontId="20" fillId="12" borderId="32" xfId="0" applyFont="1" applyFill="1" applyBorder="1" applyAlignment="1">
      <alignment vertical="center"/>
    </xf>
    <xf numFmtId="0" fontId="20" fillId="12" borderId="7" xfId="0" applyFont="1" applyFill="1" applyBorder="1" applyAlignment="1">
      <alignment vertical="center"/>
    </xf>
    <xf numFmtId="0" fontId="21" fillId="0" borderId="0" xfId="0" applyFont="1" applyAlignment="1">
      <alignment horizontal="center" vertical="center" wrapText="1"/>
    </xf>
    <xf numFmtId="0" fontId="21" fillId="0" borderId="0" xfId="0" applyFont="1" applyAlignment="1">
      <alignment wrapText="1"/>
    </xf>
    <xf numFmtId="0" fontId="18" fillId="10" borderId="6" xfId="0" applyFont="1" applyFill="1" applyBorder="1" applyAlignment="1">
      <alignment horizontal="center" vertical="center" wrapText="1"/>
    </xf>
    <xf numFmtId="0" fontId="18" fillId="0" borderId="13" xfId="0" applyFont="1" applyBorder="1" applyAlignment="1">
      <alignment horizontal="center" vertical="center" wrapText="1"/>
    </xf>
    <xf numFmtId="0" fontId="22" fillId="13" borderId="6" xfId="0" applyFont="1" applyFill="1" applyBorder="1" applyAlignment="1">
      <alignment horizontal="center" vertical="center" wrapText="1"/>
    </xf>
    <xf numFmtId="0" fontId="18" fillId="12" borderId="7" xfId="0" applyFont="1" applyFill="1" applyBorder="1" applyAlignment="1">
      <alignment vertical="center"/>
    </xf>
    <xf numFmtId="0" fontId="20" fillId="0" borderId="5" xfId="0" applyFont="1" applyBorder="1" applyAlignment="1">
      <alignment horizontal="left" vertical="center" wrapText="1"/>
    </xf>
    <xf numFmtId="0" fontId="23" fillId="12" borderId="7" xfId="0" applyFont="1" applyFill="1" applyBorder="1" applyAlignment="1">
      <alignment vertical="center"/>
    </xf>
    <xf numFmtId="0" fontId="20" fillId="6" borderId="33" xfId="0" applyFont="1" applyFill="1" applyBorder="1" applyAlignment="1">
      <alignment horizontal="center" vertical="center" wrapText="1"/>
    </xf>
    <xf numFmtId="0" fontId="23" fillId="6" borderId="16" xfId="0" applyFont="1" applyFill="1" applyBorder="1" applyAlignment="1">
      <alignment vertical="center"/>
    </xf>
    <xf numFmtId="0" fontId="23" fillId="6" borderId="33" xfId="0" applyFont="1" applyFill="1" applyBorder="1" applyAlignment="1">
      <alignment vertical="center"/>
    </xf>
    <xf numFmtId="0" fontId="20" fillId="13" borderId="6" xfId="0" applyFont="1" applyFill="1" applyBorder="1" applyAlignment="1">
      <alignment horizontal="left" vertical="center" wrapText="1"/>
    </xf>
    <xf numFmtId="0" fontId="20" fillId="6" borderId="16" xfId="0" applyFont="1" applyFill="1" applyBorder="1" applyAlignment="1">
      <alignment horizontal="center" vertical="center" wrapText="1"/>
    </xf>
    <xf numFmtId="0" fontId="20" fillId="13" borderId="18" xfId="0" applyFont="1" applyFill="1" applyBorder="1" applyAlignment="1">
      <alignment horizontal="left" vertical="center" wrapText="1"/>
    </xf>
    <xf numFmtId="0" fontId="23" fillId="0" borderId="16" xfId="0" applyFont="1" applyBorder="1" applyAlignment="1">
      <alignment vertical="center"/>
    </xf>
    <xf numFmtId="0" fontId="23" fillId="0" borderId="33" xfId="0" applyFont="1" applyBorder="1" applyAlignment="1">
      <alignment vertical="center"/>
    </xf>
    <xf numFmtId="0" fontId="20" fillId="0" borderId="13" xfId="0" applyFont="1" applyBorder="1" applyAlignment="1">
      <alignment horizontal="left" vertical="center" wrapText="1"/>
    </xf>
    <xf numFmtId="0" fontId="22" fillId="13" borderId="6" xfId="0" applyFont="1" applyFill="1" applyBorder="1" applyAlignment="1">
      <alignment vertical="center" wrapText="1"/>
    </xf>
    <xf numFmtId="0" fontId="22" fillId="12" borderId="7" xfId="0" applyFont="1" applyFill="1" applyBorder="1" applyAlignment="1">
      <alignment vertical="center"/>
    </xf>
    <xf numFmtId="0" fontId="22" fillId="12" borderId="7" xfId="0" applyFont="1" applyFill="1" applyBorder="1" applyAlignment="1">
      <alignment vertical="center" wrapText="1"/>
    </xf>
    <xf numFmtId="0" fontId="22" fillId="12" borderId="32" xfId="0" applyFont="1" applyFill="1" applyBorder="1" applyAlignment="1">
      <alignment vertical="center"/>
    </xf>
    <xf numFmtId="0" fontId="20" fillId="0" borderId="6" xfId="0" applyFont="1" applyBorder="1" applyAlignment="1">
      <alignment horizontal="left" vertical="center" wrapText="1"/>
    </xf>
    <xf numFmtId="0" fontId="23" fillId="12" borderId="32" xfId="0" applyFont="1" applyFill="1" applyBorder="1" applyAlignment="1">
      <alignment vertical="center"/>
    </xf>
    <xf numFmtId="0" fontId="18" fillId="11" borderId="16" xfId="0" applyFont="1" applyFill="1" applyBorder="1" applyAlignment="1">
      <alignment horizontal="center" vertical="center" wrapText="1"/>
    </xf>
    <xf numFmtId="0" fontId="18" fillId="11" borderId="33" xfId="0" applyFont="1" applyFill="1" applyBorder="1" applyAlignment="1">
      <alignment vertical="center" wrapText="1"/>
    </xf>
    <xf numFmtId="0" fontId="18" fillId="11" borderId="34" xfId="0" applyFont="1" applyFill="1" applyBorder="1" applyAlignment="1">
      <alignment vertical="center" wrapText="1"/>
    </xf>
    <xf numFmtId="0" fontId="22" fillId="11" borderId="6" xfId="0" applyFont="1" applyFill="1" applyBorder="1" applyAlignment="1">
      <alignment horizontal="center" vertical="center" wrapText="1"/>
    </xf>
    <xf numFmtId="0" fontId="20" fillId="0" borderId="13" xfId="0" applyFont="1" applyBorder="1" applyAlignment="1">
      <alignment horizontal="center" vertical="center" wrapText="1"/>
    </xf>
    <xf numFmtId="0" fontId="20" fillId="0" borderId="6" xfId="0" applyFont="1" applyBorder="1" applyAlignment="1">
      <alignment vertical="center" wrapText="1"/>
    </xf>
    <xf numFmtId="0" fontId="25" fillId="0" borderId="6" xfId="0" applyFont="1" applyBorder="1" applyAlignment="1">
      <alignment vertical="center" wrapText="1"/>
    </xf>
    <xf numFmtId="0" fontId="26" fillId="0" borderId="16" xfId="0" applyFont="1" applyBorder="1" applyAlignment="1">
      <alignment vertical="center"/>
    </xf>
    <xf numFmtId="0" fontId="24" fillId="0" borderId="33" xfId="0" applyFont="1" applyBorder="1" applyAlignment="1">
      <alignment vertical="center" wrapText="1"/>
    </xf>
    <xf numFmtId="0" fontId="22" fillId="0" borderId="33" xfId="0" applyFont="1" applyBorder="1" applyAlignment="1">
      <alignment vertical="center" wrapText="1"/>
    </xf>
    <xf numFmtId="0" fontId="24" fillId="14" borderId="6" xfId="0" applyFont="1" applyFill="1" applyBorder="1" applyAlignment="1">
      <alignment horizontal="center" vertical="center" wrapText="1"/>
    </xf>
    <xf numFmtId="0" fontId="23" fillId="6" borderId="35" xfId="0" applyFont="1" applyFill="1" applyBorder="1" applyAlignment="1">
      <alignment vertical="center"/>
    </xf>
    <xf numFmtId="0" fontId="0" fillId="0" borderId="0" xfId="0" applyFont="1" applyAlignment="1">
      <alignment vertical="center"/>
    </xf>
    <xf numFmtId="0" fontId="23" fillId="6" borderId="36" xfId="0" applyFont="1" applyFill="1" applyBorder="1" applyAlignment="1">
      <alignment vertical="center"/>
    </xf>
    <xf numFmtId="0" fontId="20" fillId="0" borderId="15" xfId="0" applyFont="1" applyBorder="1" applyAlignment="1">
      <alignment horizontal="left" vertical="center" wrapText="1"/>
    </xf>
    <xf numFmtId="0" fontId="22" fillId="0" borderId="33" xfId="0" applyFont="1" applyBorder="1" applyAlignment="1">
      <alignment vertical="center"/>
    </xf>
    <xf numFmtId="0" fontId="22" fillId="12" borderId="6" xfId="0" applyFont="1" applyFill="1" applyBorder="1" applyAlignment="1">
      <alignment horizontal="center" vertical="center" wrapText="1"/>
    </xf>
    <xf numFmtId="0" fontId="26" fillId="6" borderId="16" xfId="0" applyFont="1" applyFill="1" applyBorder="1" applyAlignment="1">
      <alignment vertical="center"/>
    </xf>
    <xf numFmtId="0" fontId="27" fillId="6" borderId="33" xfId="0" applyFont="1" applyFill="1" applyBorder="1" applyAlignment="1">
      <alignment vertical="center"/>
    </xf>
    <xf numFmtId="0" fontId="28" fillId="0" borderId="6" xfId="0" applyFont="1" applyBorder="1" applyAlignment="1">
      <alignment vertical="center"/>
    </xf>
    <xf numFmtId="0" fontId="18" fillId="15" borderId="16" xfId="0" applyFont="1" applyFill="1" applyBorder="1" applyAlignment="1">
      <alignment horizontal="center" vertical="center"/>
    </xf>
    <xf numFmtId="0" fontId="18" fillId="15" borderId="33" xfId="0" applyFont="1" applyFill="1" applyBorder="1" applyAlignment="1">
      <alignment vertical="center"/>
    </xf>
    <xf numFmtId="0" fontId="18" fillId="15" borderId="34" xfId="0" applyFont="1" applyFill="1" applyBorder="1" applyAlignment="1">
      <alignment vertical="center"/>
    </xf>
    <xf numFmtId="0" fontId="22" fillId="14" borderId="18" xfId="0" applyFont="1" applyFill="1" applyBorder="1" applyAlignment="1">
      <alignment horizontal="center" vertical="center" wrapText="1"/>
    </xf>
    <xf numFmtId="0" fontId="29" fillId="12" borderId="16" xfId="0" applyFont="1" applyFill="1" applyBorder="1" applyAlignment="1">
      <alignment horizontal="left" vertical="center" wrapText="1"/>
    </xf>
    <xf numFmtId="0" fontId="20" fillId="0" borderId="38" xfId="0" applyFont="1" applyBorder="1" applyAlignment="1">
      <alignment horizontal="left" vertical="center" wrapText="1"/>
    </xf>
    <xf numFmtId="0" fontId="30" fillId="12" borderId="18" xfId="0" applyFont="1" applyFill="1" applyBorder="1" applyAlignment="1">
      <alignment horizontal="center" vertical="center" wrapText="1"/>
    </xf>
    <xf numFmtId="0" fontId="23" fillId="16" borderId="16" xfId="0" applyFont="1" applyFill="1" applyBorder="1" applyAlignment="1">
      <alignment vertical="center"/>
    </xf>
    <xf numFmtId="0" fontId="22" fillId="14" borderId="6" xfId="0" applyFont="1" applyFill="1" applyBorder="1" applyAlignment="1">
      <alignment horizontal="center" vertical="center" wrapText="1"/>
    </xf>
    <xf numFmtId="0" fontId="23" fillId="12" borderId="41" xfId="0" applyFont="1" applyFill="1" applyBorder="1" applyAlignment="1">
      <alignment vertical="center"/>
    </xf>
    <xf numFmtId="0" fontId="23" fillId="12" borderId="36" xfId="0" applyFont="1" applyFill="1" applyBorder="1" applyAlignment="1">
      <alignment vertical="center"/>
    </xf>
    <xf numFmtId="0" fontId="22" fillId="17" borderId="42" xfId="0" applyFont="1" applyFill="1" applyBorder="1" applyAlignment="1">
      <alignment vertical="center" wrapText="1"/>
    </xf>
    <xf numFmtId="0" fontId="22" fillId="17" borderId="35" xfId="0" applyFont="1" applyFill="1" applyBorder="1" applyAlignment="1">
      <alignment vertical="center" wrapText="1"/>
    </xf>
    <xf numFmtId="0" fontId="22" fillId="17" borderId="41" xfId="0" applyFont="1" applyFill="1" applyBorder="1" applyAlignment="1">
      <alignment vertical="center" wrapText="1"/>
    </xf>
    <xf numFmtId="0" fontId="22" fillId="17" borderId="36" xfId="0" applyFont="1" applyFill="1" applyBorder="1" applyAlignment="1">
      <alignment vertical="center" wrapText="1"/>
    </xf>
    <xf numFmtId="0" fontId="23" fillId="0" borderId="4" xfId="0" applyFont="1" applyBorder="1" applyAlignment="1">
      <alignment vertical="center" wrapText="1"/>
    </xf>
    <xf numFmtId="0" fontId="23" fillId="0" borderId="11" xfId="0" applyFont="1" applyBorder="1" applyAlignment="1">
      <alignment vertical="center" wrapText="1"/>
    </xf>
    <xf numFmtId="0" fontId="18" fillId="18" borderId="6" xfId="0" applyFont="1" applyFill="1" applyBorder="1" applyAlignment="1">
      <alignment horizontal="center" vertical="center" wrapText="1"/>
    </xf>
    <xf numFmtId="0" fontId="18" fillId="18" borderId="16" xfId="0" applyFont="1" applyFill="1" applyBorder="1" applyAlignment="1">
      <alignment horizontal="center" vertical="center"/>
    </xf>
    <xf numFmtId="0" fontId="18" fillId="18" borderId="33" xfId="0" applyFont="1" applyFill="1" applyBorder="1" applyAlignment="1">
      <alignment vertical="center"/>
    </xf>
    <xf numFmtId="0" fontId="18" fillId="14" borderId="6" xfId="0" applyFont="1" applyFill="1" applyBorder="1" applyAlignment="1">
      <alignment horizontal="center" vertical="center" wrapText="1"/>
    </xf>
    <xf numFmtId="0" fontId="18" fillId="14" borderId="6" xfId="0" applyFont="1" applyFill="1" applyBorder="1" applyAlignment="1">
      <alignment vertical="center" wrapText="1"/>
    </xf>
    <xf numFmtId="0" fontId="0" fillId="12" borderId="7" xfId="0" applyFont="1" applyFill="1" applyBorder="1"/>
    <xf numFmtId="0" fontId="18" fillId="11" borderId="6" xfId="0" applyFont="1" applyFill="1" applyBorder="1" applyAlignment="1">
      <alignment horizontal="left" vertical="center" wrapText="1"/>
    </xf>
    <xf numFmtId="0" fontId="29" fillId="12" borderId="16" xfId="0" applyFont="1" applyFill="1" applyBorder="1" applyAlignment="1">
      <alignment vertical="center" wrapText="1"/>
    </xf>
    <xf numFmtId="0" fontId="23" fillId="6" borderId="35" xfId="0" applyFont="1" applyFill="1" applyBorder="1" applyAlignment="1">
      <alignment horizontal="center" vertical="center" wrapText="1"/>
    </xf>
    <xf numFmtId="0" fontId="23" fillId="6" borderId="33"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23" fillId="6" borderId="16" xfId="0" applyFont="1" applyFill="1" applyBorder="1" applyAlignment="1">
      <alignment horizontal="center" vertical="center" wrapText="1"/>
    </xf>
    <xf numFmtId="0" fontId="23" fillId="6" borderId="34" xfId="0" applyFont="1" applyFill="1" applyBorder="1" applyAlignment="1">
      <alignment horizontal="center" vertical="center" wrapText="1"/>
    </xf>
    <xf numFmtId="0" fontId="20" fillId="8" borderId="6" xfId="0" applyFont="1" applyFill="1" applyBorder="1" applyAlignment="1">
      <alignment horizontal="left" vertical="center" wrapText="1"/>
    </xf>
    <xf numFmtId="0" fontId="23" fillId="8" borderId="33" xfId="0" applyFont="1" applyFill="1" applyBorder="1" applyAlignment="1">
      <alignment horizontal="center" vertical="center" wrapText="1"/>
    </xf>
    <xf numFmtId="0" fontId="20" fillId="8" borderId="6" xfId="0" applyFont="1" applyFill="1" applyBorder="1" applyAlignment="1">
      <alignment vertical="center" wrapText="1"/>
    </xf>
    <xf numFmtId="0" fontId="23" fillId="0" borderId="11" xfId="0" applyFont="1" applyBorder="1" applyAlignment="1">
      <alignment horizontal="center" vertical="center" wrapText="1"/>
    </xf>
    <xf numFmtId="0" fontId="22" fillId="0" borderId="11" xfId="0" applyFont="1" applyBorder="1" applyAlignment="1">
      <alignment horizontal="center" vertical="center" wrapText="1"/>
    </xf>
    <xf numFmtId="0" fontId="20" fillId="6" borderId="18" xfId="0" applyFont="1" applyFill="1" applyBorder="1" applyAlignment="1">
      <alignment horizontal="center" vertical="center" wrapText="1"/>
    </xf>
    <xf numFmtId="0" fontId="25" fillId="12" borderId="6" xfId="0" applyFont="1" applyFill="1" applyBorder="1" applyAlignment="1">
      <alignment vertical="center" wrapText="1"/>
    </xf>
    <xf numFmtId="0" fontId="24" fillId="12" borderId="33" xfId="0" applyFont="1" applyFill="1" applyBorder="1" applyAlignment="1">
      <alignment horizontal="center" vertical="center" wrapText="1"/>
    </xf>
    <xf numFmtId="0" fontId="20" fillId="0" borderId="15" xfId="0" applyFont="1" applyBorder="1" applyAlignment="1">
      <alignment vertical="center" wrapText="1"/>
    </xf>
    <xf numFmtId="0" fontId="22" fillId="0" borderId="12" xfId="0" applyFont="1" applyBorder="1" applyAlignment="1">
      <alignment horizontal="center" vertical="center" wrapText="1"/>
    </xf>
    <xf numFmtId="0" fontId="18" fillId="18" borderId="33" xfId="0" applyFont="1" applyFill="1" applyBorder="1" applyAlignment="1">
      <alignment vertical="center" wrapText="1"/>
    </xf>
    <xf numFmtId="0" fontId="18" fillId="18" borderId="34" xfId="0" applyFont="1" applyFill="1" applyBorder="1" applyAlignment="1">
      <alignment vertical="center" wrapText="1"/>
    </xf>
    <xf numFmtId="0" fontId="18" fillId="10" borderId="16" xfId="0" applyFont="1" applyFill="1" applyBorder="1" applyAlignment="1">
      <alignment vertical="center"/>
    </xf>
    <xf numFmtId="0" fontId="18" fillId="10" borderId="16" xfId="0" applyFont="1" applyFill="1" applyBorder="1" applyAlignment="1">
      <alignment horizontal="center" vertical="center"/>
    </xf>
    <xf numFmtId="0" fontId="18" fillId="10" borderId="33" xfId="0" applyFont="1" applyFill="1" applyBorder="1" applyAlignment="1">
      <alignment vertical="center" wrapText="1"/>
    </xf>
    <xf numFmtId="0" fontId="18" fillId="10" borderId="34" xfId="0" applyFont="1" applyFill="1" applyBorder="1" applyAlignment="1">
      <alignment vertical="center" wrapText="1"/>
    </xf>
    <xf numFmtId="0" fontId="22" fillId="10" borderId="6" xfId="0" applyFont="1" applyFill="1" applyBorder="1" applyAlignment="1">
      <alignment horizontal="center" vertical="center" wrapText="1"/>
    </xf>
    <xf numFmtId="0" fontId="23" fillId="6" borderId="34" xfId="0" applyFont="1" applyFill="1" applyBorder="1" applyAlignment="1">
      <alignment vertical="center"/>
    </xf>
    <xf numFmtId="0" fontId="23" fillId="0" borderId="34" xfId="0" applyFont="1" applyBorder="1" applyAlignment="1">
      <alignment vertical="center"/>
    </xf>
    <xf numFmtId="0" fontId="23" fillId="12" borderId="43" xfId="0" applyFont="1" applyFill="1" applyBorder="1" applyAlignment="1">
      <alignment vertical="center"/>
    </xf>
    <xf numFmtId="0" fontId="20" fillId="19" borderId="6" xfId="0" applyFont="1" applyFill="1" applyBorder="1" applyAlignment="1">
      <alignment vertical="center" wrapText="1"/>
    </xf>
    <xf numFmtId="0" fontId="20" fillId="19" borderId="6" xfId="0" applyFont="1" applyFill="1" applyBorder="1" applyAlignment="1">
      <alignment wrapText="1"/>
    </xf>
    <xf numFmtId="0" fontId="23" fillId="13" borderId="7" xfId="0" applyFont="1" applyFill="1" applyBorder="1" applyAlignment="1">
      <alignment vertical="center"/>
    </xf>
    <xf numFmtId="0" fontId="20" fillId="0" borderId="13" xfId="0" applyFont="1" applyBorder="1" applyAlignment="1">
      <alignment vertical="center" wrapText="1"/>
    </xf>
    <xf numFmtId="0" fontId="23" fillId="18" borderId="33" xfId="0" applyFont="1" applyFill="1" applyBorder="1" applyAlignment="1">
      <alignment vertical="center"/>
    </xf>
    <xf numFmtId="0" fontId="23" fillId="18" borderId="34" xfId="0" applyFont="1" applyFill="1" applyBorder="1" applyAlignment="1">
      <alignment vertical="center"/>
    </xf>
    <xf numFmtId="0" fontId="23" fillId="11" borderId="32" xfId="0" applyFont="1" applyFill="1" applyBorder="1" applyAlignment="1">
      <alignment vertical="center"/>
    </xf>
    <xf numFmtId="0" fontId="23" fillId="11" borderId="7" xfId="0" applyFont="1" applyFill="1" applyBorder="1" applyAlignment="1">
      <alignment vertical="center"/>
    </xf>
    <xf numFmtId="0" fontId="23" fillId="11" borderId="43" xfId="0" applyFont="1" applyFill="1" applyBorder="1" applyAlignment="1">
      <alignment vertical="center"/>
    </xf>
    <xf numFmtId="0" fontId="23" fillId="11" borderId="7" xfId="0" applyFont="1" applyFill="1" applyBorder="1" applyAlignment="1">
      <alignment horizontal="center" vertical="center"/>
    </xf>
    <xf numFmtId="0" fontId="23" fillId="11" borderId="43" xfId="0" applyFont="1" applyFill="1" applyBorder="1" applyAlignment="1">
      <alignment horizontal="center" vertical="center"/>
    </xf>
    <xf numFmtId="0" fontId="22" fillId="18" borderId="33" xfId="0" applyFont="1" applyFill="1" applyBorder="1" applyAlignment="1">
      <alignment vertical="center" wrapText="1"/>
    </xf>
    <xf numFmtId="0" fontId="22" fillId="18" borderId="34" xfId="0" applyFont="1" applyFill="1" applyBorder="1" applyAlignment="1">
      <alignment vertical="center" wrapText="1"/>
    </xf>
    <xf numFmtId="0" fontId="22" fillId="12" borderId="43" xfId="0" applyFont="1" applyFill="1" applyBorder="1" applyAlignment="1">
      <alignment vertical="center"/>
    </xf>
    <xf numFmtId="0" fontId="22" fillId="12" borderId="7" xfId="0" applyFont="1" applyFill="1" applyBorder="1" applyAlignment="1">
      <alignment horizontal="center" vertical="center"/>
    </xf>
    <xf numFmtId="0" fontId="22" fillId="12" borderId="43" xfId="0" applyFont="1" applyFill="1" applyBorder="1" applyAlignment="1">
      <alignment horizontal="center" vertical="center"/>
    </xf>
    <xf numFmtId="0" fontId="23" fillId="0" borderId="16" xfId="0" applyFont="1" applyBorder="1" applyAlignment="1">
      <alignment horizontal="left" vertical="center"/>
    </xf>
    <xf numFmtId="0" fontId="22" fillId="0" borderId="34" xfId="0" applyFont="1" applyBorder="1" applyAlignment="1">
      <alignment vertical="center"/>
    </xf>
    <xf numFmtId="0" fontId="23" fillId="13" borderId="43" xfId="0" applyFont="1" applyFill="1" applyBorder="1" applyAlignment="1">
      <alignment vertical="center"/>
    </xf>
    <xf numFmtId="0" fontId="23" fillId="0" borderId="33" xfId="0" applyFont="1" applyBorder="1" applyAlignment="1">
      <alignment horizontal="left" vertical="center"/>
    </xf>
    <xf numFmtId="0" fontId="23" fillId="0" borderId="34" xfId="0" applyFont="1" applyBorder="1" applyAlignment="1">
      <alignment horizontal="left" vertical="center"/>
    </xf>
    <xf numFmtId="0" fontId="20" fillId="0" borderId="25" xfId="0" applyFont="1" applyBorder="1" applyAlignment="1">
      <alignment horizontal="left" vertical="center" wrapText="1"/>
    </xf>
    <xf numFmtId="0" fontId="20" fillId="6" borderId="35" xfId="0" applyFont="1" applyFill="1" applyBorder="1" applyAlignment="1">
      <alignment horizontal="center" vertical="center" wrapText="1"/>
    </xf>
    <xf numFmtId="0" fontId="23" fillId="6" borderId="42" xfId="0" applyFont="1" applyFill="1" applyBorder="1" applyAlignment="1">
      <alignment vertical="center"/>
    </xf>
    <xf numFmtId="0" fontId="23" fillId="6" borderId="45" xfId="0" applyFont="1" applyFill="1" applyBorder="1" applyAlignment="1">
      <alignment vertical="center"/>
    </xf>
    <xf numFmtId="0" fontId="18" fillId="10" borderId="42" xfId="0" applyFont="1" applyFill="1" applyBorder="1" applyAlignment="1">
      <alignment vertical="center"/>
    </xf>
    <xf numFmtId="0" fontId="18" fillId="10" borderId="35" xfId="0" applyFont="1" applyFill="1" applyBorder="1" applyAlignment="1">
      <alignment vertical="center"/>
    </xf>
    <xf numFmtId="0" fontId="18" fillId="10" borderId="45" xfId="0" applyFont="1" applyFill="1" applyBorder="1" applyAlignment="1">
      <alignment vertical="center"/>
    </xf>
    <xf numFmtId="0" fontId="20" fillId="0" borderId="42" xfId="0" applyFont="1" applyBorder="1" applyAlignment="1">
      <alignment vertical="top"/>
    </xf>
    <xf numFmtId="0" fontId="20" fillId="0" borderId="35" xfId="0" applyFont="1" applyBorder="1" applyAlignment="1">
      <alignment vertical="top"/>
    </xf>
    <xf numFmtId="0" fontId="20" fillId="0" borderId="45" xfId="0" applyFont="1" applyBorder="1" applyAlignment="1">
      <alignment vertical="top"/>
    </xf>
    <xf numFmtId="0" fontId="20" fillId="0" borderId="41" xfId="0" applyFont="1" applyBorder="1" applyAlignment="1">
      <alignment vertical="top"/>
    </xf>
    <xf numFmtId="0" fontId="20" fillId="0" borderId="36" xfId="0" applyFont="1" applyBorder="1" applyAlignment="1">
      <alignment vertical="top"/>
    </xf>
    <xf numFmtId="0" fontId="20" fillId="0" borderId="46" xfId="0" applyFont="1" applyBorder="1" applyAlignment="1">
      <alignment vertical="top"/>
    </xf>
    <xf numFmtId="0" fontId="18" fillId="0" borderId="41" xfId="0" applyFont="1" applyBorder="1" applyAlignment="1">
      <alignment vertical="center"/>
    </xf>
    <xf numFmtId="0" fontId="18" fillId="0" borderId="36" xfId="0" applyFont="1" applyBorder="1" applyAlignment="1">
      <alignment vertical="center"/>
    </xf>
    <xf numFmtId="0" fontId="18" fillId="0" borderId="46" xfId="0" applyFont="1" applyBorder="1" applyAlignment="1">
      <alignment vertical="center"/>
    </xf>
    <xf numFmtId="0" fontId="18" fillId="0" borderId="16" xfId="0" applyFont="1" applyBorder="1" applyAlignment="1">
      <alignment vertical="center"/>
    </xf>
    <xf numFmtId="0" fontId="18" fillId="0" borderId="33" xfId="0" applyFont="1" applyBorder="1" applyAlignment="1">
      <alignment vertical="center"/>
    </xf>
    <xf numFmtId="0" fontId="18" fillId="0" borderId="34" xfId="0" applyFont="1" applyBorder="1" applyAlignment="1">
      <alignment vertical="center"/>
    </xf>
    <xf numFmtId="0" fontId="21" fillId="12" borderId="35" xfId="0" applyFont="1" applyFill="1" applyBorder="1" applyAlignment="1">
      <alignment wrapText="1"/>
    </xf>
    <xf numFmtId="0" fontId="21" fillId="12" borderId="7" xfId="0" applyFont="1" applyFill="1" applyBorder="1" applyAlignment="1">
      <alignment wrapText="1"/>
    </xf>
    <xf numFmtId="0" fontId="29" fillId="0" borderId="7" xfId="0" applyFont="1" applyBorder="1"/>
    <xf numFmtId="0" fontId="34" fillId="11" borderId="61" xfId="0" applyFont="1" applyFill="1" applyBorder="1" applyAlignment="1">
      <alignment horizontal="center" vertical="center" wrapText="1"/>
    </xf>
    <xf numFmtId="0" fontId="29" fillId="0" borderId="62" xfId="0" applyFont="1" applyBorder="1" applyAlignment="1">
      <alignment horizontal="center" vertical="center"/>
    </xf>
    <xf numFmtId="0" fontId="20" fillId="0" borderId="6" xfId="0" applyFont="1" applyBorder="1" applyAlignment="1">
      <alignment vertical="center"/>
    </xf>
    <xf numFmtId="0" fontId="29" fillId="0" borderId="63" xfId="0" applyFont="1" applyBorder="1" applyAlignment="1">
      <alignment horizontal="center" vertical="center" wrapText="1"/>
    </xf>
    <xf numFmtId="2" fontId="29" fillId="0" borderId="6" xfId="0" applyNumberFormat="1" applyFont="1" applyBorder="1" applyAlignment="1">
      <alignment horizontal="center" vertical="center"/>
    </xf>
    <xf numFmtId="0" fontId="29" fillId="0" borderId="63" xfId="0" applyFont="1" applyBorder="1" applyAlignment="1">
      <alignment horizontal="center" vertical="center"/>
    </xf>
    <xf numFmtId="2" fontId="29" fillId="0" borderId="15" xfId="0" applyNumberFormat="1" applyFont="1" applyBorder="1" applyAlignment="1">
      <alignment horizontal="center"/>
    </xf>
    <xf numFmtId="0" fontId="29" fillId="0" borderId="41" xfId="0" applyFont="1" applyBorder="1" applyAlignment="1">
      <alignment horizontal="center" vertical="center"/>
    </xf>
    <xf numFmtId="0" fontId="29" fillId="0" borderId="64" xfId="0" applyFont="1" applyBorder="1" applyAlignment="1">
      <alignment horizontal="center"/>
    </xf>
    <xf numFmtId="0" fontId="29" fillId="0" borderId="65" xfId="0" applyFont="1" applyBorder="1" applyAlignment="1">
      <alignment horizontal="center" vertical="center"/>
    </xf>
    <xf numFmtId="0" fontId="20" fillId="0" borderId="6" xfId="0" applyFont="1" applyBorder="1" applyAlignment="1">
      <alignment vertical="center" wrapText="1"/>
    </xf>
    <xf numFmtId="0" fontId="29" fillId="0" borderId="6" xfId="0" applyFont="1" applyBorder="1" applyAlignment="1">
      <alignment horizontal="center" vertical="center"/>
    </xf>
    <xf numFmtId="2" fontId="29" fillId="0" borderId="6" xfId="0" applyNumberFormat="1" applyFont="1" applyBorder="1" applyAlignment="1">
      <alignment horizontal="center"/>
    </xf>
    <xf numFmtId="0" fontId="29" fillId="0" borderId="16" xfId="0" applyFont="1" applyBorder="1" applyAlignment="1">
      <alignment horizontal="center" vertical="center"/>
    </xf>
    <xf numFmtId="0" fontId="29" fillId="0" borderId="66" xfId="0" applyFont="1" applyBorder="1" applyAlignment="1">
      <alignment horizontal="center"/>
    </xf>
    <xf numFmtId="0" fontId="29" fillId="0" borderId="6" xfId="0" applyFont="1" applyBorder="1" applyAlignment="1">
      <alignment horizontal="center" wrapText="1"/>
    </xf>
    <xf numFmtId="0" fontId="20" fillId="0" borderId="63" xfId="0" applyFont="1" applyBorder="1" applyAlignment="1">
      <alignment vertical="center" wrapText="1"/>
    </xf>
    <xf numFmtId="2" fontId="29" fillId="0" borderId="63" xfId="0" applyNumberFormat="1" applyFont="1" applyBorder="1" applyAlignment="1">
      <alignment horizontal="center" vertical="center"/>
    </xf>
    <xf numFmtId="0" fontId="20" fillId="0" borderId="6" xfId="0" applyFont="1" applyBorder="1" applyAlignment="1">
      <alignment horizontal="center" vertical="center" wrapText="1"/>
    </xf>
    <xf numFmtId="0" fontId="29" fillId="0" borderId="6" xfId="0" applyFont="1" applyBorder="1" applyAlignment="1">
      <alignment horizontal="center" vertical="center" wrapText="1"/>
    </xf>
    <xf numFmtId="166" fontId="29" fillId="0" borderId="6" xfId="0" applyNumberFormat="1" applyFont="1" applyBorder="1" applyAlignment="1">
      <alignment horizontal="center"/>
    </xf>
    <xf numFmtId="0" fontId="20" fillId="0" borderId="6" xfId="0" applyFont="1" applyBorder="1" applyAlignment="1">
      <alignment horizontal="center" vertical="center"/>
    </xf>
    <xf numFmtId="3" fontId="29" fillId="0" borderId="66" xfId="0" applyNumberFormat="1" applyFont="1" applyBorder="1" applyAlignment="1">
      <alignment horizontal="center"/>
    </xf>
    <xf numFmtId="2" fontId="20" fillId="0" borderId="6" xfId="0" applyNumberFormat="1" applyFont="1" applyBorder="1" applyAlignment="1">
      <alignment horizontal="center" vertical="center"/>
    </xf>
    <xf numFmtId="0" fontId="29" fillId="0" borderId="67" xfId="0" applyFont="1" applyBorder="1" applyAlignment="1">
      <alignment horizontal="center" vertical="center"/>
    </xf>
    <xf numFmtId="0" fontId="18" fillId="12" borderId="18" xfId="0" applyFont="1" applyFill="1" applyBorder="1" applyAlignment="1">
      <alignment vertical="center"/>
    </xf>
    <xf numFmtId="0" fontId="18" fillId="12" borderId="18" xfId="0" applyFont="1" applyFill="1" applyBorder="1" applyAlignment="1">
      <alignment horizontal="center" vertical="center" wrapText="1"/>
    </xf>
    <xf numFmtId="2" fontId="34" fillId="12" borderId="18" xfId="0" applyNumberFormat="1" applyFont="1" applyFill="1" applyBorder="1" applyAlignment="1">
      <alignment horizontal="center"/>
    </xf>
    <xf numFmtId="167" fontId="34" fillId="12" borderId="18" xfId="0" applyNumberFormat="1" applyFont="1" applyFill="1" applyBorder="1" applyAlignment="1">
      <alignment horizontal="center" vertical="center"/>
    </xf>
    <xf numFmtId="166" fontId="34" fillId="12" borderId="18" xfId="0" applyNumberFormat="1" applyFont="1" applyFill="1" applyBorder="1" applyAlignment="1">
      <alignment horizontal="center"/>
    </xf>
    <xf numFmtId="166" fontId="34" fillId="12" borderId="42" xfId="0" applyNumberFormat="1" applyFont="1" applyFill="1" applyBorder="1" applyAlignment="1">
      <alignment horizontal="center"/>
    </xf>
    <xf numFmtId="0" fontId="34" fillId="12" borderId="68" xfId="0" applyFont="1" applyFill="1" applyBorder="1" applyAlignment="1">
      <alignment horizontal="center"/>
    </xf>
    <xf numFmtId="0" fontId="29" fillId="0" borderId="7" xfId="0" applyFont="1" applyBorder="1" applyAlignment="1">
      <alignment wrapText="1"/>
    </xf>
    <xf numFmtId="0" fontId="29" fillId="0" borderId="7" xfId="0" applyFont="1" applyBorder="1" applyAlignment="1">
      <alignment horizontal="center"/>
    </xf>
    <xf numFmtId="0" fontId="34" fillId="14" borderId="61" xfId="0" applyFont="1" applyFill="1" applyBorder="1" applyAlignment="1">
      <alignment horizontal="center" vertical="center" wrapText="1"/>
    </xf>
    <xf numFmtId="0" fontId="34" fillId="14" borderId="61" xfId="0" applyFont="1" applyFill="1" applyBorder="1" applyAlignment="1">
      <alignment horizontal="center" vertical="center"/>
    </xf>
    <xf numFmtId="0" fontId="34" fillId="18" borderId="78" xfId="0" applyFont="1" applyFill="1" applyBorder="1" applyAlignment="1">
      <alignment horizontal="center" vertical="center" wrapText="1"/>
    </xf>
    <xf numFmtId="0" fontId="34" fillId="18" borderId="78" xfId="0" applyFont="1" applyFill="1" applyBorder="1" applyAlignment="1">
      <alignment horizontal="center" vertical="center"/>
    </xf>
    <xf numFmtId="0" fontId="34" fillId="3" borderId="78" xfId="0" applyFont="1" applyFill="1" applyBorder="1" applyAlignment="1">
      <alignment horizontal="center" vertical="center" wrapText="1"/>
    </xf>
    <xf numFmtId="0" fontId="34" fillId="3" borderId="79" xfId="0" applyFont="1" applyFill="1" applyBorder="1" applyAlignment="1">
      <alignment horizontal="center" vertical="center" wrapText="1"/>
    </xf>
    <xf numFmtId="0" fontId="34" fillId="21" borderId="78" xfId="0" applyFont="1" applyFill="1" applyBorder="1" applyAlignment="1">
      <alignment horizontal="center" vertical="center" wrapText="1"/>
    </xf>
    <xf numFmtId="0" fontId="34" fillId="7" borderId="78" xfId="0" applyFont="1" applyFill="1" applyBorder="1" applyAlignment="1">
      <alignment horizontal="center" vertical="center" wrapText="1"/>
    </xf>
    <xf numFmtId="0" fontId="34" fillId="14" borderId="78" xfId="0" applyFont="1" applyFill="1" applyBorder="1" applyAlignment="1">
      <alignment horizontal="center" vertical="center"/>
    </xf>
    <xf numFmtId="0" fontId="34" fillId="22" borderId="79" xfId="0" applyFont="1" applyFill="1" applyBorder="1" applyAlignment="1">
      <alignment horizontal="center" vertical="center" wrapText="1"/>
    </xf>
    <xf numFmtId="0" fontId="34" fillId="23" borderId="79" xfId="0" applyFont="1" applyFill="1" applyBorder="1" applyAlignment="1">
      <alignment horizontal="center" vertical="center" wrapText="1"/>
    </xf>
    <xf numFmtId="0" fontId="34" fillId="23" borderId="78" xfId="0" applyFont="1" applyFill="1" applyBorder="1" applyAlignment="1">
      <alignment horizontal="center" vertical="center" wrapText="1"/>
    </xf>
    <xf numFmtId="0" fontId="29" fillId="0" borderId="80" xfId="0" applyFont="1" applyBorder="1" applyAlignment="1">
      <alignment horizontal="center" vertical="center" wrapText="1"/>
    </xf>
    <xf numFmtId="0" fontId="20" fillId="0" borderId="63" xfId="0" applyFont="1" applyBorder="1" applyAlignment="1">
      <alignment vertical="center"/>
    </xf>
    <xf numFmtId="2" fontId="20" fillId="0" borderId="81" xfId="0" applyNumberFormat="1" applyFont="1" applyBorder="1" applyAlignment="1">
      <alignment horizontal="left" vertical="center" wrapText="1"/>
    </xf>
    <xf numFmtId="0" fontId="29" fillId="0" borderId="63" xfId="0" applyFont="1" applyBorder="1" applyAlignment="1">
      <alignment horizontal="center"/>
    </xf>
    <xf numFmtId="2" fontId="29" fillId="12" borderId="63" xfId="0" applyNumberFormat="1" applyFont="1" applyFill="1" applyBorder="1" applyAlignment="1">
      <alignment horizontal="center" vertical="center" wrapText="1"/>
    </xf>
    <xf numFmtId="0" fontId="29" fillId="0" borderId="81" xfId="0" applyFont="1" applyBorder="1" applyAlignment="1">
      <alignment horizontal="center" vertical="center" wrapText="1"/>
    </xf>
    <xf numFmtId="0" fontId="29" fillId="0" borderId="81" xfId="0" applyFont="1" applyBorder="1" applyAlignment="1">
      <alignment horizontal="center"/>
    </xf>
    <xf numFmtId="0" fontId="29" fillId="0" borderId="82" xfId="0" applyFont="1" applyBorder="1" applyAlignment="1">
      <alignment horizontal="center" vertical="center" wrapText="1"/>
    </xf>
    <xf numFmtId="0" fontId="29" fillId="0" borderId="81" xfId="0" applyFont="1" applyBorder="1" applyAlignment="1">
      <alignment horizontal="center" vertical="center" wrapText="1"/>
    </xf>
    <xf numFmtId="0" fontId="29" fillId="0" borderId="83" xfId="0" applyFont="1" applyBorder="1" applyAlignment="1">
      <alignment horizontal="center" vertical="center" wrapText="1"/>
    </xf>
    <xf numFmtId="0" fontId="29" fillId="0" borderId="84" xfId="0" applyFont="1" applyBorder="1"/>
    <xf numFmtId="2" fontId="20" fillId="0" borderId="6" xfId="0" applyNumberFormat="1" applyFont="1" applyBorder="1" applyAlignment="1">
      <alignment horizontal="left" vertical="center" wrapText="1"/>
    </xf>
    <xf numFmtId="0" fontId="29" fillId="0" borderId="6"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41" xfId="0" applyFont="1" applyBorder="1" applyAlignment="1">
      <alignment horizontal="center" vertical="center" wrapText="1"/>
    </xf>
    <xf numFmtId="0" fontId="29" fillId="0" borderId="85" xfId="0" applyFont="1" applyBorder="1" applyAlignment="1">
      <alignment wrapText="1"/>
    </xf>
    <xf numFmtId="0" fontId="29" fillId="0" borderId="6" xfId="0" applyFont="1" applyBorder="1" applyAlignment="1">
      <alignment horizontal="center"/>
    </xf>
    <xf numFmtId="0" fontId="29" fillId="0" borderId="85" xfId="0" applyFont="1" applyBorder="1"/>
    <xf numFmtId="0" fontId="20" fillId="0" borderId="6" xfId="0" applyFont="1" applyBorder="1" applyAlignment="1">
      <alignment horizontal="left" vertical="center" wrapText="1"/>
    </xf>
    <xf numFmtId="0" fontId="20" fillId="0" borderId="6" xfId="0" applyFont="1" applyBorder="1" applyAlignment="1">
      <alignment horizontal="center"/>
    </xf>
    <xf numFmtId="0" fontId="29" fillId="0" borderId="4" xfId="0" applyFont="1" applyBorder="1" applyAlignment="1">
      <alignment horizontal="center" wrapText="1"/>
    </xf>
    <xf numFmtId="0" fontId="29" fillId="0" borderId="66" xfId="0" applyFont="1" applyBorder="1" applyAlignment="1">
      <alignment wrapText="1"/>
    </xf>
    <xf numFmtId="0" fontId="29" fillId="24" borderId="6" xfId="0" applyFont="1" applyFill="1" applyBorder="1" applyAlignment="1">
      <alignment horizontal="center" vertical="center" wrapText="1"/>
    </xf>
    <xf numFmtId="0" fontId="29" fillId="0" borderId="6" xfId="0" applyFont="1" applyBorder="1" applyAlignment="1">
      <alignment wrapText="1"/>
    </xf>
    <xf numFmtId="0" fontId="29" fillId="0" borderId="6" xfId="0" applyFont="1" applyBorder="1" applyAlignment="1">
      <alignment horizontal="center"/>
    </xf>
    <xf numFmtId="0" fontId="29" fillId="0" borderId="4" xfId="0" applyFont="1" applyBorder="1" applyAlignment="1">
      <alignment horizontal="center"/>
    </xf>
    <xf numFmtId="0" fontId="29" fillId="0" borderId="34" xfId="0" applyFont="1" applyBorder="1" applyAlignment="1">
      <alignment horizontal="center" vertical="center"/>
    </xf>
    <xf numFmtId="0" fontId="29" fillId="0" borderId="66" xfId="0" applyFont="1" applyBorder="1" applyAlignment="1">
      <alignment horizontal="center" vertical="center" wrapText="1"/>
    </xf>
    <xf numFmtId="0" fontId="34" fillId="0" borderId="87" xfId="0" applyFont="1" applyBorder="1" applyAlignment="1">
      <alignment vertical="center" wrapText="1"/>
    </xf>
    <xf numFmtId="167" fontId="34" fillId="12" borderId="61" xfId="0" applyNumberFormat="1" applyFont="1" applyFill="1" applyBorder="1" applyAlignment="1">
      <alignment horizontal="center" vertical="center" wrapText="1"/>
    </xf>
    <xf numFmtId="168" fontId="34" fillId="12" borderId="90" xfId="0" applyNumberFormat="1" applyFont="1" applyFill="1" applyBorder="1" applyAlignment="1">
      <alignment horizontal="center" vertical="center" wrapText="1"/>
    </xf>
    <xf numFmtId="0" fontId="29" fillId="0" borderId="0" xfId="0" applyFont="1" applyAlignment="1">
      <alignment vertical="center" wrapText="1"/>
    </xf>
    <xf numFmtId="0" fontId="34" fillId="0" borderId="7" xfId="0" applyFont="1" applyBorder="1" applyAlignment="1">
      <alignment horizontal="center"/>
    </xf>
    <xf numFmtId="0" fontId="29" fillId="0" borderId="7" xfId="0" applyFont="1" applyBorder="1" applyAlignment="1">
      <alignment horizontal="left" vertical="center" wrapText="1"/>
    </xf>
    <xf numFmtId="0" fontId="34" fillId="0" borderId="7" xfId="0" applyFont="1" applyBorder="1" applyAlignment="1">
      <alignment horizontal="center" vertical="center" wrapText="1"/>
    </xf>
    <xf numFmtId="0" fontId="34" fillId="18" borderId="61" xfId="0" applyFont="1" applyFill="1" applyBorder="1" applyAlignment="1">
      <alignment horizontal="center" vertical="center" wrapText="1"/>
    </xf>
    <xf numFmtId="0" fontId="34" fillId="18" borderId="61" xfId="0" applyFont="1" applyFill="1" applyBorder="1" applyAlignment="1">
      <alignment horizontal="center" vertical="center"/>
    </xf>
    <xf numFmtId="0" fontId="34" fillId="3" borderId="61" xfId="0" applyFont="1" applyFill="1" applyBorder="1" applyAlignment="1">
      <alignment horizontal="center" vertical="center" wrapText="1"/>
    </xf>
    <xf numFmtId="0" fontId="34" fillId="21" borderId="61" xfId="0" applyFont="1" applyFill="1" applyBorder="1" applyAlignment="1">
      <alignment horizontal="center" vertical="center" wrapText="1"/>
    </xf>
    <xf numFmtId="0" fontId="34" fillId="7" borderId="61" xfId="0" applyFont="1" applyFill="1" applyBorder="1" applyAlignment="1">
      <alignment horizontal="center" vertical="center" wrapText="1"/>
    </xf>
    <xf numFmtId="0" fontId="34" fillId="22" borderId="61" xfId="0" applyFont="1" applyFill="1" applyBorder="1" applyAlignment="1">
      <alignment horizontal="center" vertical="center" wrapText="1"/>
    </xf>
    <xf numFmtId="0" fontId="34" fillId="23" borderId="61" xfId="0" applyFont="1" applyFill="1" applyBorder="1" applyAlignment="1">
      <alignment horizontal="center" vertical="center" wrapText="1"/>
    </xf>
    <xf numFmtId="0" fontId="34" fillId="11" borderId="90" xfId="0" applyFont="1" applyFill="1" applyBorder="1" applyAlignment="1">
      <alignment horizontal="center" vertical="center" wrapText="1"/>
    </xf>
    <xf numFmtId="2" fontId="29" fillId="12" borderId="6" xfId="0" applyNumberFormat="1" applyFont="1" applyFill="1" applyBorder="1" applyAlignment="1">
      <alignment horizontal="center" vertical="center" wrapText="1"/>
    </xf>
    <xf numFmtId="0" fontId="29" fillId="0" borderId="7" xfId="0" applyFont="1" applyBorder="1" applyAlignment="1">
      <alignment horizontal="center" vertical="center"/>
    </xf>
    <xf numFmtId="0" fontId="29" fillId="0" borderId="7" xfId="0" applyFont="1" applyBorder="1" applyAlignment="1">
      <alignment vertical="center"/>
    </xf>
    <xf numFmtId="2" fontId="29" fillId="0" borderId="7" xfId="0" applyNumberFormat="1" applyFont="1" applyBorder="1"/>
    <xf numFmtId="0" fontId="34" fillId="0" borderId="7" xfId="0" applyFont="1" applyBorder="1" applyAlignment="1">
      <alignment vertical="center" wrapText="1"/>
    </xf>
    <xf numFmtId="2" fontId="34" fillId="12" borderId="61" xfId="0" applyNumberFormat="1" applyFont="1" applyFill="1" applyBorder="1" applyAlignment="1">
      <alignment horizontal="center" vertical="center" wrapText="1"/>
    </xf>
    <xf numFmtId="0" fontId="34" fillId="0" borderId="0" xfId="0" applyFont="1" applyAlignment="1">
      <alignment horizontal="center" vertical="center" wrapText="1"/>
    </xf>
    <xf numFmtId="0" fontId="29" fillId="0" borderId="0" xfId="0" applyFont="1" applyAlignment="1">
      <alignment horizontal="center"/>
    </xf>
    <xf numFmtId="0" fontId="34" fillId="0" borderId="0" xfId="0" applyFont="1" applyAlignment="1">
      <alignment horizontal="center"/>
    </xf>
    <xf numFmtId="0" fontId="29" fillId="0" borderId="0" xfId="0" applyFont="1" applyAlignment="1">
      <alignment horizontal="left" vertical="center" wrapText="1"/>
    </xf>
    <xf numFmtId="0" fontId="34" fillId="14" borderId="6" xfId="0" applyFont="1" applyFill="1" applyBorder="1" applyAlignment="1">
      <alignment horizontal="center" vertical="center" wrapText="1"/>
    </xf>
    <xf numFmtId="0" fontId="34" fillId="14" borderId="6" xfId="0" applyFont="1" applyFill="1" applyBorder="1" applyAlignment="1">
      <alignment horizontal="center" vertical="center"/>
    </xf>
    <xf numFmtId="0" fontId="29" fillId="0" borderId="65" xfId="0" applyFont="1" applyBorder="1" applyAlignment="1">
      <alignment horizontal="center" vertical="center"/>
    </xf>
    <xf numFmtId="0" fontId="29" fillId="0" borderId="6" xfId="0" applyFont="1" applyBorder="1" applyAlignment="1">
      <alignment horizontal="left" vertical="center" wrapText="1"/>
    </xf>
    <xf numFmtId="0" fontId="29" fillId="0" borderId="6" xfId="0" applyFont="1" applyBorder="1" applyAlignment="1">
      <alignment horizontal="center" vertical="center"/>
    </xf>
    <xf numFmtId="0" fontId="29" fillId="0" borderId="0" xfId="0" applyFont="1"/>
    <xf numFmtId="0" fontId="29" fillId="0" borderId="0" xfId="0" applyFont="1" applyAlignment="1">
      <alignment wrapText="1"/>
    </xf>
    <xf numFmtId="0" fontId="22" fillId="10" borderId="45" xfId="0" applyFont="1" applyFill="1" applyBorder="1" applyAlignment="1">
      <alignment horizontal="center" vertical="center" wrapText="1"/>
    </xf>
    <xf numFmtId="0" fontId="20" fillId="0" borderId="4" xfId="0" applyFont="1" applyBorder="1" applyAlignment="1">
      <alignment horizontal="left" vertical="center" wrapText="1"/>
    </xf>
    <xf numFmtId="0" fontId="35" fillId="6" borderId="33" xfId="0" applyFont="1" applyFill="1" applyBorder="1" applyAlignment="1">
      <alignment vertical="center"/>
    </xf>
    <xf numFmtId="0" fontId="35" fillId="0" borderId="33" xfId="0" applyFont="1" applyBorder="1" applyAlignment="1">
      <alignment vertical="center"/>
    </xf>
    <xf numFmtId="0" fontId="27" fillId="0" borderId="33" xfId="0" applyFont="1" applyBorder="1" applyAlignment="1">
      <alignment vertical="center"/>
    </xf>
    <xf numFmtId="0" fontId="18" fillId="12" borderId="16" xfId="0" applyFont="1" applyFill="1" applyBorder="1" applyAlignment="1">
      <alignment vertical="center" wrapText="1"/>
    </xf>
    <xf numFmtId="0" fontId="18" fillId="12" borderId="34" xfId="0" applyFont="1" applyFill="1" applyBorder="1" applyAlignment="1">
      <alignment vertical="center" wrapText="1"/>
    </xf>
    <xf numFmtId="0" fontId="18" fillId="11" borderId="16" xfId="0" applyFont="1" applyFill="1" applyBorder="1" applyAlignment="1">
      <alignment vertical="center" wrapText="1"/>
    </xf>
    <xf numFmtId="0" fontId="18" fillId="10" borderId="17" xfId="0" applyFont="1" applyFill="1" applyBorder="1" applyAlignment="1">
      <alignment horizontal="center" vertical="center" wrapText="1"/>
    </xf>
    <xf numFmtId="0" fontId="29" fillId="0" borderId="6" xfId="0" applyFont="1" applyBorder="1" applyAlignment="1">
      <alignment vertical="center" wrapText="1"/>
    </xf>
    <xf numFmtId="0" fontId="18" fillId="0" borderId="6" xfId="0" applyFont="1" applyBorder="1" applyAlignment="1">
      <alignment horizontal="center" vertical="center" wrapText="1"/>
    </xf>
    <xf numFmtId="0" fontId="29" fillId="0" borderId="6" xfId="0" applyFont="1" applyBorder="1" applyAlignment="1">
      <alignment horizontal="left" vertical="center" wrapText="1"/>
    </xf>
    <xf numFmtId="0" fontId="18" fillId="11" borderId="6" xfId="0" applyFont="1" applyFill="1" applyBorder="1" applyAlignment="1">
      <alignment horizontal="center" vertical="center" wrapText="1"/>
    </xf>
    <xf numFmtId="0" fontId="18" fillId="11" borderId="6" xfId="0" applyFont="1" applyFill="1" applyBorder="1" applyAlignment="1">
      <alignment vertical="center" wrapText="1"/>
    </xf>
    <xf numFmtId="0" fontId="20" fillId="0" borderId="6" xfId="0" applyFont="1" applyBorder="1" applyAlignment="1">
      <alignment horizontal="center" vertical="center" wrapText="1"/>
    </xf>
    <xf numFmtId="0" fontId="22" fillId="12" borderId="42" xfId="0" applyFont="1" applyFill="1" applyBorder="1" applyAlignment="1">
      <alignment vertical="center"/>
    </xf>
    <xf numFmtId="0" fontId="22" fillId="12" borderId="35" xfId="0" applyFont="1" applyFill="1" applyBorder="1" applyAlignment="1">
      <alignment vertical="center"/>
    </xf>
    <xf numFmtId="0" fontId="22" fillId="11" borderId="63" xfId="0" applyFont="1" applyFill="1" applyBorder="1" applyAlignment="1">
      <alignment horizontal="center" vertical="center" wrapText="1"/>
    </xf>
    <xf numFmtId="0" fontId="26" fillId="0" borderId="33" xfId="0" applyFont="1" applyBorder="1" applyAlignment="1">
      <alignment vertical="center"/>
    </xf>
    <xf numFmtId="0" fontId="26" fillId="0" borderId="34" xfId="0" applyFont="1" applyBorder="1" applyAlignment="1">
      <alignment vertical="center"/>
    </xf>
    <xf numFmtId="0" fontId="24" fillId="0" borderId="33" xfId="0" applyFont="1" applyBorder="1" applyAlignment="1">
      <alignment vertical="center"/>
    </xf>
    <xf numFmtId="0" fontId="24" fillId="0" borderId="34" xfId="0" applyFont="1" applyBorder="1" applyAlignment="1">
      <alignment vertical="center"/>
    </xf>
    <xf numFmtId="0" fontId="22" fillId="11" borderId="6" xfId="0" applyFont="1" applyFill="1" applyBorder="1" applyAlignment="1">
      <alignment vertical="center" wrapText="1"/>
    </xf>
    <xf numFmtId="0" fontId="22" fillId="12" borderId="41" xfId="0" applyFont="1" applyFill="1" applyBorder="1" applyAlignment="1">
      <alignment vertical="center"/>
    </xf>
    <xf numFmtId="0" fontId="22" fillId="12" borderId="36" xfId="0" applyFont="1" applyFill="1" applyBorder="1" applyAlignment="1">
      <alignment vertical="center"/>
    </xf>
    <xf numFmtId="0" fontId="18" fillId="12" borderId="32" xfId="0" applyFont="1" applyFill="1" applyBorder="1" applyAlignment="1">
      <alignment vertical="center" wrapText="1"/>
    </xf>
    <xf numFmtId="0" fontId="18" fillId="12" borderId="7" xfId="0" applyFont="1" applyFill="1" applyBorder="1" applyAlignment="1">
      <alignment vertical="center" wrapText="1"/>
    </xf>
    <xf numFmtId="0" fontId="20" fillId="0" borderId="16" xfId="0" applyFont="1" applyBorder="1" applyAlignment="1">
      <alignment vertical="center" wrapText="1"/>
    </xf>
    <xf numFmtId="0" fontId="20" fillId="0" borderId="33" xfId="0" applyFont="1" applyBorder="1" applyAlignment="1">
      <alignment vertical="center" wrapText="1"/>
    </xf>
    <xf numFmtId="0" fontId="20" fillId="0" borderId="34" xfId="0" applyFont="1" applyBorder="1" applyAlignment="1">
      <alignment vertical="center" wrapText="1"/>
    </xf>
    <xf numFmtId="0" fontId="20" fillId="0" borderId="16" xfId="0" applyFont="1" applyBorder="1" applyAlignment="1">
      <alignment vertical="center"/>
    </xf>
    <xf numFmtId="0" fontId="20" fillId="0" borderId="33" xfId="0" applyFont="1" applyBorder="1" applyAlignment="1">
      <alignment vertical="center"/>
    </xf>
    <xf numFmtId="0" fontId="20" fillId="0" borderId="34" xfId="0" applyFont="1" applyBorder="1" applyAlignment="1">
      <alignment vertical="center"/>
    </xf>
    <xf numFmtId="0" fontId="20" fillId="0" borderId="16" xfId="0" applyFont="1" applyBorder="1" applyAlignment="1">
      <alignment horizontal="left" vertical="center"/>
    </xf>
    <xf numFmtId="0" fontId="20" fillId="0" borderId="33" xfId="0" applyFont="1" applyBorder="1" applyAlignment="1">
      <alignment horizontal="left" vertical="center"/>
    </xf>
    <xf numFmtId="0" fontId="20" fillId="0" borderId="34" xfId="0" applyFont="1" applyBorder="1" applyAlignment="1">
      <alignment horizontal="left" vertical="center"/>
    </xf>
    <xf numFmtId="0" fontId="18" fillId="11" borderId="16" xfId="0" applyFont="1" applyFill="1" applyBorder="1" applyAlignment="1">
      <alignment vertical="center"/>
    </xf>
    <xf numFmtId="0" fontId="18" fillId="11" borderId="33" xfId="0" applyFont="1" applyFill="1" applyBorder="1" applyAlignment="1">
      <alignment vertical="center"/>
    </xf>
    <xf numFmtId="0" fontId="18" fillId="11" borderId="34" xfId="0" applyFont="1" applyFill="1" applyBorder="1" applyAlignment="1">
      <alignment vertical="center"/>
    </xf>
    <xf numFmtId="0" fontId="23" fillId="0" borderId="42" xfId="0" applyFont="1" applyBorder="1" applyAlignment="1">
      <alignment vertical="top" wrapText="1"/>
    </xf>
    <xf numFmtId="0" fontId="23" fillId="0" borderId="35" xfId="0" applyFont="1" applyBorder="1" applyAlignment="1">
      <alignment vertical="top" wrapText="1"/>
    </xf>
    <xf numFmtId="0" fontId="23" fillId="0" borderId="45" xfId="0" applyFont="1" applyBorder="1" applyAlignment="1">
      <alignment vertical="top" wrapText="1"/>
    </xf>
    <xf numFmtId="0" fontId="23" fillId="0" borderId="41" xfId="0" applyFont="1" applyBorder="1" applyAlignment="1">
      <alignment vertical="top" wrapText="1"/>
    </xf>
    <xf numFmtId="0" fontId="23" fillId="0" borderId="36" xfId="0" applyFont="1" applyBorder="1" applyAlignment="1">
      <alignment vertical="top" wrapText="1"/>
    </xf>
    <xf numFmtId="0" fontId="23" fillId="0" borderId="46" xfId="0" applyFont="1" applyBorder="1" applyAlignment="1">
      <alignment vertical="top" wrapText="1"/>
    </xf>
    <xf numFmtId="0" fontId="20" fillId="0" borderId="6" xfId="0" applyFont="1" applyBorder="1" applyAlignment="1">
      <alignment horizontal="left" vertical="top" wrapText="1"/>
    </xf>
    <xf numFmtId="0" fontId="20" fillId="8" borderId="6" xfId="0" applyFont="1" applyFill="1" applyBorder="1" applyAlignment="1">
      <alignment horizontal="left" vertical="top" wrapText="1"/>
    </xf>
    <xf numFmtId="0" fontId="37" fillId="0" borderId="0" xfId="0" applyFont="1"/>
    <xf numFmtId="0" fontId="36" fillId="0" borderId="69" xfId="0" applyFont="1" applyBorder="1"/>
    <xf numFmtId="0" fontId="36" fillId="0" borderId="50" xfId="0" applyFont="1" applyBorder="1"/>
    <xf numFmtId="0" fontId="38" fillId="0" borderId="83" xfId="0" applyFont="1" applyBorder="1"/>
    <xf numFmtId="0" fontId="39" fillId="0" borderId="105" xfId="0" applyFont="1" applyBorder="1"/>
    <xf numFmtId="0" fontId="37" fillId="0" borderId="93" xfId="0" applyFont="1" applyBorder="1"/>
    <xf numFmtId="0" fontId="36" fillId="0" borderId="53" xfId="0" applyFont="1" applyBorder="1"/>
    <xf numFmtId="0" fontId="38" fillId="0" borderId="16" xfId="0" applyFont="1" applyBorder="1"/>
    <xf numFmtId="0" fontId="39" fillId="0" borderId="33" xfId="0" applyFont="1" applyBorder="1"/>
    <xf numFmtId="0" fontId="37" fillId="0" borderId="71" xfId="0" applyFont="1" applyBorder="1"/>
    <xf numFmtId="0" fontId="36" fillId="0" borderId="106" xfId="0" applyFont="1" applyBorder="1"/>
    <xf numFmtId="0" fontId="36" fillId="0" borderId="107" xfId="0" applyFont="1" applyBorder="1"/>
    <xf numFmtId="0" fontId="36" fillId="0" borderId="108" xfId="0" applyFont="1" applyBorder="1"/>
    <xf numFmtId="17" fontId="38" fillId="0" borderId="109" xfId="0" applyNumberFormat="1" applyFont="1" applyBorder="1"/>
    <xf numFmtId="0" fontId="39" fillId="0" borderId="110" xfId="0" applyFont="1" applyBorder="1"/>
    <xf numFmtId="0" fontId="37" fillId="0" borderId="111" xfId="0" applyFont="1" applyBorder="1"/>
    <xf numFmtId="0" fontId="40" fillId="0" borderId="79" xfId="0" applyFont="1" applyBorder="1" applyAlignment="1">
      <alignment vertical="center" wrapText="1"/>
    </xf>
    <xf numFmtId="0" fontId="40" fillId="26" borderId="112" xfId="0" applyFont="1" applyFill="1" applyBorder="1" applyAlignment="1">
      <alignment horizontal="center" vertical="center" wrapText="1"/>
    </xf>
    <xf numFmtId="0" fontId="40" fillId="0" borderId="113" xfId="0" applyFont="1" applyBorder="1" applyAlignment="1">
      <alignment vertical="center" wrapText="1"/>
    </xf>
    <xf numFmtId="0" fontId="40" fillId="20" borderId="119" xfId="0" applyFont="1" applyFill="1" applyBorder="1" applyAlignment="1">
      <alignment horizontal="center" vertical="center" wrapText="1"/>
    </xf>
    <xf numFmtId="0" fontId="40" fillId="2" borderId="120" xfId="0" applyFont="1" applyFill="1" applyBorder="1" applyAlignment="1">
      <alignment horizontal="center" vertical="center" wrapText="1"/>
    </xf>
    <xf numFmtId="0" fontId="40" fillId="3" borderId="120" xfId="0" applyFont="1" applyFill="1" applyBorder="1" applyAlignment="1">
      <alignment horizontal="center" vertical="center" textRotation="90" wrapText="1"/>
    </xf>
    <xf numFmtId="0" fontId="40" fillId="3" borderId="121" xfId="0" applyFont="1" applyFill="1" applyBorder="1" applyAlignment="1">
      <alignment horizontal="center" vertical="center" textRotation="90" wrapText="1"/>
    </xf>
    <xf numFmtId="0" fontId="40" fillId="9" borderId="122" xfId="0" applyFont="1" applyFill="1" applyBorder="1" applyAlignment="1">
      <alignment vertical="center" textRotation="90" wrapText="1"/>
    </xf>
    <xf numFmtId="0" fontId="40" fillId="9" borderId="82" xfId="0" applyFont="1" applyFill="1" applyBorder="1" applyAlignment="1">
      <alignment horizontal="center" vertical="center" textRotation="90" wrapText="1"/>
    </xf>
    <xf numFmtId="0" fontId="40" fillId="9" borderId="123" xfId="0" applyFont="1" applyFill="1" applyBorder="1" applyAlignment="1">
      <alignment horizontal="center" vertical="center" textRotation="90" wrapText="1"/>
    </xf>
    <xf numFmtId="0" fontId="40" fillId="9" borderId="124" xfId="0" applyFont="1" applyFill="1" applyBorder="1" applyAlignment="1">
      <alignment horizontal="center" vertical="center" textRotation="90" wrapText="1"/>
    </xf>
    <xf numFmtId="0" fontId="40" fillId="26" borderId="122" xfId="0" applyFont="1" applyFill="1" applyBorder="1" applyAlignment="1">
      <alignment horizontal="center" vertical="center" textRotation="90" wrapText="1"/>
    </xf>
    <xf numFmtId="0" fontId="40" fillId="26" borderId="123" xfId="0" applyFont="1" applyFill="1" applyBorder="1" applyAlignment="1">
      <alignment horizontal="center" vertical="center" textRotation="90" wrapText="1"/>
    </xf>
    <xf numFmtId="0" fontId="40" fillId="26" borderId="123" xfId="0" applyFont="1" applyFill="1" applyBorder="1" applyAlignment="1">
      <alignment horizontal="left" vertical="center" textRotation="90" wrapText="1"/>
    </xf>
    <xf numFmtId="0" fontId="40" fillId="26" borderId="124" xfId="0" applyFont="1" applyFill="1" applyBorder="1" applyAlignment="1">
      <alignment horizontal="center" vertical="center" textRotation="90" wrapText="1"/>
    </xf>
    <xf numFmtId="0" fontId="40" fillId="27" borderId="122" xfId="0" applyFont="1" applyFill="1" applyBorder="1" applyAlignment="1">
      <alignment horizontal="center" vertical="center" textRotation="90" wrapText="1"/>
    </xf>
    <xf numFmtId="0" fontId="40" fillId="27" borderId="123" xfId="0" applyFont="1" applyFill="1" applyBorder="1" applyAlignment="1">
      <alignment horizontal="center" vertical="center" textRotation="90" wrapText="1"/>
    </xf>
    <xf numFmtId="0" fontId="40" fillId="27" borderId="124" xfId="0" applyFont="1" applyFill="1" applyBorder="1" applyAlignment="1">
      <alignment horizontal="center" vertical="center" textRotation="90" wrapText="1"/>
    </xf>
    <xf numFmtId="0" fontId="40" fillId="28" borderId="122" xfId="0" applyFont="1" applyFill="1" applyBorder="1" applyAlignment="1">
      <alignment horizontal="center" vertical="center" textRotation="90" wrapText="1"/>
    </xf>
    <xf numFmtId="0" fontId="40" fillId="28" borderId="123" xfId="0" applyFont="1" applyFill="1" applyBorder="1" applyAlignment="1">
      <alignment horizontal="center" vertical="center" textRotation="90" wrapText="1"/>
    </xf>
    <xf numFmtId="0" fontId="40" fillId="28" borderId="125" xfId="0" applyFont="1" applyFill="1" applyBorder="1" applyAlignment="1">
      <alignment horizontal="center" vertical="center" textRotation="90" wrapText="1"/>
    </xf>
    <xf numFmtId="0" fontId="40" fillId="26" borderId="126" xfId="0" applyFont="1" applyFill="1" applyBorder="1" applyAlignment="1">
      <alignment horizontal="center" vertical="center" wrapText="1"/>
    </xf>
    <xf numFmtId="0" fontId="40" fillId="6" borderId="126" xfId="0" applyFont="1" applyFill="1" applyBorder="1" applyAlignment="1">
      <alignment horizontal="center" vertical="center" wrapText="1"/>
    </xf>
    <xf numFmtId="0" fontId="30" fillId="29" borderId="127" xfId="0" applyFont="1" applyFill="1" applyBorder="1" applyAlignment="1">
      <alignment horizontal="center" vertical="center" wrapText="1"/>
    </xf>
    <xf numFmtId="0" fontId="30" fillId="30" borderId="127" xfId="0" applyFont="1" applyFill="1" applyBorder="1" applyAlignment="1">
      <alignment horizontal="center" vertical="center" wrapText="1"/>
    </xf>
    <xf numFmtId="0" fontId="37" fillId="0" borderId="80" xfId="0" applyFont="1" applyBorder="1" applyAlignment="1">
      <alignment horizontal="center" vertical="center"/>
    </xf>
    <xf numFmtId="0" fontId="37" fillId="0" borderId="128" xfId="0" applyFont="1" applyBorder="1" applyAlignment="1">
      <alignment horizontal="left" vertical="center"/>
    </xf>
    <xf numFmtId="0" fontId="37" fillId="0" borderId="96" xfId="0" applyFont="1" applyBorder="1" applyAlignment="1">
      <alignment horizontal="left" vertical="center"/>
    </xf>
    <xf numFmtId="0" fontId="37" fillId="0" borderId="96" xfId="0" applyFont="1" applyBorder="1" applyAlignment="1">
      <alignment horizontal="center" vertical="center"/>
    </xf>
    <xf numFmtId="0" fontId="37" fillId="0" borderId="97" xfId="0" applyFont="1" applyBorder="1" applyAlignment="1">
      <alignment horizontal="center" vertical="center"/>
    </xf>
    <xf numFmtId="0" fontId="37" fillId="0" borderId="6" xfId="0" applyFont="1" applyBorder="1" applyAlignment="1">
      <alignment horizontal="center" vertical="center"/>
    </xf>
    <xf numFmtId="0" fontId="37" fillId="0" borderId="98" xfId="0" applyFont="1" applyBorder="1" applyAlignment="1">
      <alignment horizontal="center" vertical="center"/>
    </xf>
    <xf numFmtId="0" fontId="37" fillId="0" borderId="81" xfId="0" applyFont="1" applyBorder="1" applyAlignment="1">
      <alignment horizontal="center" vertical="center"/>
    </xf>
    <xf numFmtId="0" fontId="37" fillId="0" borderId="81" xfId="0" applyFont="1" applyBorder="1" applyAlignment="1">
      <alignment horizontal="left" vertical="center"/>
    </xf>
    <xf numFmtId="0" fontId="37" fillId="0" borderId="84" xfId="0" applyFont="1" applyBorder="1"/>
    <xf numFmtId="14" fontId="37" fillId="0" borderId="0" xfId="0" applyNumberFormat="1" applyFont="1"/>
    <xf numFmtId="19" fontId="37" fillId="0" borderId="0" xfId="0" applyNumberFormat="1" applyFont="1"/>
    <xf numFmtId="0" fontId="37" fillId="0" borderId="114" xfId="0" applyFont="1" applyBorder="1" applyAlignment="1">
      <alignment horizontal="center" vertical="center"/>
    </xf>
    <xf numFmtId="0" fontId="37" fillId="0" borderId="6" xfId="0" applyFont="1" applyBorder="1" applyAlignment="1">
      <alignment horizontal="left" vertical="center"/>
    </xf>
    <xf numFmtId="0" fontId="37" fillId="0" borderId="12" xfId="0" applyFont="1" applyBorder="1" applyAlignment="1">
      <alignment horizontal="center" vertical="center"/>
    </xf>
    <xf numFmtId="0" fontId="37" fillId="0" borderId="38" xfId="0" applyFont="1" applyBorder="1" applyAlignment="1">
      <alignment horizontal="center" vertical="center"/>
    </xf>
    <xf numFmtId="0" fontId="37" fillId="0" borderId="15" xfId="0" applyFont="1" applyBorder="1" applyAlignment="1">
      <alignment horizontal="center" vertical="center"/>
    </xf>
    <xf numFmtId="0" fontId="37" fillId="0" borderId="66" xfId="0" applyFont="1" applyBorder="1"/>
    <xf numFmtId="0" fontId="37" fillId="0" borderId="102" xfId="0" applyFont="1" applyBorder="1" applyAlignment="1">
      <alignment horizontal="center" vertical="center"/>
    </xf>
    <xf numFmtId="0" fontId="37" fillId="0" borderId="38" xfId="0" applyFont="1" applyBorder="1" applyAlignment="1">
      <alignment horizontal="left" vertical="center"/>
    </xf>
    <xf numFmtId="0" fontId="37" fillId="0" borderId="15" xfId="0" applyFont="1" applyBorder="1" applyAlignment="1">
      <alignment horizontal="left" vertical="center"/>
    </xf>
    <xf numFmtId="0" fontId="41" fillId="0" borderId="0" xfId="0" applyFont="1"/>
    <xf numFmtId="0" fontId="36" fillId="0" borderId="37" xfId="0" applyFont="1" applyBorder="1"/>
    <xf numFmtId="0" fontId="41" fillId="0" borderId="129" xfId="0" applyFont="1" applyBorder="1" applyAlignment="1">
      <alignment horizontal="center" vertical="center"/>
    </xf>
    <xf numFmtId="0" fontId="41" fillId="0" borderId="105" xfId="0" applyFont="1" applyBorder="1"/>
    <xf numFmtId="0" fontId="41" fillId="0" borderId="93" xfId="0" applyFont="1" applyBorder="1"/>
    <xf numFmtId="0" fontId="36" fillId="0" borderId="4" xfId="0" applyFont="1" applyBorder="1"/>
    <xf numFmtId="0" fontId="41" fillId="0" borderId="106" xfId="0" applyFont="1" applyBorder="1" applyAlignment="1">
      <alignment horizontal="center" vertical="center"/>
    </xf>
    <xf numFmtId="0" fontId="41" fillId="0" borderId="33" xfId="0" applyFont="1" applyBorder="1"/>
    <xf numFmtId="0" fontId="41" fillId="0" borderId="71" xfId="0" applyFont="1" applyBorder="1"/>
    <xf numFmtId="0" fontId="36" fillId="0" borderId="24" xfId="0" applyFont="1" applyBorder="1"/>
    <xf numFmtId="0" fontId="41" fillId="0" borderId="108" xfId="0" applyFont="1" applyBorder="1" applyAlignment="1">
      <alignment horizontal="center" vertical="center"/>
    </xf>
    <xf numFmtId="0" fontId="41" fillId="0" borderId="110" xfId="0" applyFont="1" applyBorder="1"/>
    <xf numFmtId="0" fontId="41" fillId="0" borderId="73" xfId="0" applyFont="1" applyBorder="1"/>
    <xf numFmtId="0" fontId="40" fillId="20" borderId="134" xfId="0" applyFont="1" applyFill="1" applyBorder="1" applyAlignment="1">
      <alignment horizontal="center" vertical="center" wrapText="1"/>
    </xf>
    <xf numFmtId="0" fontId="40" fillId="2" borderId="82" xfId="0" applyFont="1" applyFill="1" applyBorder="1" applyAlignment="1">
      <alignment horizontal="center" vertical="center" wrapText="1"/>
    </xf>
    <xf numFmtId="0" fontId="40" fillId="3" borderId="82" xfId="0" applyFont="1" applyFill="1" applyBorder="1" applyAlignment="1">
      <alignment horizontal="center" vertical="center" textRotation="90" wrapText="1"/>
    </xf>
    <xf numFmtId="0" fontId="40" fillId="3" borderId="135" xfId="0" applyFont="1" applyFill="1" applyBorder="1" applyAlignment="1">
      <alignment horizontal="center" vertical="center" textRotation="90" wrapText="1"/>
    </xf>
    <xf numFmtId="0" fontId="40" fillId="9" borderId="134" xfId="0" applyFont="1" applyFill="1" applyBorder="1" applyAlignment="1">
      <alignment horizontal="center" textRotation="90" wrapText="1"/>
    </xf>
    <xf numFmtId="0" fontId="40" fillId="9" borderId="135" xfId="0" applyFont="1" applyFill="1" applyBorder="1" applyAlignment="1">
      <alignment horizontal="center" vertical="center" textRotation="90" wrapText="1"/>
    </xf>
    <xf numFmtId="0" fontId="40" fillId="26" borderId="134" xfId="0" applyFont="1" applyFill="1" applyBorder="1" applyAlignment="1">
      <alignment horizontal="center" vertical="center" textRotation="90" wrapText="1"/>
    </xf>
    <xf numFmtId="0" fontId="40" fillId="26" borderId="135" xfId="0" applyFont="1" applyFill="1" applyBorder="1" applyAlignment="1">
      <alignment horizontal="center" vertical="center" textRotation="90" wrapText="1"/>
    </xf>
    <xf numFmtId="0" fontId="40" fillId="27" borderId="134" xfId="0" applyFont="1" applyFill="1" applyBorder="1" applyAlignment="1">
      <alignment horizontal="center" vertical="center" textRotation="90" wrapText="1"/>
    </xf>
    <xf numFmtId="0" fontId="40" fillId="27" borderId="82" xfId="0" applyFont="1" applyFill="1" applyBorder="1" applyAlignment="1">
      <alignment horizontal="center" vertical="center" textRotation="90" wrapText="1"/>
    </xf>
    <xf numFmtId="0" fontId="40" fillId="27" borderId="136" xfId="0" applyFont="1" applyFill="1" applyBorder="1" applyAlignment="1">
      <alignment horizontal="center" vertical="center" textRotation="90" wrapText="1"/>
    </xf>
    <xf numFmtId="0" fontId="40" fillId="6" borderId="127" xfId="0" applyFont="1" applyFill="1" applyBorder="1" applyAlignment="1">
      <alignment horizontal="center" vertical="center" wrapText="1"/>
    </xf>
    <xf numFmtId="0" fontId="37" fillId="0" borderId="80" xfId="0" applyFont="1" applyBorder="1" applyAlignment="1">
      <alignment horizontal="center"/>
    </xf>
    <xf numFmtId="0" fontId="41" fillId="0" borderId="84" xfId="0" applyFont="1" applyBorder="1"/>
    <xf numFmtId="14" fontId="41" fillId="0" borderId="0" xfId="0" applyNumberFormat="1" applyFont="1"/>
    <xf numFmtId="19" fontId="41" fillId="0" borderId="0" xfId="0" applyNumberFormat="1" applyFont="1"/>
    <xf numFmtId="0" fontId="37" fillId="0" borderId="65" xfId="0" applyFont="1" applyBorder="1" applyAlignment="1">
      <alignment horizontal="center"/>
    </xf>
    <xf numFmtId="0" fontId="41" fillId="0" borderId="66" xfId="0" applyFont="1" applyBorder="1"/>
    <xf numFmtId="0" fontId="42" fillId="9" borderId="62" xfId="0" applyFont="1" applyFill="1" applyBorder="1" applyAlignment="1">
      <alignment horizontal="center" vertical="center" wrapText="1"/>
    </xf>
    <xf numFmtId="10" fontId="42" fillId="9" borderId="64" xfId="0" applyNumberFormat="1" applyFont="1" applyFill="1" applyBorder="1" applyAlignment="1">
      <alignment horizontal="center" vertical="center" wrapText="1"/>
    </xf>
    <xf numFmtId="0" fontId="42" fillId="26" borderId="62" xfId="0" applyFont="1" applyFill="1" applyBorder="1" applyAlignment="1">
      <alignment horizontal="center" vertical="center" wrapText="1"/>
    </xf>
    <xf numFmtId="10" fontId="42" fillId="26" borderId="41" xfId="0" applyNumberFormat="1" applyFont="1" applyFill="1" applyBorder="1" applyAlignment="1">
      <alignment horizontal="center" vertical="center" wrapText="1"/>
    </xf>
    <xf numFmtId="0" fontId="42" fillId="27" borderId="62" xfId="0" applyFont="1" applyFill="1" applyBorder="1" applyAlignment="1">
      <alignment horizontal="center" vertical="center" wrapText="1"/>
    </xf>
    <xf numFmtId="10" fontId="42" fillId="27" borderId="64" xfId="0" applyNumberFormat="1" applyFont="1" applyFill="1" applyBorder="1" applyAlignment="1">
      <alignment horizontal="center" vertical="center" wrapText="1"/>
    </xf>
    <xf numFmtId="0" fontId="42" fillId="28" borderId="80" xfId="0" applyFont="1" applyFill="1" applyBorder="1" applyAlignment="1">
      <alignment horizontal="center" vertical="center" wrapText="1"/>
    </xf>
    <xf numFmtId="10" fontId="42" fillId="28" borderId="84" xfId="0" applyNumberFormat="1" applyFont="1" applyFill="1" applyBorder="1" applyAlignment="1">
      <alignment horizontal="center" vertical="center" wrapText="1"/>
    </xf>
    <xf numFmtId="0" fontId="42" fillId="9" borderId="65" xfId="0" applyFont="1" applyFill="1" applyBorder="1" applyAlignment="1">
      <alignment horizontal="center" vertical="center" wrapText="1"/>
    </xf>
    <xf numFmtId="10" fontId="42" fillId="9" borderId="66" xfId="0" applyNumberFormat="1" applyFont="1" applyFill="1" applyBorder="1" applyAlignment="1">
      <alignment horizontal="center" vertical="center" wrapText="1"/>
    </xf>
    <xf numFmtId="0" fontId="42" fillId="26" borderId="119" xfId="0" applyFont="1" applyFill="1" applyBorder="1" applyAlignment="1">
      <alignment horizontal="center" vertical="center" wrapText="1"/>
    </xf>
    <xf numFmtId="10" fontId="42" fillId="26" borderId="109" xfId="0" applyNumberFormat="1" applyFont="1" applyFill="1" applyBorder="1" applyAlignment="1">
      <alignment horizontal="center" vertical="center" wrapText="1"/>
    </xf>
    <xf numFmtId="0" fontId="42" fillId="27" borderId="65" xfId="0" applyFont="1" applyFill="1" applyBorder="1" applyAlignment="1">
      <alignment horizontal="center" vertical="center" wrapText="1"/>
    </xf>
    <xf numFmtId="10" fontId="42" fillId="27" borderId="66" xfId="0" applyNumberFormat="1" applyFont="1" applyFill="1" applyBorder="1" applyAlignment="1">
      <alignment horizontal="center" vertical="center" wrapText="1"/>
    </xf>
    <xf numFmtId="0" fontId="42" fillId="28" borderId="62" xfId="0" applyFont="1" applyFill="1" applyBorder="1" applyAlignment="1">
      <alignment horizontal="center" vertical="center" wrapText="1"/>
    </xf>
    <xf numFmtId="10" fontId="42" fillId="28" borderId="64" xfId="0" applyNumberFormat="1" applyFont="1" applyFill="1" applyBorder="1" applyAlignment="1">
      <alignment horizontal="center" vertical="center" wrapText="1"/>
    </xf>
    <xf numFmtId="0" fontId="42" fillId="9" borderId="119" xfId="0" applyFont="1" applyFill="1" applyBorder="1" applyAlignment="1">
      <alignment horizontal="center" vertical="center" wrapText="1"/>
    </xf>
    <xf numFmtId="10" fontId="42" fillId="9" borderId="121" xfId="0" applyNumberFormat="1" applyFont="1" applyFill="1" applyBorder="1" applyAlignment="1">
      <alignment horizontal="center" vertical="center" wrapText="1"/>
    </xf>
    <xf numFmtId="0" fontId="42" fillId="28" borderId="137" xfId="0" applyFont="1" applyFill="1" applyBorder="1" applyAlignment="1">
      <alignment horizontal="center" vertical="center" wrapText="1"/>
    </xf>
    <xf numFmtId="10" fontId="42" fillId="28" borderId="138" xfId="0" applyNumberFormat="1" applyFont="1" applyFill="1" applyBorder="1" applyAlignment="1">
      <alignment horizontal="center" vertical="center" wrapText="1"/>
    </xf>
    <xf numFmtId="0" fontId="42" fillId="27" borderId="119" xfId="0" applyFont="1" applyFill="1" applyBorder="1" applyAlignment="1">
      <alignment horizontal="center" vertical="center" wrapText="1"/>
    </xf>
    <xf numFmtId="10" fontId="42" fillId="27" borderId="121" xfId="0" applyNumberFormat="1" applyFont="1" applyFill="1" applyBorder="1" applyAlignment="1">
      <alignment horizontal="center" vertical="center" wrapText="1"/>
    </xf>
    <xf numFmtId="10" fontId="42" fillId="26" borderId="64" xfId="0" applyNumberFormat="1" applyFont="1" applyFill="1" applyBorder="1" applyAlignment="1">
      <alignment horizontal="center" vertical="center" wrapText="1"/>
    </xf>
    <xf numFmtId="0" fontId="42" fillId="26" borderId="65" xfId="0" applyFont="1" applyFill="1" applyBorder="1" applyAlignment="1">
      <alignment horizontal="center" vertical="center" wrapText="1"/>
    </xf>
    <xf numFmtId="10" fontId="42" fillId="26" borderId="66" xfId="0" applyNumberFormat="1" applyFont="1" applyFill="1" applyBorder="1" applyAlignment="1">
      <alignment horizontal="center" vertical="center" wrapText="1"/>
    </xf>
    <xf numFmtId="0" fontId="42" fillId="28" borderId="65" xfId="0" applyFont="1" applyFill="1" applyBorder="1" applyAlignment="1">
      <alignment horizontal="center" vertical="center" wrapText="1"/>
    </xf>
    <xf numFmtId="10" fontId="42" fillId="28" borderId="66" xfId="0" applyNumberFormat="1" applyFont="1" applyFill="1" applyBorder="1" applyAlignment="1">
      <alignment horizontal="center" vertical="center" wrapText="1"/>
    </xf>
    <xf numFmtId="0" fontId="42" fillId="28" borderId="119" xfId="0" applyFont="1" applyFill="1" applyBorder="1" applyAlignment="1">
      <alignment horizontal="center" vertical="center" wrapText="1"/>
    </xf>
    <xf numFmtId="10" fontId="42" fillId="28" borderId="121" xfId="0" applyNumberFormat="1" applyFont="1" applyFill="1" applyBorder="1" applyAlignment="1">
      <alignment horizontal="center" vertical="center" wrapText="1"/>
    </xf>
    <xf numFmtId="10" fontId="42" fillId="26" borderId="121" xfId="0" applyNumberFormat="1" applyFont="1" applyFill="1" applyBorder="1" applyAlignment="1">
      <alignment horizontal="center" vertical="center" wrapText="1"/>
    </xf>
    <xf numFmtId="0" fontId="44" fillId="0" borderId="0" xfId="0" applyFont="1" applyAlignment="1">
      <alignment vertical="center"/>
    </xf>
    <xf numFmtId="0" fontId="44" fillId="0" borderId="0" xfId="0" applyFont="1" applyAlignment="1">
      <alignment vertical="center" wrapText="1"/>
    </xf>
    <xf numFmtId="0" fontId="43" fillId="6" borderId="6" xfId="0" applyFont="1" applyFill="1" applyBorder="1" applyAlignment="1">
      <alignment horizontal="left" vertical="center" wrapText="1"/>
    </xf>
    <xf numFmtId="1" fontId="45" fillId="0" borderId="13" xfId="0" applyNumberFormat="1" applyFont="1" applyBorder="1" applyAlignment="1">
      <alignment horizontal="left" vertical="center" wrapText="1"/>
    </xf>
    <xf numFmtId="1" fontId="45" fillId="0" borderId="6" xfId="0" applyNumberFormat="1" applyFont="1" applyBorder="1" applyAlignment="1">
      <alignment horizontal="left" vertical="center" wrapText="1"/>
    </xf>
    <xf numFmtId="1" fontId="45" fillId="0" borderId="6" xfId="0" applyNumberFormat="1" applyFont="1" applyBorder="1" applyAlignment="1">
      <alignment horizontal="left" vertical="center" wrapText="1"/>
    </xf>
    <xf numFmtId="0" fontId="44" fillId="0" borderId="13" xfId="0" applyFont="1" applyBorder="1" applyAlignment="1">
      <alignment horizontal="left" vertical="center" wrapText="1"/>
    </xf>
    <xf numFmtId="0" fontId="44" fillId="0" borderId="0" xfId="0" applyFont="1"/>
    <xf numFmtId="0" fontId="44" fillId="0" borderId="5" xfId="0" applyFont="1" applyBorder="1" applyAlignment="1">
      <alignment horizontal="left" vertical="center" wrapText="1"/>
    </xf>
    <xf numFmtId="1" fontId="44" fillId="0" borderId="6" xfId="0" applyNumberFormat="1" applyFont="1" applyBorder="1" applyAlignment="1">
      <alignment horizontal="left" vertical="center" wrapText="1"/>
    </xf>
    <xf numFmtId="1" fontId="45" fillId="0" borderId="15" xfId="0" applyNumberFormat="1" applyFont="1" applyBorder="1" applyAlignment="1">
      <alignment horizontal="left" vertical="center" wrapText="1"/>
    </xf>
    <xf numFmtId="0" fontId="45" fillId="0" borderId="5" xfId="0" applyFont="1" applyBorder="1" applyAlignment="1">
      <alignment horizontal="left" vertical="center" wrapText="1"/>
    </xf>
    <xf numFmtId="0" fontId="45" fillId="0" borderId="6" xfId="0" applyFont="1" applyBorder="1" applyAlignment="1">
      <alignment horizontal="left" vertical="center" wrapText="1"/>
    </xf>
    <xf numFmtId="0" fontId="25" fillId="0" borderId="6" xfId="0" applyFont="1" applyBorder="1" applyAlignment="1">
      <alignment horizontal="left" vertical="top" wrapText="1"/>
    </xf>
    <xf numFmtId="0" fontId="0" fillId="0" borderId="0" xfId="0" applyFont="1" applyAlignment="1">
      <alignment horizontal="center"/>
    </xf>
    <xf numFmtId="0" fontId="19" fillId="6" borderId="134" xfId="0" applyFont="1" applyFill="1" applyBorder="1" applyAlignment="1">
      <alignment horizontal="left" vertical="center" wrapText="1"/>
    </xf>
    <xf numFmtId="0" fontId="19" fillId="6" borderId="123" xfId="0" applyFont="1" applyFill="1" applyBorder="1" applyAlignment="1">
      <alignment horizontal="center" vertical="center" wrapText="1"/>
    </xf>
    <xf numFmtId="0" fontId="19" fillId="6" borderId="124" xfId="0" applyFont="1" applyFill="1" applyBorder="1" applyAlignment="1">
      <alignment horizontal="center" vertical="center" wrapText="1"/>
    </xf>
    <xf numFmtId="0" fontId="25" fillId="0" borderId="0" xfId="0" applyFont="1" applyAlignment="1">
      <alignment vertical="center" wrapText="1"/>
    </xf>
    <xf numFmtId="1" fontId="25" fillId="24" borderId="18" xfId="0" applyNumberFormat="1" applyFont="1" applyFill="1" applyBorder="1" applyAlignment="1">
      <alignment horizontal="left" vertical="center" wrapText="1"/>
    </xf>
    <xf numFmtId="0" fontId="25" fillId="24" borderId="18" xfId="0" applyFont="1" applyFill="1" applyBorder="1" applyAlignment="1">
      <alignment horizontal="left" vertical="center" wrapText="1"/>
    </xf>
    <xf numFmtId="0" fontId="25" fillId="24" borderId="66" xfId="0" applyFont="1" applyFill="1" applyBorder="1" applyAlignment="1">
      <alignment horizontal="left" vertical="center" wrapText="1"/>
    </xf>
    <xf numFmtId="1" fontId="25" fillId="24" borderId="6" xfId="0" applyNumberFormat="1" applyFont="1" applyFill="1" applyBorder="1" applyAlignment="1">
      <alignment horizontal="left" vertical="center" wrapText="1"/>
    </xf>
    <xf numFmtId="1" fontId="25" fillId="24" borderId="17" xfId="0" applyNumberFormat="1" applyFont="1" applyFill="1" applyBorder="1" applyAlignment="1">
      <alignment horizontal="left" vertical="center" wrapText="1"/>
    </xf>
    <xf numFmtId="0" fontId="25" fillId="12" borderId="6" xfId="0" applyFont="1" applyFill="1" applyBorder="1" applyAlignment="1">
      <alignment horizontal="left" vertical="center" wrapText="1"/>
    </xf>
    <xf numFmtId="0" fontId="25" fillId="0" borderId="0" xfId="0" applyFont="1" applyAlignment="1">
      <alignment horizontal="left" vertical="center" wrapText="1"/>
    </xf>
    <xf numFmtId="0" fontId="25" fillId="12" borderId="63" xfId="0" applyFont="1" applyFill="1" applyBorder="1" applyAlignment="1">
      <alignment horizontal="left" vertical="center" wrapText="1"/>
    </xf>
    <xf numFmtId="0" fontId="25" fillId="4" borderId="6" xfId="0" applyFont="1" applyFill="1" applyBorder="1" applyAlignment="1">
      <alignment horizontal="left" vertical="center" wrapText="1"/>
    </xf>
    <xf numFmtId="0" fontId="25" fillId="4" borderId="6" xfId="0" applyFont="1" applyFill="1" applyBorder="1" applyAlignment="1">
      <alignment vertic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 fillId="2" borderId="4" xfId="0" applyFont="1" applyFill="1" applyBorder="1" applyAlignment="1">
      <alignment horizontal="center"/>
    </xf>
    <xf numFmtId="0" fontId="2" fillId="0" borderId="5" xfId="0" applyFont="1" applyBorder="1"/>
    <xf numFmtId="0" fontId="0" fillId="0" borderId="4" xfId="0" applyFont="1" applyBorder="1" applyAlignment="1">
      <alignment horizontal="left"/>
    </xf>
    <xf numFmtId="0" fontId="2" fillId="0" borderId="11" xfId="0" applyFont="1" applyBorder="1"/>
    <xf numFmtId="0" fontId="7" fillId="0" borderId="4" xfId="0" applyFont="1" applyBorder="1" applyAlignment="1">
      <alignment horizontal="left"/>
    </xf>
    <xf numFmtId="0" fontId="4" fillId="4" borderId="8" xfId="0" applyFont="1" applyFill="1" applyBorder="1" applyAlignment="1">
      <alignment horizontal="center"/>
    </xf>
    <xf numFmtId="0" fontId="2" fillId="0" borderId="9" xfId="0" applyFont="1" applyBorder="1"/>
    <xf numFmtId="0" fontId="2" fillId="0" borderId="10" xfId="0" applyFont="1" applyBorder="1"/>
    <xf numFmtId="0" fontId="3" fillId="5" borderId="4" xfId="0" applyFont="1" applyFill="1" applyBorder="1" applyAlignment="1">
      <alignment horizontal="left"/>
    </xf>
    <xf numFmtId="0" fontId="8" fillId="6" borderId="4" xfId="0" applyFont="1" applyFill="1" applyBorder="1" applyAlignment="1">
      <alignment horizontal="left" vertical="center" wrapText="1"/>
    </xf>
    <xf numFmtId="0" fontId="0" fillId="5" borderId="4" xfId="0" applyFont="1" applyFill="1" applyBorder="1" applyAlignment="1">
      <alignment horizontal="left" wrapText="1"/>
    </xf>
    <xf numFmtId="0" fontId="0" fillId="3" borderId="4" xfId="0" applyFont="1" applyFill="1" applyBorder="1" applyAlignment="1">
      <alignment horizontal="left"/>
    </xf>
    <xf numFmtId="0" fontId="0" fillId="5" borderId="4" xfId="0" applyFont="1" applyFill="1" applyBorder="1" applyAlignment="1">
      <alignment horizontal="left"/>
    </xf>
    <xf numFmtId="164" fontId="0" fillId="5" borderId="4" xfId="0" applyNumberFormat="1" applyFont="1" applyFill="1" applyBorder="1" applyAlignment="1">
      <alignment horizontal="left"/>
    </xf>
    <xf numFmtId="0" fontId="9" fillId="5" borderId="13" xfId="0" applyFont="1" applyFill="1" applyBorder="1" applyAlignment="1">
      <alignment horizontal="center" vertical="center" wrapText="1"/>
    </xf>
    <xf numFmtId="0" fontId="2" fillId="0" borderId="14" xfId="0" applyFont="1" applyBorder="1"/>
    <xf numFmtId="0" fontId="2" fillId="0" borderId="15" xfId="0" applyFont="1" applyBorder="1"/>
    <xf numFmtId="0" fontId="0" fillId="5" borderId="13" xfId="0" applyFont="1" applyFill="1" applyBorder="1" applyAlignment="1">
      <alignment horizontal="center" wrapText="1"/>
    </xf>
    <xf numFmtId="0" fontId="12" fillId="5" borderId="13" xfId="0" applyFont="1" applyFill="1" applyBorder="1" applyAlignment="1">
      <alignment horizontal="center" wrapText="1"/>
    </xf>
    <xf numFmtId="0" fontId="4" fillId="3" borderId="8" xfId="0" applyFont="1" applyFill="1" applyBorder="1" applyAlignment="1">
      <alignment horizontal="center"/>
    </xf>
    <xf numFmtId="0" fontId="4" fillId="0" borderId="12" xfId="0" applyFont="1" applyBorder="1" applyAlignment="1">
      <alignment horizontal="center"/>
    </xf>
    <xf numFmtId="0" fontId="2" fillId="0" borderId="12" xfId="0" applyFont="1" applyBorder="1"/>
    <xf numFmtId="0" fontId="0" fillId="3" borderId="4" xfId="0" applyFont="1" applyFill="1" applyBorder="1" applyAlignment="1">
      <alignment horizontal="center"/>
    </xf>
    <xf numFmtId="0" fontId="0" fillId="5" borderId="4" xfId="0" applyFont="1" applyFill="1" applyBorder="1" applyAlignment="1">
      <alignment horizontal="center" wrapText="1"/>
    </xf>
    <xf numFmtId="0" fontId="10" fillId="5" borderId="4" xfId="0" applyFont="1" applyFill="1" applyBorder="1" applyAlignment="1">
      <alignment horizontal="left"/>
    </xf>
    <xf numFmtId="0" fontId="0" fillId="5" borderId="4" xfId="0" applyFont="1" applyFill="1" applyBorder="1" applyAlignment="1">
      <alignment horizontal="left" vertical="center" wrapText="1"/>
    </xf>
    <xf numFmtId="0" fontId="13" fillId="8" borderId="13" xfId="0" applyFont="1" applyFill="1" applyBorder="1" applyAlignment="1">
      <alignment horizontal="center" vertical="center" wrapText="1"/>
    </xf>
    <xf numFmtId="0" fontId="0" fillId="8" borderId="4" xfId="0" applyFont="1" applyFill="1" applyBorder="1" applyAlignment="1">
      <alignment wrapText="1"/>
    </xf>
    <xf numFmtId="0" fontId="0" fillId="8" borderId="4" xfId="0" applyFont="1" applyFill="1" applyBorder="1" applyAlignment="1">
      <alignment vertical="center" wrapText="1"/>
    </xf>
    <xf numFmtId="0" fontId="4" fillId="7" borderId="8" xfId="0" applyFont="1" applyFill="1" applyBorder="1" applyAlignment="1">
      <alignment horizontal="center"/>
    </xf>
    <xf numFmtId="0" fontId="0" fillId="7" borderId="4" xfId="0" applyFont="1" applyFill="1" applyBorder="1" applyAlignment="1">
      <alignment horizontal="center"/>
    </xf>
    <xf numFmtId="0" fontId="14" fillId="8" borderId="4" xfId="0" applyFont="1" applyFill="1" applyBorder="1" applyAlignment="1">
      <alignment wrapText="1"/>
    </xf>
    <xf numFmtId="0" fontId="0" fillId="7" borderId="4" xfId="0" applyFont="1" applyFill="1" applyBorder="1" applyAlignment="1">
      <alignment wrapText="1"/>
    </xf>
    <xf numFmtId="0" fontId="0" fillId="8" borderId="19" xfId="0" applyFont="1" applyFill="1" applyBorder="1" applyAlignment="1">
      <alignment wrapText="1"/>
    </xf>
    <xf numFmtId="0" fontId="2" fillId="0" borderId="20" xfId="0" applyFont="1" applyBorder="1"/>
    <xf numFmtId="0" fontId="2" fillId="0" borderId="21" xfId="0" applyFont="1" applyBorder="1"/>
    <xf numFmtId="0" fontId="0" fillId="9" borderId="4" xfId="0" applyFont="1" applyFill="1" applyBorder="1" applyAlignment="1">
      <alignment horizontal="left" wrapText="1"/>
    </xf>
    <xf numFmtId="0" fontId="4" fillId="0" borderId="8" xfId="0" applyFont="1" applyBorder="1" applyAlignment="1">
      <alignment horizontal="center"/>
    </xf>
    <xf numFmtId="0" fontId="4" fillId="9" borderId="1" xfId="0" applyFont="1" applyFill="1" applyBorder="1" applyAlignment="1">
      <alignment horizontal="center"/>
    </xf>
    <xf numFmtId="0" fontId="2" fillId="0" borderId="22" xfId="0" applyFont="1" applyBorder="1"/>
    <xf numFmtId="0" fontId="0" fillId="0" borderId="4" xfId="0" applyFont="1" applyBorder="1" applyAlignment="1">
      <alignment horizontal="center"/>
    </xf>
    <xf numFmtId="0" fontId="15" fillId="0" borderId="13" xfId="0" applyFont="1" applyBorder="1" applyAlignment="1">
      <alignment horizontal="center" vertical="center" wrapText="1"/>
    </xf>
    <xf numFmtId="0" fontId="0" fillId="0" borderId="4" xfId="0" applyFont="1" applyBorder="1" applyAlignment="1">
      <alignment horizontal="left" wrapText="1"/>
    </xf>
    <xf numFmtId="0" fontId="17" fillId="0" borderId="13" xfId="0" applyFont="1" applyBorder="1" applyAlignment="1">
      <alignment horizontal="center" vertical="center"/>
    </xf>
    <xf numFmtId="0" fontId="23" fillId="6" borderId="4"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0" borderId="4" xfId="0" applyFont="1" applyBorder="1" applyAlignment="1">
      <alignment horizontal="center" vertical="center" wrapText="1"/>
    </xf>
    <xf numFmtId="0" fontId="22" fillId="0" borderId="4" xfId="0" applyFont="1" applyBorder="1" applyAlignment="1">
      <alignment horizontal="center" vertical="center" wrapText="1"/>
    </xf>
    <xf numFmtId="0" fontId="23" fillId="8" borderId="4" xfId="0" applyFont="1" applyFill="1" applyBorder="1" applyAlignment="1">
      <alignment horizontal="left" vertical="center" wrapText="1"/>
    </xf>
    <xf numFmtId="0" fontId="22" fillId="14" borderId="4" xfId="0" applyFont="1" applyFill="1" applyBorder="1" applyAlignment="1">
      <alignment horizontal="center" vertical="center" wrapText="1"/>
    </xf>
    <xf numFmtId="0" fontId="23" fillId="6" borderId="4" xfId="0" applyFont="1" applyFill="1" applyBorder="1" applyAlignment="1">
      <alignment horizontal="left" vertical="center" wrapText="1"/>
    </xf>
    <xf numFmtId="0" fontId="20" fillId="0" borderId="13" xfId="0" applyFont="1" applyBorder="1" applyAlignment="1">
      <alignment horizontal="center" vertical="center" wrapText="1"/>
    </xf>
    <xf numFmtId="0" fontId="18" fillId="14" borderId="13" xfId="0" applyFont="1" applyFill="1" applyBorder="1" applyAlignment="1">
      <alignment horizontal="center" vertical="center" wrapText="1"/>
    </xf>
    <xf numFmtId="0" fontId="18" fillId="14" borderId="13" xfId="0" applyFont="1" applyFill="1" applyBorder="1" applyAlignment="1">
      <alignment horizontal="left" vertical="center" wrapText="1"/>
    </xf>
    <xf numFmtId="0" fontId="22" fillId="14" borderId="4" xfId="0" applyFont="1" applyFill="1" applyBorder="1" applyAlignment="1">
      <alignment horizontal="center" vertical="center"/>
    </xf>
    <xf numFmtId="0" fontId="23" fillId="0" borderId="4" xfId="0" applyFont="1" applyBorder="1" applyAlignment="1">
      <alignment horizontal="left" vertical="center" wrapText="1"/>
    </xf>
    <xf numFmtId="0" fontId="23" fillId="0" borderId="4" xfId="0" applyFont="1" applyBorder="1" applyAlignment="1">
      <alignment horizontal="center" vertical="center"/>
    </xf>
    <xf numFmtId="0" fontId="23" fillId="6" borderId="19" xfId="0" applyFont="1" applyFill="1" applyBorder="1" applyAlignment="1">
      <alignment horizontal="center" vertical="center" wrapText="1"/>
    </xf>
    <xf numFmtId="49" fontId="23" fillId="0" borderId="4" xfId="0" applyNumberFormat="1" applyFont="1" applyBorder="1" applyAlignment="1">
      <alignment horizontal="center" vertical="center"/>
    </xf>
    <xf numFmtId="18" fontId="23" fillId="0" borderId="4" xfId="0" applyNumberFormat="1" applyFont="1" applyBorder="1" applyAlignment="1">
      <alignment horizontal="center" vertical="center"/>
    </xf>
    <xf numFmtId="0" fontId="23" fillId="0" borderId="4" xfId="0" applyFont="1" applyBorder="1" applyAlignment="1">
      <alignment horizontal="left" vertical="center"/>
    </xf>
    <xf numFmtId="0" fontId="20" fillId="13" borderId="13" xfId="0" applyFont="1" applyFill="1" applyBorder="1" applyAlignment="1">
      <alignment horizontal="left" vertical="center" wrapText="1"/>
    </xf>
    <xf numFmtId="0" fontId="22" fillId="13" borderId="31" xfId="0" applyFont="1" applyFill="1" applyBorder="1" applyAlignment="1">
      <alignment horizontal="center" vertical="center" wrapText="1"/>
    </xf>
    <xf numFmtId="0" fontId="22" fillId="12" borderId="31" xfId="0" applyFont="1" applyFill="1" applyBorder="1" applyAlignment="1">
      <alignment horizontal="center" vertical="center" wrapText="1"/>
    </xf>
    <xf numFmtId="0" fontId="24"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18" fillId="11" borderId="13" xfId="0" applyFont="1" applyFill="1" applyBorder="1" applyAlignment="1">
      <alignment horizontal="center" vertical="center" wrapText="1"/>
    </xf>
    <xf numFmtId="0" fontId="22" fillId="11" borderId="4" xfId="0" applyFont="1" applyFill="1" applyBorder="1" applyAlignment="1">
      <alignment horizontal="center" vertical="center" wrapText="1"/>
    </xf>
    <xf numFmtId="0" fontId="22" fillId="0" borderId="37" xfId="0" applyFont="1" applyBorder="1" applyAlignment="1">
      <alignment horizontal="center" vertical="center" wrapText="1"/>
    </xf>
    <xf numFmtId="0" fontId="2" fillId="0" borderId="38" xfId="0" applyFont="1" applyBorder="1"/>
    <xf numFmtId="0" fontId="22" fillId="0" borderId="24" xfId="0" applyFont="1" applyBorder="1" applyAlignment="1">
      <alignment horizontal="center" vertical="center" wrapText="1"/>
    </xf>
    <xf numFmtId="0" fontId="2" fillId="0" borderId="26" xfId="0" applyFont="1" applyBorder="1"/>
    <xf numFmtId="0" fontId="2" fillId="0" borderId="39" xfId="0" applyFont="1" applyBorder="1"/>
    <xf numFmtId="0" fontId="30" fillId="12" borderId="40" xfId="0" applyFont="1" applyFill="1" applyBorder="1" applyAlignment="1">
      <alignment horizontal="center" vertical="center" wrapText="1"/>
    </xf>
    <xf numFmtId="0" fontId="22" fillId="13" borderId="4" xfId="0" applyFont="1" applyFill="1" applyBorder="1" applyAlignment="1">
      <alignment horizontal="center" vertical="center" wrapText="1"/>
    </xf>
    <xf numFmtId="0" fontId="18" fillId="0" borderId="13" xfId="0" applyFont="1" applyBorder="1" applyAlignment="1">
      <alignment horizontal="center" vertical="center" wrapText="1"/>
    </xf>
    <xf numFmtId="0" fontId="20" fillId="13" borderId="13" xfId="0" applyFont="1" applyFill="1" applyBorder="1" applyAlignment="1">
      <alignment horizontal="center" vertical="center" wrapText="1"/>
    </xf>
    <xf numFmtId="0" fontId="22" fillId="13" borderId="4" xfId="0" applyFont="1" applyFill="1" applyBorder="1" applyAlignment="1">
      <alignment horizontal="center" vertical="center"/>
    </xf>
    <xf numFmtId="0" fontId="20" fillId="0" borderId="13" xfId="0" applyFont="1" applyBorder="1" applyAlignment="1">
      <alignment horizontal="left" vertical="center" wrapText="1"/>
    </xf>
    <xf numFmtId="0" fontId="18" fillId="10" borderId="4" xfId="0" applyFont="1" applyFill="1" applyBorder="1" applyAlignment="1">
      <alignment horizontal="center" vertical="center" wrapText="1"/>
    </xf>
    <xf numFmtId="0" fontId="18" fillId="0" borderId="24" xfId="0" applyFont="1" applyBorder="1" applyAlignment="1">
      <alignment horizontal="left" vertical="center" wrapText="1"/>
    </xf>
    <xf numFmtId="0" fontId="2" fillId="0" borderId="25" xfId="0" applyFont="1" applyBorder="1"/>
    <xf numFmtId="165" fontId="22" fillId="0" borderId="4" xfId="0" applyNumberFormat="1" applyFont="1" applyBorder="1" applyAlignment="1">
      <alignment horizontal="center" vertical="center"/>
    </xf>
    <xf numFmtId="0" fontId="18" fillId="0" borderId="4" xfId="0" applyFont="1" applyBorder="1" applyAlignment="1">
      <alignment horizontal="left" vertical="center" wrapText="1"/>
    </xf>
    <xf numFmtId="0" fontId="19" fillId="0" borderId="4" xfId="0" applyFont="1" applyBorder="1" applyAlignment="1">
      <alignment horizontal="left" vertical="center"/>
    </xf>
    <xf numFmtId="0" fontId="18" fillId="10" borderId="4" xfId="0" applyFont="1" applyFill="1" applyBorder="1" applyAlignment="1">
      <alignment horizontal="left" vertical="center" wrapText="1"/>
    </xf>
    <xf numFmtId="0" fontId="2" fillId="0" borderId="23" xfId="0" applyFont="1" applyBorder="1"/>
    <xf numFmtId="0" fontId="18" fillId="10" borderId="24" xfId="0" applyFont="1" applyFill="1" applyBorder="1" applyAlignment="1">
      <alignment horizontal="left" vertical="center" wrapText="1"/>
    </xf>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18" fillId="11" borderId="31" xfId="0" applyFont="1" applyFill="1" applyBorder="1" applyAlignment="1">
      <alignment horizontal="left" vertical="center" wrapText="1"/>
    </xf>
    <xf numFmtId="0" fontId="23" fillId="0" borderId="13" xfId="0" applyFont="1" applyBorder="1" applyAlignment="1">
      <alignment horizontal="center" vertical="center" wrapText="1"/>
    </xf>
    <xf numFmtId="0" fontId="22" fillId="17" borderId="24" xfId="0" applyFont="1" applyFill="1" applyBorder="1" applyAlignment="1">
      <alignment horizontal="center" vertical="center" wrapText="1"/>
    </xf>
    <xf numFmtId="0" fontId="2" fillId="0" borderId="37" xfId="0" applyFont="1" applyBorder="1"/>
    <xf numFmtId="0" fontId="24" fillId="12" borderId="4" xfId="0" applyFont="1" applyFill="1" applyBorder="1" applyAlignment="1">
      <alignment horizontal="center" vertical="center" wrapText="1"/>
    </xf>
    <xf numFmtId="0" fontId="19" fillId="14" borderId="13" xfId="0" applyFont="1" applyFill="1" applyBorder="1" applyAlignment="1">
      <alignment horizontal="center" vertical="center" wrapText="1"/>
    </xf>
    <xf numFmtId="0" fontId="24" fillId="14" borderId="4" xfId="0" applyFont="1" applyFill="1" applyBorder="1" applyAlignment="1">
      <alignment horizontal="center" vertical="center" wrapText="1"/>
    </xf>
    <xf numFmtId="0" fontId="18" fillId="17" borderId="13" xfId="0" applyFont="1" applyFill="1" applyBorder="1" applyAlignment="1">
      <alignment horizontal="center" vertical="center" wrapText="1"/>
    </xf>
    <xf numFmtId="0" fontId="24" fillId="12" borderId="40" xfId="0" applyFont="1" applyFill="1" applyBorder="1" applyAlignment="1">
      <alignment horizontal="center" vertical="center" wrapText="1"/>
    </xf>
    <xf numFmtId="18" fontId="23" fillId="8" borderId="4" xfId="0" applyNumberFormat="1" applyFont="1" applyFill="1" applyBorder="1" applyAlignment="1">
      <alignment horizontal="center" vertical="center" wrapText="1"/>
    </xf>
    <xf numFmtId="0" fontId="18" fillId="10" borderId="44" xfId="0" applyFont="1" applyFill="1" applyBorder="1" applyAlignment="1">
      <alignment horizontal="center" vertical="center" wrapText="1"/>
    </xf>
    <xf numFmtId="0" fontId="18" fillId="10" borderId="13"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31" xfId="0" applyFont="1" applyFill="1" applyBorder="1" applyAlignment="1">
      <alignment horizontal="center" vertical="center" wrapText="1"/>
    </xf>
    <xf numFmtId="0" fontId="23" fillId="0" borderId="37" xfId="0" applyFont="1" applyBorder="1" applyAlignment="1">
      <alignment horizontal="left" vertical="center" wrapText="1"/>
    </xf>
    <xf numFmtId="0" fontId="23" fillId="0" borderId="31" xfId="0" applyFont="1" applyBorder="1" applyAlignment="1">
      <alignment horizontal="left" vertical="center" wrapText="1"/>
    </xf>
    <xf numFmtId="0" fontId="31" fillId="12" borderId="4" xfId="0" applyFont="1" applyFill="1" applyBorder="1" applyAlignment="1">
      <alignment horizontal="center" vertical="center" textRotation="90" wrapText="1"/>
    </xf>
    <xf numFmtId="0" fontId="23" fillId="12" borderId="4" xfId="0" applyFont="1" applyFill="1" applyBorder="1" applyAlignment="1">
      <alignment horizontal="left" vertical="center" wrapText="1"/>
    </xf>
    <xf numFmtId="0" fontId="32" fillId="12" borderId="4" xfId="0" applyFont="1" applyFill="1" applyBorder="1" applyAlignment="1">
      <alignment horizontal="left" vertical="center"/>
    </xf>
    <xf numFmtId="0" fontId="32" fillId="12" borderId="4" xfId="0" applyFont="1" applyFill="1" applyBorder="1" applyAlignment="1">
      <alignment horizontal="left" vertical="center" wrapText="1"/>
    </xf>
    <xf numFmtId="0" fontId="31" fillId="12" borderId="4" xfId="0" applyFont="1" applyFill="1" applyBorder="1" applyAlignment="1">
      <alignment horizontal="left" vertical="center" textRotation="90" wrapText="1"/>
    </xf>
    <xf numFmtId="0" fontId="23" fillId="0" borderId="37" xfId="0" applyFont="1" applyBorder="1" applyAlignment="1">
      <alignment horizontal="left" vertical="center"/>
    </xf>
    <xf numFmtId="0" fontId="22" fillId="17" borderId="24" xfId="0" applyFont="1" applyFill="1" applyBorder="1" applyAlignment="1">
      <alignment horizontal="center" vertical="center"/>
    </xf>
    <xf numFmtId="0" fontId="18" fillId="0" borderId="37" xfId="0" applyFont="1" applyBorder="1" applyAlignment="1">
      <alignment horizontal="left" vertical="center" wrapText="1"/>
    </xf>
    <xf numFmtId="0" fontId="32" fillId="12" borderId="4" xfId="0" applyFont="1" applyFill="1" applyBorder="1" applyAlignment="1">
      <alignment horizontal="center" vertical="center"/>
    </xf>
    <xf numFmtId="0" fontId="34" fillId="14" borderId="74" xfId="0" applyFont="1" applyFill="1" applyBorder="1" applyAlignment="1">
      <alignment horizontal="center" vertical="center"/>
    </xf>
    <xf numFmtId="0" fontId="2" fillId="0" borderId="75" xfId="0" applyFont="1" applyBorder="1"/>
    <xf numFmtId="0" fontId="2" fillId="0" borderId="76" xfId="0" applyFont="1" applyBorder="1"/>
    <xf numFmtId="0" fontId="34" fillId="20" borderId="57" xfId="0" applyFont="1" applyFill="1" applyBorder="1" applyAlignment="1">
      <alignment horizontal="center" vertical="center" wrapText="1"/>
    </xf>
    <xf numFmtId="0" fontId="2" fillId="0" borderId="77" xfId="0" applyFont="1" applyBorder="1"/>
    <xf numFmtId="0" fontId="34" fillId="0" borderId="47" xfId="0" applyFont="1" applyBorder="1" applyAlignment="1">
      <alignment horizontal="center" vertical="center" wrapText="1"/>
    </xf>
    <xf numFmtId="0" fontId="2" fillId="0" borderId="48" xfId="0" applyFont="1" applyBorder="1"/>
    <xf numFmtId="0" fontId="2" fillId="0" borderId="49" xfId="0" applyFont="1" applyBorder="1"/>
    <xf numFmtId="0" fontId="29" fillId="0" borderId="50" xfId="0" applyFont="1" applyBorder="1" applyAlignment="1">
      <alignment horizontal="center" vertical="center" wrapText="1"/>
    </xf>
    <xf numFmtId="0" fontId="2" fillId="0" borderId="51" xfId="0" applyFont="1" applyBorder="1"/>
    <xf numFmtId="0" fontId="2" fillId="0" borderId="52" xfId="0" applyFont="1" applyBorder="1"/>
    <xf numFmtId="0" fontId="2" fillId="0" borderId="69" xfId="0" applyFont="1" applyBorder="1"/>
    <xf numFmtId="0" fontId="0" fillId="0" borderId="0" xfId="0" applyFont="1" applyAlignment="1"/>
    <xf numFmtId="0" fontId="2" fillId="0" borderId="70" xfId="0" applyFont="1" applyBorder="1"/>
    <xf numFmtId="0" fontId="34" fillId="0" borderId="53" xfId="0" applyFont="1" applyBorder="1" applyAlignment="1">
      <alignment horizontal="left" vertical="center" wrapText="1"/>
    </xf>
    <xf numFmtId="0" fontId="2" fillId="0" borderId="71" xfId="0" applyFont="1" applyBorder="1"/>
    <xf numFmtId="0" fontId="20" fillId="0" borderId="54" xfId="0" applyFont="1" applyBorder="1" applyAlignment="1">
      <alignment horizontal="left" vertical="center" wrapText="1"/>
    </xf>
    <xf numFmtId="0" fontId="2" fillId="0" borderId="72" xfId="0" applyFont="1" applyBorder="1"/>
    <xf numFmtId="0" fontId="2" fillId="0" borderId="73" xfId="0" applyFont="1" applyBorder="1"/>
    <xf numFmtId="0" fontId="34" fillId="14" borderId="47" xfId="0" applyFont="1" applyFill="1" applyBorder="1" applyAlignment="1">
      <alignment horizontal="center"/>
    </xf>
    <xf numFmtId="0" fontId="34" fillId="14" borderId="57" xfId="0" applyFont="1" applyFill="1" applyBorder="1" applyAlignment="1">
      <alignment horizontal="center" vertical="center" wrapText="1"/>
    </xf>
    <xf numFmtId="0" fontId="2" fillId="0" borderId="60" xfId="0" applyFont="1" applyBorder="1"/>
    <xf numFmtId="0" fontId="18" fillId="0" borderId="54" xfId="0" applyFont="1" applyBorder="1" applyAlignment="1">
      <alignment horizontal="left" vertical="center" wrapText="1"/>
    </xf>
    <xf numFmtId="0" fontId="2" fillId="0" borderId="55" xfId="0" applyFont="1" applyBorder="1"/>
    <xf numFmtId="0" fontId="33" fillId="0" borderId="47" xfId="0" applyFont="1" applyBorder="1" applyAlignment="1">
      <alignment horizontal="left" vertical="center" wrapText="1"/>
    </xf>
    <xf numFmtId="0" fontId="34" fillId="11" borderId="56" xfId="0" applyFont="1" applyFill="1" applyBorder="1" applyAlignment="1">
      <alignment horizontal="center" vertical="center"/>
    </xf>
    <xf numFmtId="0" fontId="2" fillId="0" borderId="59" xfId="0" applyFont="1" applyBorder="1"/>
    <xf numFmtId="0" fontId="34" fillId="11" borderId="57" xfId="0" applyFont="1" applyFill="1" applyBorder="1" applyAlignment="1">
      <alignment horizontal="center" vertical="center"/>
    </xf>
    <xf numFmtId="0" fontId="34" fillId="11" borderId="47" xfId="0" applyFont="1" applyFill="1" applyBorder="1" applyAlignment="1">
      <alignment horizontal="center" vertical="center"/>
    </xf>
    <xf numFmtId="0" fontId="34" fillId="17" borderId="57" xfId="0" applyFont="1" applyFill="1" applyBorder="1" applyAlignment="1">
      <alignment horizontal="center" vertical="center" wrapText="1"/>
    </xf>
    <xf numFmtId="0" fontId="34" fillId="11" borderId="47" xfId="0" applyFont="1" applyFill="1" applyBorder="1" applyAlignment="1">
      <alignment horizontal="center" vertical="center" wrapText="1"/>
    </xf>
    <xf numFmtId="0" fontId="18" fillId="11" borderId="47" xfId="0" applyFont="1" applyFill="1" applyBorder="1" applyAlignment="1">
      <alignment horizontal="center" vertical="center" wrapText="1"/>
    </xf>
    <xf numFmtId="0" fontId="18" fillId="0" borderId="50" xfId="0" applyFont="1" applyBorder="1" applyAlignment="1">
      <alignment horizontal="left" vertical="center" wrapText="1"/>
    </xf>
    <xf numFmtId="0" fontId="18" fillId="0" borderId="53" xfId="0" applyFont="1" applyBorder="1" applyAlignment="1">
      <alignment horizontal="left" vertical="center" wrapText="1"/>
    </xf>
    <xf numFmtId="0" fontId="18" fillId="0" borderId="47" xfId="0" applyFont="1" applyBorder="1" applyAlignment="1">
      <alignment horizontal="left" vertical="center" wrapText="1"/>
    </xf>
    <xf numFmtId="0" fontId="2" fillId="0" borderId="58" xfId="0" applyFont="1" applyBorder="1"/>
    <xf numFmtId="0" fontId="20" fillId="0" borderId="25" xfId="0" applyFont="1" applyBorder="1" applyAlignment="1">
      <alignment horizontal="center" vertical="center" wrapText="1"/>
    </xf>
    <xf numFmtId="0" fontId="2" fillId="0" borderId="86" xfId="0" applyFont="1" applyBorder="1"/>
    <xf numFmtId="0" fontId="20" fillId="0" borderId="14" xfId="0" applyFont="1" applyBorder="1" applyAlignment="1">
      <alignment horizontal="center" vertical="center" wrapText="1"/>
    </xf>
    <xf numFmtId="0" fontId="29" fillId="0" borderId="54" xfId="0" applyFont="1" applyBorder="1" applyAlignment="1">
      <alignment horizontal="left" vertical="center" wrapText="1"/>
    </xf>
    <xf numFmtId="0" fontId="29" fillId="0" borderId="0" xfId="0" applyFont="1" applyAlignment="1">
      <alignment horizontal="center"/>
    </xf>
    <xf numFmtId="0" fontId="34" fillId="0" borderId="91" xfId="0" applyFont="1" applyBorder="1" applyAlignment="1">
      <alignment horizontal="center"/>
    </xf>
    <xf numFmtId="0" fontId="2" fillId="0" borderId="92" xfId="0" applyFont="1" applyBorder="1"/>
    <xf numFmtId="0" fontId="2" fillId="0" borderId="93" xfId="0" applyFont="1" applyBorder="1"/>
    <xf numFmtId="0" fontId="29" fillId="0" borderId="53" xfId="0" applyFont="1" applyBorder="1" applyAlignment="1">
      <alignment horizontal="center"/>
    </xf>
    <xf numFmtId="0" fontId="29" fillId="0" borderId="53" xfId="0" applyFont="1" applyBorder="1" applyAlignment="1">
      <alignment horizontal="left" vertical="center" wrapText="1"/>
    </xf>
    <xf numFmtId="0" fontId="34" fillId="11" borderId="54" xfId="0" applyFont="1" applyFill="1" applyBorder="1" applyAlignment="1">
      <alignment horizontal="center" vertical="center" wrapText="1"/>
    </xf>
    <xf numFmtId="0" fontId="34" fillId="0" borderId="91" xfId="0" applyFont="1" applyBorder="1" applyAlignment="1">
      <alignment horizontal="center" vertical="center" wrapText="1"/>
    </xf>
    <xf numFmtId="0" fontId="29" fillId="0" borderId="53" xfId="0" applyFont="1" applyBorder="1" applyAlignment="1">
      <alignment horizontal="center" vertical="center" wrapText="1"/>
    </xf>
    <xf numFmtId="0" fontId="29" fillId="0" borderId="57" xfId="0" applyFont="1" applyBorder="1" applyAlignment="1">
      <alignment horizontal="center" vertical="center"/>
    </xf>
    <xf numFmtId="0" fontId="2" fillId="0" borderId="94" xfId="0" applyFont="1" applyBorder="1"/>
    <xf numFmtId="0" fontId="34" fillId="14" borderId="88" xfId="0" applyFont="1" applyFill="1" applyBorder="1" applyAlignment="1">
      <alignment horizontal="center" vertical="center" wrapText="1"/>
    </xf>
    <xf numFmtId="0" fontId="2" fillId="0" borderId="89" xfId="0" applyFont="1" applyBorder="1"/>
    <xf numFmtId="0" fontId="34" fillId="11" borderId="47" xfId="0" applyFont="1" applyFill="1" applyBorder="1" applyAlignment="1">
      <alignment horizontal="center" wrapText="1"/>
    </xf>
    <xf numFmtId="0" fontId="34" fillId="11" borderId="57" xfId="0" applyFont="1" applyFill="1" applyBorder="1" applyAlignment="1">
      <alignment horizontal="center" vertical="center" wrapText="1"/>
    </xf>
    <xf numFmtId="0" fontId="34" fillId="14" borderId="95" xfId="0" applyFont="1" applyFill="1" applyBorder="1" applyAlignment="1">
      <alignment horizontal="center" vertical="center" wrapText="1"/>
    </xf>
    <xf numFmtId="0" fontId="2" fillId="0" borderId="100" xfId="0" applyFont="1" applyBorder="1"/>
    <xf numFmtId="0" fontId="2" fillId="0" borderId="102" xfId="0" applyFont="1" applyBorder="1"/>
    <xf numFmtId="0" fontId="34" fillId="14" borderId="96" xfId="0" applyFont="1" applyFill="1" applyBorder="1" applyAlignment="1">
      <alignment horizontal="center" vertical="center" wrapText="1"/>
    </xf>
    <xf numFmtId="0" fontId="34" fillId="14" borderId="97" xfId="0" applyFont="1" applyFill="1" applyBorder="1" applyAlignment="1">
      <alignment horizontal="center" vertical="center"/>
    </xf>
    <xf numFmtId="0" fontId="2" fillId="0" borderId="98" xfId="0" applyFont="1" applyBorder="1"/>
    <xf numFmtId="0" fontId="34" fillId="14" borderId="99" xfId="0" applyFont="1" applyFill="1" applyBorder="1" applyAlignment="1">
      <alignment horizontal="center" vertical="center"/>
    </xf>
    <xf numFmtId="0" fontId="2" fillId="0" borderId="101" xfId="0" applyFont="1" applyBorder="1"/>
    <xf numFmtId="0" fontId="2" fillId="0" borderId="85" xfId="0" applyFont="1" applyBorder="1"/>
    <xf numFmtId="0" fontId="34" fillId="14" borderId="4" xfId="0" applyFont="1" applyFill="1" applyBorder="1" applyAlignment="1">
      <alignment horizontal="center"/>
    </xf>
    <xf numFmtId="0" fontId="34" fillId="14" borderId="47" xfId="0" applyFont="1" applyFill="1" applyBorder="1" applyAlignment="1">
      <alignment horizontal="center" vertical="center"/>
    </xf>
    <xf numFmtId="0" fontId="29" fillId="0" borderId="13" xfId="0" applyFont="1" applyBorder="1" applyAlignment="1">
      <alignment horizontal="center" vertical="center"/>
    </xf>
    <xf numFmtId="0" fontId="29" fillId="0" borderId="13" xfId="0" applyFont="1" applyBorder="1" applyAlignment="1">
      <alignment horizontal="center" vertical="center" wrapText="1"/>
    </xf>
    <xf numFmtId="0" fontId="18" fillId="11" borderId="103" xfId="0" applyFont="1" applyFill="1" applyBorder="1" applyAlignment="1">
      <alignment horizontal="center" vertical="center" wrapText="1"/>
    </xf>
    <xf numFmtId="0" fontId="2" fillId="0" borderId="104" xfId="0" applyFont="1" applyBorder="1"/>
    <xf numFmtId="0" fontId="18" fillId="11" borderId="13" xfId="0" applyFont="1" applyFill="1" applyBorder="1" applyAlignment="1">
      <alignment horizontal="left" vertical="center" wrapText="1"/>
    </xf>
    <xf numFmtId="0" fontId="20" fillId="0" borderId="4" xfId="0" applyFont="1" applyBorder="1" applyAlignment="1">
      <alignment horizontal="center" vertical="center" wrapText="1"/>
    </xf>
    <xf numFmtId="0" fontId="31" fillId="0" borderId="4" xfId="0" applyFont="1" applyBorder="1" applyAlignment="1">
      <alignment horizontal="center" vertical="center" wrapText="1"/>
    </xf>
    <xf numFmtId="0" fontId="30" fillId="0" borderId="4" xfId="0" applyFont="1" applyBorder="1" applyAlignment="1">
      <alignment horizontal="center" vertical="center" wrapText="1"/>
    </xf>
    <xf numFmtId="0" fontId="22" fillId="11" borderId="40" xfId="0" applyFont="1" applyFill="1" applyBorder="1" applyAlignment="1">
      <alignment horizontal="center" vertical="center" wrapText="1"/>
    </xf>
    <xf numFmtId="0" fontId="32" fillId="0" borderId="4" xfId="0" applyFont="1" applyBorder="1" applyAlignment="1">
      <alignment horizontal="center" vertical="center" wrapText="1"/>
    </xf>
    <xf numFmtId="3" fontId="20" fillId="0" borderId="13" xfId="0" applyNumberFormat="1" applyFont="1" applyBorder="1" applyAlignment="1">
      <alignment horizontal="center" vertical="center" wrapText="1"/>
    </xf>
    <xf numFmtId="0" fontId="18" fillId="11" borderId="4" xfId="0" applyFont="1" applyFill="1" applyBorder="1" applyAlignment="1">
      <alignment horizontal="center" vertical="center" wrapText="1"/>
    </xf>
    <xf numFmtId="0" fontId="25" fillId="0" borderId="13" xfId="0" applyFont="1" applyBorder="1" applyAlignment="1">
      <alignment horizontal="center" vertical="center" wrapText="1"/>
    </xf>
    <xf numFmtId="0" fontId="22" fillId="25" borderId="4" xfId="0" applyFont="1" applyFill="1" applyBorder="1" applyAlignment="1">
      <alignment horizontal="center" vertical="center" wrapText="1"/>
    </xf>
    <xf numFmtId="0" fontId="27" fillId="12" borderId="8" xfId="0" applyFont="1" applyFill="1" applyBorder="1" applyAlignment="1">
      <alignment horizontal="center" vertical="center"/>
    </xf>
    <xf numFmtId="0" fontId="22" fillId="12" borderId="8" xfId="0" applyFont="1" applyFill="1" applyBorder="1" applyAlignment="1">
      <alignment horizontal="center" vertical="center"/>
    </xf>
    <xf numFmtId="0" fontId="18" fillId="10" borderId="13" xfId="0" applyFont="1" applyFill="1" applyBorder="1" applyAlignment="1">
      <alignment horizontal="left" vertical="center" wrapText="1"/>
    </xf>
    <xf numFmtId="0" fontId="18" fillId="11" borderId="4" xfId="0" applyFont="1" applyFill="1" applyBorder="1" applyAlignment="1">
      <alignment horizontal="left" vertical="center" wrapText="1"/>
    </xf>
    <xf numFmtId="0" fontId="19" fillId="0" borderId="4" xfId="0" applyFont="1" applyBorder="1" applyAlignment="1">
      <alignment horizontal="left" vertical="center" wrapText="1"/>
    </xf>
    <xf numFmtId="0" fontId="22" fillId="6" borderId="4" xfId="0" applyFont="1" applyFill="1" applyBorder="1" applyAlignment="1">
      <alignment horizontal="center" vertical="center" wrapText="1"/>
    </xf>
    <xf numFmtId="0" fontId="40" fillId="9" borderId="47" xfId="0" applyFont="1" applyFill="1" applyBorder="1" applyAlignment="1">
      <alignment horizontal="center" vertical="center" wrapText="1"/>
    </xf>
    <xf numFmtId="0" fontId="40" fillId="12" borderId="116" xfId="0" applyFont="1" applyFill="1" applyBorder="1" applyAlignment="1">
      <alignment horizontal="center" vertical="center" wrapText="1"/>
    </xf>
    <xf numFmtId="0" fontId="2" fillId="0" borderId="117" xfId="0" applyFont="1" applyBorder="1"/>
    <xf numFmtId="0" fontId="36" fillId="12" borderId="47" xfId="0" applyFont="1" applyFill="1" applyBorder="1" applyAlignment="1">
      <alignment horizontal="center"/>
    </xf>
    <xf numFmtId="0" fontId="40" fillId="11" borderId="50" xfId="0" applyFont="1" applyFill="1" applyBorder="1" applyAlignment="1">
      <alignment horizontal="center" vertical="center" wrapText="1"/>
    </xf>
    <xf numFmtId="0" fontId="2" fillId="0" borderId="114" xfId="0" applyFont="1" applyBorder="1"/>
    <xf numFmtId="0" fontId="2" fillId="0" borderId="115" xfId="0" applyFont="1" applyBorder="1"/>
    <xf numFmtId="0" fontId="40" fillId="26" borderId="47" xfId="0" applyFont="1" applyFill="1" applyBorder="1" applyAlignment="1">
      <alignment horizontal="center" vertical="center" wrapText="1"/>
    </xf>
    <xf numFmtId="0" fontId="40" fillId="27" borderId="47" xfId="0" applyFont="1" applyFill="1" applyBorder="1" applyAlignment="1">
      <alignment horizontal="center" vertical="center" wrapText="1"/>
    </xf>
    <xf numFmtId="0" fontId="40" fillId="28" borderId="47" xfId="0" applyFont="1" applyFill="1" applyBorder="1" applyAlignment="1">
      <alignment horizontal="center" vertical="center" wrapText="1"/>
    </xf>
    <xf numFmtId="0" fontId="40" fillId="0" borderId="69" xfId="0" applyFont="1" applyBorder="1" applyAlignment="1">
      <alignment horizontal="center" vertical="center" wrapText="1"/>
    </xf>
    <xf numFmtId="0" fontId="40" fillId="11" borderId="57" xfId="0" applyFont="1" applyFill="1" applyBorder="1" applyAlignment="1">
      <alignment horizontal="center" vertical="center" wrapText="1"/>
    </xf>
    <xf numFmtId="0" fontId="2" fillId="0" borderId="118" xfId="0" applyFont="1" applyBorder="1"/>
    <xf numFmtId="0" fontId="2" fillId="0" borderId="131" xfId="0" applyFont="1" applyBorder="1"/>
    <xf numFmtId="0" fontId="2" fillId="0" borderId="132" xfId="0" applyFont="1" applyBorder="1"/>
    <xf numFmtId="0" fontId="2" fillId="0" borderId="133" xfId="0" applyFont="1" applyBorder="1"/>
    <xf numFmtId="0" fontId="40" fillId="0" borderId="57" xfId="0" applyFont="1" applyBorder="1" applyAlignment="1">
      <alignment horizontal="center" vertical="center" wrapText="1"/>
    </xf>
    <xf numFmtId="0" fontId="40" fillId="11" borderId="130" xfId="0" applyFont="1" applyFill="1" applyBorder="1" applyAlignment="1">
      <alignment horizontal="center" vertical="center" wrapText="1"/>
    </xf>
    <xf numFmtId="0" fontId="40" fillId="12" borderId="8" xfId="0" applyFont="1" applyFill="1" applyBorder="1" applyAlignment="1">
      <alignment horizontal="center" vertical="center" wrapText="1"/>
    </xf>
    <xf numFmtId="0" fontId="43" fillId="27" borderId="13" xfId="0" applyFont="1" applyFill="1" applyBorder="1" applyAlignment="1">
      <alignment horizontal="center" vertical="center" wrapText="1"/>
    </xf>
    <xf numFmtId="0" fontId="46" fillId="17" borderId="13" xfId="0" applyFont="1" applyFill="1" applyBorder="1" applyAlignment="1">
      <alignment horizontal="center" vertical="center" wrapText="1"/>
    </xf>
    <xf numFmtId="0" fontId="43" fillId="6" borderId="4" xfId="0" applyFont="1" applyFill="1" applyBorder="1" applyAlignment="1">
      <alignment horizontal="center" vertical="center" wrapText="1"/>
    </xf>
    <xf numFmtId="0" fontId="43" fillId="24" borderId="13" xfId="0" applyFont="1" applyFill="1" applyBorder="1" applyAlignment="1">
      <alignment horizontal="center" vertical="center" wrapText="1"/>
    </xf>
    <xf numFmtId="0" fontId="43" fillId="12" borderId="103" xfId="0" applyFont="1" applyFill="1" applyBorder="1" applyAlignment="1">
      <alignment horizontal="center" vertical="center" wrapText="1"/>
    </xf>
    <xf numFmtId="0" fontId="44" fillId="0" borderId="13" xfId="0" applyFont="1" applyBorder="1" applyAlignment="1">
      <alignment horizontal="left" vertical="center" wrapText="1"/>
    </xf>
    <xf numFmtId="1" fontId="44" fillId="0" borderId="13" xfId="0" applyNumberFormat="1" applyFont="1" applyBorder="1" applyAlignment="1">
      <alignment horizontal="left" vertical="center" wrapText="1"/>
    </xf>
    <xf numFmtId="0" fontId="25" fillId="12" borderId="13" xfId="0" applyFont="1" applyFill="1" applyBorder="1" applyAlignment="1">
      <alignment horizontal="left" vertical="center" wrapText="1"/>
    </xf>
    <xf numFmtId="1" fontId="25" fillId="12" borderId="13"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ORDENACIÓN DOCUMENTAL</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87FE-45A2-809E-C0CBE64A31DE}"/>
              </c:ext>
            </c:extLst>
          </c:dPt>
          <c:dPt>
            <c:idx val="2"/>
            <c:invertIfNegative val="1"/>
            <c:bubble3D val="0"/>
            <c:spPr>
              <a:solidFill>
                <a:srgbClr val="A5A5A5"/>
              </a:solidFill>
              <a:ln cmpd="sng">
                <a:solidFill>
                  <a:srgbClr val="000000"/>
                </a:solidFill>
              </a:ln>
            </c:spPr>
            <c:extLst>
              <c:ext xmlns:c16="http://schemas.microsoft.com/office/drawing/2014/chart" uri="{C3380CC4-5D6E-409C-BE32-E72D297353CC}">
                <c16:uniqueId val="{00000003-87FE-45A2-809E-C0CBE64A31DE}"/>
              </c:ext>
            </c:extLst>
          </c:dPt>
          <c:dPt>
            <c:idx val="3"/>
            <c:invertIfNegative val="1"/>
            <c:bubble3D val="0"/>
            <c:spPr>
              <a:solidFill>
                <a:srgbClr val="FFC000"/>
              </a:solidFill>
              <a:ln cmpd="sng">
                <a:solidFill>
                  <a:srgbClr val="000000"/>
                </a:solidFill>
              </a:ln>
            </c:spPr>
            <c:extLst>
              <c:ext xmlns:c16="http://schemas.microsoft.com/office/drawing/2014/chart" uri="{C3380CC4-5D6E-409C-BE32-E72D297353CC}">
                <c16:uniqueId val="{00000005-87FE-45A2-809E-C0CBE64A31DE}"/>
              </c:ext>
            </c:extLst>
          </c:dPt>
          <c:dPt>
            <c:idx val="4"/>
            <c:invertIfNegative val="1"/>
            <c:bubble3D val="0"/>
            <c:spPr>
              <a:solidFill>
                <a:srgbClr val="70AD47"/>
              </a:solidFill>
              <a:ln cmpd="sng">
                <a:solidFill>
                  <a:srgbClr val="000000"/>
                </a:solidFill>
              </a:ln>
            </c:spPr>
            <c:extLst>
              <c:ext xmlns:c16="http://schemas.microsoft.com/office/drawing/2014/chart" uri="{C3380CC4-5D6E-409C-BE32-E72D297353CC}">
                <c16:uniqueId val="{00000007-87FE-45A2-809E-C0CBE64A31DE}"/>
              </c:ext>
            </c:extLst>
          </c:dPt>
          <c:dLbls>
            <c:numFmt formatCode="0.00%" sourceLinked="0"/>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Datos!$A$2:$A$6</c:f>
              <c:strCache>
                <c:ptCount val="5"/>
                <c:pt idx="0">
                  <c:v>CRONOLÓGICA</c:v>
                </c:pt>
                <c:pt idx="1">
                  <c:v>NUMERICA</c:v>
                </c:pt>
                <c:pt idx="2">
                  <c:v>FOLIACIÓN</c:v>
                </c:pt>
                <c:pt idx="3">
                  <c:v>DUPLICIDAD</c:v>
                </c:pt>
                <c:pt idx="4">
                  <c:v>CONSECUTIVO AL INTERIOR DE LA CAJA</c:v>
                </c:pt>
              </c:strCache>
            </c:strRef>
          </c:cat>
          <c:val>
            <c:numRef>
              <c:f>Datos!$B$2:$B$6</c:f>
              <c:numCache>
                <c:formatCode>0.00%</c:formatCode>
                <c:ptCount val="5"/>
                <c:pt idx="0">
                  <c:v>1</c:v>
                </c:pt>
                <c:pt idx="1">
                  <c:v>0</c:v>
                </c:pt>
                <c:pt idx="2">
                  <c:v>0.87</c:v>
                </c:pt>
                <c:pt idx="3">
                  <c:v>0</c:v>
                </c:pt>
                <c:pt idx="4">
                  <c:v>0.10879999999999999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87FE-45A2-809E-C0CBE64A31DE}"/>
            </c:ext>
          </c:extLst>
        </c:ser>
        <c:dLbls>
          <c:showLegendKey val="0"/>
          <c:showVal val="0"/>
          <c:showCatName val="0"/>
          <c:showSerName val="0"/>
          <c:showPercent val="0"/>
          <c:showBubbleSize val="0"/>
        </c:dLbls>
        <c:gapWidth val="150"/>
        <c:axId val="629952476"/>
        <c:axId val="176859960"/>
      </c:barChart>
      <c:catAx>
        <c:axId val="62995247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176859960"/>
        <c:crosses val="autoZero"/>
        <c:auto val="1"/>
        <c:lblAlgn val="ctr"/>
        <c:lblOffset val="100"/>
        <c:noMultiLvlLbl val="1"/>
      </c:catAx>
      <c:valAx>
        <c:axId val="176859960"/>
        <c:scaling>
          <c:orientation val="minMax"/>
          <c:max val="0.7000000000000000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629952476"/>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DESCRIPCIÓN DOCUMENTAL</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8EED-4C1E-B0B6-638F5C4AFD7E}"/>
              </c:ext>
            </c:extLst>
          </c:dPt>
          <c:dLbls>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Datos!$C$2:$C$3</c:f>
              <c:strCache>
                <c:ptCount val="2"/>
                <c:pt idx="0">
                  <c:v>UNIDAD DOCUMENTAL REGISTRADA EN INVENTARIO</c:v>
                </c:pt>
                <c:pt idx="1">
                  <c:v>HOJA DE CONTROL O DE RUTA</c:v>
                </c:pt>
              </c:strCache>
            </c:strRef>
          </c:cat>
          <c:val>
            <c:numRef>
              <c:f>Datos!$D$2:$D$3</c:f>
              <c:numCache>
                <c:formatCode>0.00%</c:formatCode>
                <c:ptCount val="2"/>
                <c:pt idx="0">
                  <c:v>1</c:v>
                </c:pt>
                <c:pt idx="1">
                  <c:v>0.87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EED-4C1E-B0B6-638F5C4AFD7E}"/>
            </c:ext>
          </c:extLst>
        </c:ser>
        <c:dLbls>
          <c:showLegendKey val="0"/>
          <c:showVal val="0"/>
          <c:showCatName val="0"/>
          <c:showSerName val="0"/>
          <c:showPercent val="0"/>
          <c:showBubbleSize val="0"/>
        </c:dLbls>
        <c:gapWidth val="150"/>
        <c:axId val="1378898211"/>
        <c:axId val="852169732"/>
      </c:barChart>
      <c:catAx>
        <c:axId val="137889821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852169732"/>
        <c:crosses val="autoZero"/>
        <c:auto val="1"/>
        <c:lblAlgn val="ctr"/>
        <c:lblOffset val="100"/>
        <c:noMultiLvlLbl val="1"/>
      </c:catAx>
      <c:valAx>
        <c:axId val="852169732"/>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1378898211"/>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ROTULACIÓN</a:t>
            </a:r>
          </a:p>
        </c:rich>
      </c:tx>
      <c:overlay val="0"/>
    </c:title>
    <c:autoTitleDeleted val="0"/>
    <c:plotArea>
      <c:layout/>
      <c:barChart>
        <c:barDir val="col"/>
        <c:grouping val="clustered"/>
        <c:varyColors val="1"/>
        <c:ser>
          <c:idx val="0"/>
          <c:order val="0"/>
          <c:tx>
            <c:v>36.7%</c:v>
          </c:tx>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F040-422C-BDBE-A30C43D2E900}"/>
              </c:ext>
            </c:extLst>
          </c:dPt>
          <c:dPt>
            <c:idx val="2"/>
            <c:invertIfNegative val="1"/>
            <c:bubble3D val="0"/>
            <c:spPr>
              <a:solidFill>
                <a:srgbClr val="A5A5A5"/>
              </a:solidFill>
              <a:ln cmpd="sng">
                <a:solidFill>
                  <a:srgbClr val="000000"/>
                </a:solidFill>
              </a:ln>
            </c:spPr>
            <c:extLst>
              <c:ext xmlns:c16="http://schemas.microsoft.com/office/drawing/2014/chart" uri="{C3380CC4-5D6E-409C-BE32-E72D297353CC}">
                <c16:uniqueId val="{00000003-F040-422C-BDBE-A30C43D2E900}"/>
              </c:ext>
            </c:extLst>
          </c:dPt>
          <c:dPt>
            <c:idx val="3"/>
            <c:invertIfNegative val="1"/>
            <c:bubble3D val="0"/>
            <c:spPr>
              <a:solidFill>
                <a:srgbClr val="FFC000"/>
              </a:solidFill>
              <a:ln cmpd="sng">
                <a:solidFill>
                  <a:srgbClr val="000000"/>
                </a:solidFill>
              </a:ln>
            </c:spPr>
            <c:extLst>
              <c:ext xmlns:c16="http://schemas.microsoft.com/office/drawing/2014/chart" uri="{C3380CC4-5D6E-409C-BE32-E72D297353CC}">
                <c16:uniqueId val="{00000005-F040-422C-BDBE-A30C43D2E900}"/>
              </c:ext>
            </c:extLst>
          </c:dPt>
          <c:dPt>
            <c:idx val="4"/>
            <c:invertIfNegative val="1"/>
            <c:bubble3D val="0"/>
            <c:spPr>
              <a:solidFill>
                <a:srgbClr val="70AD47"/>
              </a:solidFill>
              <a:ln cmpd="sng">
                <a:solidFill>
                  <a:srgbClr val="000000"/>
                </a:solidFill>
              </a:ln>
            </c:spPr>
            <c:extLst>
              <c:ext xmlns:c16="http://schemas.microsoft.com/office/drawing/2014/chart" uri="{C3380CC4-5D6E-409C-BE32-E72D297353CC}">
                <c16:uniqueId val="{00000007-F040-422C-BDBE-A30C43D2E900}"/>
              </c:ext>
            </c:extLst>
          </c:dPt>
          <c:dPt>
            <c:idx val="5"/>
            <c:invertIfNegative val="1"/>
            <c:bubble3D val="0"/>
            <c:spPr>
              <a:solidFill>
                <a:srgbClr val="4472C4"/>
              </a:solidFill>
              <a:ln cmpd="sng">
                <a:solidFill>
                  <a:srgbClr val="000000"/>
                </a:solidFill>
              </a:ln>
            </c:spPr>
            <c:extLst>
              <c:ext xmlns:c16="http://schemas.microsoft.com/office/drawing/2014/chart" uri="{C3380CC4-5D6E-409C-BE32-E72D297353CC}">
                <c16:uniqueId val="{00000009-F040-422C-BDBE-A30C43D2E900}"/>
              </c:ext>
            </c:extLst>
          </c:dPt>
          <c:dPt>
            <c:idx val="6"/>
            <c:invertIfNegative val="1"/>
            <c:bubble3D val="0"/>
            <c:spPr>
              <a:solidFill>
                <a:srgbClr val="C00000"/>
              </a:solidFill>
              <a:ln cmpd="sng">
                <a:solidFill>
                  <a:srgbClr val="000000"/>
                </a:solidFill>
              </a:ln>
            </c:spPr>
            <c:extLst>
              <c:ext xmlns:c16="http://schemas.microsoft.com/office/drawing/2014/chart" uri="{C3380CC4-5D6E-409C-BE32-E72D297353CC}">
                <c16:uniqueId val="{0000000B-F040-422C-BDBE-A30C43D2E900}"/>
              </c:ext>
            </c:extLst>
          </c:dPt>
          <c:dPt>
            <c:idx val="7"/>
            <c:invertIfNegative val="1"/>
            <c:bubble3D val="0"/>
            <c:spPr>
              <a:solidFill>
                <a:srgbClr val="7030A0"/>
              </a:solidFill>
              <a:ln cmpd="sng">
                <a:solidFill>
                  <a:srgbClr val="000000"/>
                </a:solidFill>
              </a:ln>
            </c:spPr>
            <c:extLst>
              <c:ext xmlns:c16="http://schemas.microsoft.com/office/drawing/2014/chart" uri="{C3380CC4-5D6E-409C-BE32-E72D297353CC}">
                <c16:uniqueId val="{0000000D-F040-422C-BDBE-A30C43D2E900}"/>
              </c:ext>
            </c:extLst>
          </c:dPt>
          <c:dPt>
            <c:idx val="8"/>
            <c:invertIfNegative val="1"/>
            <c:bubble3D val="0"/>
            <c:spPr>
              <a:solidFill>
                <a:srgbClr val="FFFF00"/>
              </a:solidFill>
              <a:ln cmpd="sng">
                <a:solidFill>
                  <a:srgbClr val="000000"/>
                </a:solidFill>
              </a:ln>
            </c:spPr>
            <c:extLst>
              <c:ext xmlns:c16="http://schemas.microsoft.com/office/drawing/2014/chart" uri="{C3380CC4-5D6E-409C-BE32-E72D297353CC}">
                <c16:uniqueId val="{0000000F-F040-422C-BDBE-A30C43D2E900}"/>
              </c:ext>
            </c:extLst>
          </c:dPt>
          <c:dPt>
            <c:idx val="9"/>
            <c:invertIfNegative val="1"/>
            <c:bubble3D val="0"/>
            <c:spPr>
              <a:solidFill>
                <a:srgbClr val="002060"/>
              </a:solidFill>
              <a:ln cmpd="sng">
                <a:solidFill>
                  <a:srgbClr val="000000"/>
                </a:solidFill>
              </a:ln>
            </c:spPr>
            <c:extLst>
              <c:ext xmlns:c16="http://schemas.microsoft.com/office/drawing/2014/chart" uri="{C3380CC4-5D6E-409C-BE32-E72D297353CC}">
                <c16:uniqueId val="{00000011-F040-422C-BDBE-A30C43D2E900}"/>
              </c:ext>
            </c:extLst>
          </c:dPt>
          <c:dLbls>
            <c:numFmt formatCode="0.00%" sourceLinked="0"/>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Datos!$G$3:$G$7</c:f>
              <c:strCache>
                <c:ptCount val="5"/>
                <c:pt idx="0">
                  <c:v>TIPO FOLDER</c:v>
                </c:pt>
                <c:pt idx="1">
                  <c:v>PAQUETE</c:v>
                </c:pt>
                <c:pt idx="2">
                  <c:v>TOMO</c:v>
                </c:pt>
                <c:pt idx="3">
                  <c:v>LEGAJO</c:v>
                </c:pt>
                <c:pt idx="4">
                  <c:v>AZ</c:v>
                </c:pt>
              </c:strCache>
            </c:strRef>
          </c:cat>
          <c:val>
            <c:numRef>
              <c:f>Datos!$H$3:$H$7</c:f>
              <c:numCache>
                <c:formatCode>0.00%</c:formatCode>
                <c:ptCount val="5"/>
                <c:pt idx="0">
                  <c:v>0</c:v>
                </c:pt>
                <c:pt idx="1">
                  <c:v>0</c:v>
                </c:pt>
                <c:pt idx="2">
                  <c:v>0.129</c:v>
                </c:pt>
                <c:pt idx="3">
                  <c:v>0.503</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F040-422C-BDBE-A30C43D2E900}"/>
            </c:ext>
          </c:extLst>
        </c:ser>
        <c:dLbls>
          <c:showLegendKey val="0"/>
          <c:showVal val="0"/>
          <c:showCatName val="0"/>
          <c:showSerName val="0"/>
          <c:showPercent val="0"/>
          <c:showBubbleSize val="0"/>
        </c:dLbls>
        <c:gapWidth val="150"/>
        <c:axId val="2109278917"/>
        <c:axId val="618352987"/>
      </c:barChart>
      <c:catAx>
        <c:axId val="210927891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618352987"/>
        <c:crosses val="autoZero"/>
        <c:auto val="1"/>
        <c:lblAlgn val="ctr"/>
        <c:lblOffset val="100"/>
        <c:noMultiLvlLbl val="1"/>
      </c:catAx>
      <c:valAx>
        <c:axId val="618352987"/>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2109278917"/>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ESTADO DE CONSERVACIÓN</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F726-43DD-B00B-D68974BF91F7}"/>
              </c:ext>
            </c:extLst>
          </c:dPt>
          <c:dPt>
            <c:idx val="2"/>
            <c:invertIfNegative val="1"/>
            <c:bubble3D val="0"/>
            <c:spPr>
              <a:solidFill>
                <a:srgbClr val="A5A5A5"/>
              </a:solidFill>
              <a:ln cmpd="sng">
                <a:solidFill>
                  <a:srgbClr val="000000"/>
                </a:solidFill>
              </a:ln>
            </c:spPr>
            <c:extLst>
              <c:ext xmlns:c16="http://schemas.microsoft.com/office/drawing/2014/chart" uri="{C3380CC4-5D6E-409C-BE32-E72D297353CC}">
                <c16:uniqueId val="{00000003-F726-43DD-B00B-D68974BF91F7}"/>
              </c:ext>
            </c:extLst>
          </c:dPt>
          <c:dPt>
            <c:idx val="3"/>
            <c:invertIfNegative val="1"/>
            <c:bubble3D val="0"/>
            <c:spPr>
              <a:solidFill>
                <a:srgbClr val="FFC000"/>
              </a:solidFill>
              <a:ln cmpd="sng">
                <a:solidFill>
                  <a:srgbClr val="000000"/>
                </a:solidFill>
              </a:ln>
            </c:spPr>
            <c:extLst>
              <c:ext xmlns:c16="http://schemas.microsoft.com/office/drawing/2014/chart" uri="{C3380CC4-5D6E-409C-BE32-E72D297353CC}">
                <c16:uniqueId val="{00000005-F726-43DD-B00B-D68974BF91F7}"/>
              </c:ext>
            </c:extLst>
          </c:dPt>
          <c:dPt>
            <c:idx val="4"/>
            <c:invertIfNegative val="1"/>
            <c:bubble3D val="0"/>
            <c:spPr>
              <a:solidFill>
                <a:srgbClr val="70AD47"/>
              </a:solidFill>
              <a:ln cmpd="sng">
                <a:solidFill>
                  <a:srgbClr val="000000"/>
                </a:solidFill>
              </a:ln>
            </c:spPr>
            <c:extLst>
              <c:ext xmlns:c16="http://schemas.microsoft.com/office/drawing/2014/chart" uri="{C3380CC4-5D6E-409C-BE32-E72D297353CC}">
                <c16:uniqueId val="{00000007-F726-43DD-B00B-D68974BF91F7}"/>
              </c:ext>
            </c:extLst>
          </c:dPt>
          <c:dPt>
            <c:idx val="5"/>
            <c:invertIfNegative val="1"/>
            <c:bubble3D val="0"/>
            <c:spPr>
              <a:solidFill>
                <a:srgbClr val="4472C4"/>
              </a:solidFill>
              <a:ln cmpd="sng">
                <a:solidFill>
                  <a:srgbClr val="000000"/>
                </a:solidFill>
              </a:ln>
            </c:spPr>
            <c:extLst>
              <c:ext xmlns:c16="http://schemas.microsoft.com/office/drawing/2014/chart" uri="{C3380CC4-5D6E-409C-BE32-E72D297353CC}">
                <c16:uniqueId val="{00000009-F726-43DD-B00B-D68974BF91F7}"/>
              </c:ext>
            </c:extLst>
          </c:dPt>
          <c:dPt>
            <c:idx val="6"/>
            <c:invertIfNegative val="1"/>
            <c:bubble3D val="0"/>
            <c:spPr>
              <a:solidFill>
                <a:srgbClr val="FF0000"/>
              </a:solidFill>
              <a:ln cmpd="sng">
                <a:solidFill>
                  <a:srgbClr val="000000"/>
                </a:solidFill>
              </a:ln>
            </c:spPr>
            <c:extLst>
              <c:ext xmlns:c16="http://schemas.microsoft.com/office/drawing/2014/chart" uri="{C3380CC4-5D6E-409C-BE32-E72D297353CC}">
                <c16:uniqueId val="{0000000B-F726-43DD-B00B-D68974BF91F7}"/>
              </c:ext>
            </c:extLst>
          </c:dPt>
          <c:dPt>
            <c:idx val="7"/>
            <c:invertIfNegative val="1"/>
            <c:bubble3D val="0"/>
            <c:spPr>
              <a:solidFill>
                <a:srgbClr val="7030A0"/>
              </a:solidFill>
              <a:ln cmpd="sng">
                <a:solidFill>
                  <a:srgbClr val="000000"/>
                </a:solidFill>
              </a:ln>
            </c:spPr>
            <c:extLst>
              <c:ext xmlns:c16="http://schemas.microsoft.com/office/drawing/2014/chart" uri="{C3380CC4-5D6E-409C-BE32-E72D297353CC}">
                <c16:uniqueId val="{0000000D-F726-43DD-B00B-D68974BF91F7}"/>
              </c:ext>
            </c:extLst>
          </c:dPt>
          <c:dPt>
            <c:idx val="8"/>
            <c:invertIfNegative val="1"/>
            <c:bubble3D val="0"/>
            <c:spPr>
              <a:solidFill>
                <a:srgbClr val="FFFF00"/>
              </a:solidFill>
              <a:ln cmpd="sng">
                <a:solidFill>
                  <a:srgbClr val="000000"/>
                </a:solidFill>
              </a:ln>
            </c:spPr>
            <c:extLst>
              <c:ext xmlns:c16="http://schemas.microsoft.com/office/drawing/2014/chart" uri="{C3380CC4-5D6E-409C-BE32-E72D297353CC}">
                <c16:uniqueId val="{0000000F-F726-43DD-B00B-D68974BF91F7}"/>
              </c:ext>
            </c:extLst>
          </c:dPt>
          <c:dPt>
            <c:idx val="9"/>
            <c:invertIfNegative val="1"/>
            <c:bubble3D val="0"/>
            <c:spPr>
              <a:solidFill>
                <a:srgbClr val="002060"/>
              </a:solidFill>
              <a:ln cmpd="sng">
                <a:solidFill>
                  <a:srgbClr val="000000"/>
                </a:solidFill>
              </a:ln>
            </c:spPr>
            <c:extLst>
              <c:ext xmlns:c16="http://schemas.microsoft.com/office/drawing/2014/chart" uri="{C3380CC4-5D6E-409C-BE32-E72D297353CC}">
                <c16:uniqueId val="{00000011-F726-43DD-B00B-D68974BF91F7}"/>
              </c:ext>
            </c:extLst>
          </c:dPt>
          <c:dLbls>
            <c:numFmt formatCode="0.00%" sourceLinked="0"/>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Datos!$A$14:$A$23</c:f>
              <c:strCache>
                <c:ptCount val="10"/>
                <c:pt idx="0">
                  <c:v>UNIDAD SIN DETERIORO</c:v>
                </c:pt>
                <c:pt idx="1">
                  <c:v>BIODETERIORO</c:v>
                </c:pt>
                <c:pt idx="2">
                  <c:v>RASGADURAS</c:v>
                </c:pt>
                <c:pt idx="3">
                  <c:v>FALTANTES</c:v>
                </c:pt>
                <c:pt idx="4">
                  <c:v>REFUERZOS INADECUADOS</c:v>
                </c:pt>
                <c:pt idx="5">
                  <c:v>MATERIAL METÁLICO</c:v>
                </c:pt>
                <c:pt idx="6">
                  <c:v>CINTA ADHESIVA</c:v>
                </c:pt>
                <c:pt idx="7">
                  <c:v>DEFORMACIÓN DE PLANO</c:v>
                </c:pt>
                <c:pt idx="8">
                  <c:v>SUCIEDAD ACUMULADA</c:v>
                </c:pt>
                <c:pt idx="9">
                  <c:v>RESTOS DE ADHESIVO</c:v>
                </c:pt>
              </c:strCache>
            </c:strRef>
          </c:cat>
          <c:val>
            <c:numRef>
              <c:f>Datos!$B$14:$B$23</c:f>
              <c:numCache>
                <c:formatCode>0.00%</c:formatCode>
                <c:ptCount val="10"/>
                <c:pt idx="0">
                  <c:v>1</c:v>
                </c:pt>
                <c:pt idx="1">
                  <c:v>0</c:v>
                </c:pt>
                <c:pt idx="2">
                  <c:v>0</c:v>
                </c:pt>
                <c:pt idx="3">
                  <c:v>0</c:v>
                </c:pt>
                <c:pt idx="4">
                  <c:v>0</c:v>
                </c:pt>
                <c:pt idx="5">
                  <c:v>0.5</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F726-43DD-B00B-D68974BF91F7}"/>
            </c:ext>
          </c:extLst>
        </c:ser>
        <c:dLbls>
          <c:showLegendKey val="0"/>
          <c:showVal val="0"/>
          <c:showCatName val="0"/>
          <c:showSerName val="0"/>
          <c:showPercent val="0"/>
          <c:showBubbleSize val="0"/>
        </c:dLbls>
        <c:gapWidth val="150"/>
        <c:axId val="589887731"/>
        <c:axId val="2112356038"/>
      </c:barChart>
      <c:catAx>
        <c:axId val="589887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2112356038"/>
        <c:crosses val="autoZero"/>
        <c:auto val="1"/>
        <c:lblAlgn val="ctr"/>
        <c:lblOffset val="100"/>
        <c:noMultiLvlLbl val="1"/>
      </c:catAx>
      <c:valAx>
        <c:axId val="21123560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589887731"/>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OTROS SOPORTES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0431-4982-84D5-9676E4CA54B4}"/>
              </c:ext>
            </c:extLst>
          </c:dPt>
          <c:dPt>
            <c:idx val="2"/>
            <c:invertIfNegative val="1"/>
            <c:bubble3D val="0"/>
            <c:spPr>
              <a:solidFill>
                <a:srgbClr val="A5A5A5"/>
              </a:solidFill>
              <a:ln cmpd="sng">
                <a:solidFill>
                  <a:srgbClr val="000000"/>
                </a:solidFill>
              </a:ln>
            </c:spPr>
            <c:extLst>
              <c:ext xmlns:c16="http://schemas.microsoft.com/office/drawing/2014/chart" uri="{C3380CC4-5D6E-409C-BE32-E72D297353CC}">
                <c16:uniqueId val="{00000003-0431-4982-84D5-9676E4CA54B4}"/>
              </c:ext>
            </c:extLst>
          </c:dPt>
          <c:dPt>
            <c:idx val="3"/>
            <c:invertIfNegative val="1"/>
            <c:bubble3D val="0"/>
            <c:spPr>
              <a:solidFill>
                <a:srgbClr val="FFC000"/>
              </a:solidFill>
              <a:ln cmpd="sng">
                <a:solidFill>
                  <a:srgbClr val="000000"/>
                </a:solidFill>
              </a:ln>
            </c:spPr>
            <c:extLst>
              <c:ext xmlns:c16="http://schemas.microsoft.com/office/drawing/2014/chart" uri="{C3380CC4-5D6E-409C-BE32-E72D297353CC}">
                <c16:uniqueId val="{00000005-0431-4982-84D5-9676E4CA54B4}"/>
              </c:ext>
            </c:extLst>
          </c:dPt>
          <c:dPt>
            <c:idx val="4"/>
            <c:invertIfNegative val="1"/>
            <c:bubble3D val="0"/>
            <c:spPr>
              <a:solidFill>
                <a:srgbClr val="70AD47"/>
              </a:solidFill>
              <a:ln cmpd="sng">
                <a:solidFill>
                  <a:srgbClr val="000000"/>
                </a:solidFill>
              </a:ln>
            </c:spPr>
            <c:extLst>
              <c:ext xmlns:c16="http://schemas.microsoft.com/office/drawing/2014/chart" uri="{C3380CC4-5D6E-409C-BE32-E72D297353CC}">
                <c16:uniqueId val="{00000007-0431-4982-84D5-9676E4CA54B4}"/>
              </c:ext>
            </c:extLst>
          </c:dPt>
          <c:dLbls>
            <c:numFmt formatCode="0.00%" sourceLinked="0"/>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Datos!$C$14:$C$18</c:f>
              <c:strCache>
                <c:ptCount val="5"/>
                <c:pt idx="0">
                  <c:v>FAX</c:v>
                </c:pt>
                <c:pt idx="1">
                  <c:v>FOTOGRAFÍAS</c:v>
                </c:pt>
                <c:pt idx="2">
                  <c:v>PLANOS</c:v>
                </c:pt>
                <c:pt idx="3">
                  <c:v>MEDIOS  MAGNÉTICOS</c:v>
                </c:pt>
                <c:pt idx="4">
                  <c:v>OTROS</c:v>
                </c:pt>
              </c:strCache>
            </c:strRef>
          </c:cat>
          <c:val>
            <c:numRef>
              <c:f>Datos!$D$14:$D$18</c:f>
              <c:numCache>
                <c:formatCode>0.00%</c:formatCode>
                <c:ptCount val="5"/>
                <c:pt idx="0">
                  <c:v>0</c:v>
                </c:pt>
                <c:pt idx="1">
                  <c:v>0</c:v>
                </c:pt>
                <c:pt idx="2">
                  <c:v>0</c:v>
                </c:pt>
                <c:pt idx="3">
                  <c:v>8.1600000000000006E-2</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0431-4982-84D5-9676E4CA54B4}"/>
            </c:ext>
          </c:extLst>
        </c:ser>
        <c:dLbls>
          <c:showLegendKey val="0"/>
          <c:showVal val="0"/>
          <c:showCatName val="0"/>
          <c:showSerName val="0"/>
          <c:showPercent val="0"/>
          <c:showBubbleSize val="0"/>
        </c:dLbls>
        <c:gapWidth val="150"/>
        <c:axId val="1327292580"/>
        <c:axId val="995033042"/>
      </c:barChart>
      <c:catAx>
        <c:axId val="132729258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995033042"/>
        <c:crosses val="autoZero"/>
        <c:auto val="1"/>
        <c:lblAlgn val="ctr"/>
        <c:lblOffset val="100"/>
        <c:noMultiLvlLbl val="1"/>
      </c:catAx>
      <c:valAx>
        <c:axId val="995033042"/>
        <c:scaling>
          <c:orientation val="minMax"/>
          <c:max val="0.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1327292580"/>
        <c:crosses val="autoZero"/>
        <c:crossBetween val="between"/>
        <c:majorUnit val="0.1"/>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TÉCNICA</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2245-4374-AB0A-60756CD86717}"/>
              </c:ext>
            </c:extLst>
          </c:dPt>
          <c:dPt>
            <c:idx val="2"/>
            <c:invertIfNegative val="1"/>
            <c:bubble3D val="0"/>
            <c:spPr>
              <a:solidFill>
                <a:srgbClr val="A5A5A5"/>
              </a:solidFill>
              <a:ln cmpd="sng">
                <a:solidFill>
                  <a:srgbClr val="000000"/>
                </a:solidFill>
              </a:ln>
            </c:spPr>
            <c:extLst>
              <c:ext xmlns:c16="http://schemas.microsoft.com/office/drawing/2014/chart" uri="{C3380CC4-5D6E-409C-BE32-E72D297353CC}">
                <c16:uniqueId val="{00000003-2245-4374-AB0A-60756CD86717}"/>
              </c:ext>
            </c:extLst>
          </c:dPt>
          <c:dPt>
            <c:idx val="3"/>
            <c:invertIfNegative val="1"/>
            <c:bubble3D val="0"/>
            <c:spPr>
              <a:solidFill>
                <a:srgbClr val="FFC000"/>
              </a:solidFill>
              <a:ln cmpd="sng">
                <a:solidFill>
                  <a:srgbClr val="000000"/>
                </a:solidFill>
              </a:ln>
            </c:spPr>
            <c:extLst>
              <c:ext xmlns:c16="http://schemas.microsoft.com/office/drawing/2014/chart" uri="{C3380CC4-5D6E-409C-BE32-E72D297353CC}">
                <c16:uniqueId val="{00000005-2245-4374-AB0A-60756CD86717}"/>
              </c:ext>
            </c:extLst>
          </c:dPt>
          <c:dLbls>
            <c:numFmt formatCode="0.00%" sourceLinked="0"/>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Datos!$E$14:$E$17</c:f>
              <c:strCache>
                <c:ptCount val="4"/>
                <c:pt idx="0">
                  <c:v>MANUSCRITO</c:v>
                </c:pt>
                <c:pt idx="1">
                  <c:v>MÁQUINA DE ESCRIBIR</c:v>
                </c:pt>
                <c:pt idx="2">
                  <c:v>IMPRESIÓN DE PUNTO</c:v>
                </c:pt>
                <c:pt idx="3">
                  <c:v>IMPRESIÓN DE INYECCION</c:v>
                </c:pt>
              </c:strCache>
            </c:strRef>
          </c:cat>
          <c:val>
            <c:numRef>
              <c:f>Datos!$F$14:$F$17</c:f>
              <c:numCache>
                <c:formatCode>0.00%</c:formatCode>
                <c:ptCount val="4"/>
                <c:pt idx="0">
                  <c:v>0.50339999999999996</c:v>
                </c:pt>
                <c:pt idx="1">
                  <c:v>0</c:v>
                </c:pt>
                <c:pt idx="2">
                  <c:v>6.1199999999999997E-2</c:v>
                </c:pt>
                <c:pt idx="3">
                  <c:v>0.93869999999999998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2245-4374-AB0A-60756CD86717}"/>
            </c:ext>
          </c:extLst>
        </c:ser>
        <c:dLbls>
          <c:showLegendKey val="0"/>
          <c:showVal val="0"/>
          <c:showCatName val="0"/>
          <c:showSerName val="0"/>
          <c:showPercent val="0"/>
          <c:showBubbleSize val="0"/>
        </c:dLbls>
        <c:gapWidth val="150"/>
        <c:axId val="944662192"/>
        <c:axId val="445454062"/>
      </c:barChart>
      <c:catAx>
        <c:axId val="94466219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445454062"/>
        <c:crosses val="autoZero"/>
        <c:auto val="1"/>
        <c:lblAlgn val="ctr"/>
        <c:lblOffset val="100"/>
        <c:noMultiLvlLbl val="1"/>
      </c:catAx>
      <c:valAx>
        <c:axId val="445454062"/>
        <c:scaling>
          <c:orientation val="minMax"/>
          <c:max val="0.7000000000000000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944662192"/>
        <c:crosses val="autoZero"/>
        <c:crossBetween val="between"/>
        <c:majorUnit val="0.1"/>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TIPO DE PAPEL</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
            <c:invertIfNegative val="1"/>
            <c:bubble3D val="0"/>
            <c:spPr>
              <a:solidFill>
                <a:srgbClr val="ED7D31"/>
              </a:solidFill>
              <a:ln cmpd="sng">
                <a:solidFill>
                  <a:srgbClr val="000000"/>
                </a:solidFill>
              </a:ln>
            </c:spPr>
            <c:extLst>
              <c:ext xmlns:c16="http://schemas.microsoft.com/office/drawing/2014/chart" uri="{C3380CC4-5D6E-409C-BE32-E72D297353CC}">
                <c16:uniqueId val="{00000001-75AC-4BBF-892A-68A4276826EF}"/>
              </c:ext>
            </c:extLst>
          </c:dPt>
          <c:dPt>
            <c:idx val="2"/>
            <c:invertIfNegative val="1"/>
            <c:bubble3D val="0"/>
            <c:spPr>
              <a:solidFill>
                <a:srgbClr val="A5A5A5"/>
              </a:solidFill>
              <a:ln cmpd="sng">
                <a:solidFill>
                  <a:srgbClr val="000000"/>
                </a:solidFill>
              </a:ln>
            </c:spPr>
            <c:extLst>
              <c:ext xmlns:c16="http://schemas.microsoft.com/office/drawing/2014/chart" uri="{C3380CC4-5D6E-409C-BE32-E72D297353CC}">
                <c16:uniqueId val="{00000003-75AC-4BBF-892A-68A4276826EF}"/>
              </c:ext>
            </c:extLst>
          </c:dPt>
          <c:dLbls>
            <c:numFmt formatCode="0.00%" sourceLinked="0"/>
            <c:spPr>
              <a:noFill/>
              <a:ln>
                <a:noFill/>
              </a:ln>
              <a:effectLst/>
            </c:spPr>
            <c:txPr>
              <a:bodyPr/>
              <a:lstStyle/>
              <a:p>
                <a:pPr lvl="0">
                  <a:defRPr sz="800"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Datos!$G$14:$G$16</c:f>
              <c:strCache>
                <c:ptCount val="3"/>
                <c:pt idx="0">
                  <c:v>PAPEL COPIA</c:v>
                </c:pt>
                <c:pt idx="1">
                  <c:v>PAPEL BOND</c:v>
                </c:pt>
                <c:pt idx="2">
                  <c:v>PAPEL PERIODICO</c:v>
                </c:pt>
              </c:strCache>
            </c:strRef>
          </c:cat>
          <c:val>
            <c:numRef>
              <c:f>Datos!$H$14:$H$16</c:f>
              <c:numCache>
                <c:formatCode>0.00%</c:formatCode>
                <c:ptCount val="3"/>
                <c:pt idx="0">
                  <c:v>0.61219999999999997</c:v>
                </c:pt>
                <c:pt idx="1">
                  <c:v>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5AC-4BBF-892A-68A4276826EF}"/>
            </c:ext>
          </c:extLst>
        </c:ser>
        <c:dLbls>
          <c:showLegendKey val="0"/>
          <c:showVal val="0"/>
          <c:showCatName val="0"/>
          <c:showSerName val="0"/>
          <c:showPercent val="0"/>
          <c:showBubbleSize val="0"/>
        </c:dLbls>
        <c:gapWidth val="150"/>
        <c:axId val="1520944066"/>
        <c:axId val="2110983161"/>
      </c:barChart>
      <c:catAx>
        <c:axId val="152094406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800" b="0" i="0">
                <a:solidFill>
                  <a:srgbClr val="000000"/>
                </a:solidFill>
                <a:latin typeface="+mn-lt"/>
              </a:defRPr>
            </a:pPr>
            <a:endParaRPr lang="en-US"/>
          </a:p>
        </c:txPr>
        <c:crossAx val="2110983161"/>
        <c:crosses val="autoZero"/>
        <c:auto val="1"/>
        <c:lblAlgn val="ctr"/>
        <c:lblOffset val="100"/>
        <c:noMultiLvlLbl val="1"/>
      </c:catAx>
      <c:valAx>
        <c:axId val="2110983161"/>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rgbClr val="000000"/>
                </a:solidFill>
                <a:latin typeface="+mn-lt"/>
              </a:defRPr>
            </a:pPr>
            <a:endParaRPr lang="en-US"/>
          </a:p>
        </c:txPr>
        <c:crossAx val="1520944066"/>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Volumen  Documental (ML) Archivo de Gestión </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'Medición Puntual ML'!$C$7:$C$29</c:f>
              <c:strCache>
                <c:ptCount val="23"/>
                <c:pt idx="0">
                  <c:v>GERENCIA</c:v>
                </c:pt>
                <c:pt idx="1">
                  <c:v>COMUNICACIÓN E IMAGEN CORPORATIVA</c:v>
                </c:pt>
                <c:pt idx="2">
                  <c:v>OFICINA DE CONTROL INTERNO</c:v>
                </c:pt>
                <c:pt idx="3">
                  <c:v>OFICINA ASESORA JURÍDICA Y DE CONTRATACIÓN</c:v>
                </c:pt>
                <c:pt idx="4">
                  <c:v>OFICINA DE PLANEACIÓN INSTITUCIONAL</c:v>
                </c:pt>
                <c:pt idx="5">
                  <c:v>SISTEMAS DE GESTIÓN</c:v>
                </c:pt>
                <c:pt idx="6">
                  <c:v>SUI</c:v>
                </c:pt>
                <c:pt idx="7">
                  <c:v>DIRECCIÓN TECNICA Y DE OPERACIONES</c:v>
                </c:pt>
                <c:pt idx="8">
                  <c:v>ACUEDUCTO Y ALCANTARILLADO</c:v>
                </c:pt>
                <c:pt idx="9">
                  <c:v>PLANTA DE TRATAMIENTO AGUAS RESIDUALES PTAR</c:v>
                </c:pt>
                <c:pt idx="10">
                  <c:v>MATRICULAS</c:v>
                </c:pt>
                <c:pt idx="11">
                  <c:v>DIRECCIÓN ADMINISTRATIVA Y FINANCIERA</c:v>
                </c:pt>
                <c:pt idx="12">
                  <c:v>CONTABILIDAD</c:v>
                </c:pt>
                <c:pt idx="13">
                  <c:v>PRESUPUESTO</c:v>
                </c:pt>
                <c:pt idx="14">
                  <c:v>SISTEMAS E INFORMÁTICA</c:v>
                </c:pt>
                <c:pt idx="15">
                  <c:v>TALENTO HUMANO</c:v>
                </c:pt>
                <c:pt idx="16">
                  <c:v>TESORERIA</c:v>
                </c:pt>
                <c:pt idx="17">
                  <c:v>COMERCIAL</c:v>
                </c:pt>
                <c:pt idx="18">
                  <c:v>CONTROL Y PÉRDIDAS</c:v>
                </c:pt>
                <c:pt idx="19">
                  <c:v>VINCULACIÓN Y DESVINCULACIÓN SERVICIO DE ASEO</c:v>
                </c:pt>
                <c:pt idx="20">
                  <c:v>ATENCIÓN AL USUARIO PQR</c:v>
                </c:pt>
                <c:pt idx="21">
                  <c:v>FACTURACIÓN</c:v>
                </c:pt>
                <c:pt idx="22">
                  <c:v>COBRO COACTIVO</c:v>
                </c:pt>
              </c:strCache>
            </c:strRef>
          </c:cat>
          <c:val>
            <c:numRef>
              <c:f>'Medición Puntual ML'!$E$7:$E$29</c:f>
              <c:numCache>
                <c:formatCode>0.00</c:formatCode>
                <c:ptCount val="23"/>
                <c:pt idx="0">
                  <c:v>4.2699999999999996</c:v>
                </c:pt>
                <c:pt idx="1">
                  <c:v>0.99</c:v>
                </c:pt>
                <c:pt idx="2">
                  <c:v>2.84</c:v>
                </c:pt>
                <c:pt idx="3">
                  <c:v>5.0199999999999996</c:v>
                </c:pt>
                <c:pt idx="4">
                  <c:v>24.81</c:v>
                </c:pt>
                <c:pt idx="5">
                  <c:v>0.62</c:v>
                </c:pt>
                <c:pt idx="6" formatCode="General">
                  <c:v>0.57999999999999996</c:v>
                </c:pt>
                <c:pt idx="7">
                  <c:v>13.730000000000002</c:v>
                </c:pt>
                <c:pt idx="8" formatCode="General">
                  <c:v>0.64</c:v>
                </c:pt>
                <c:pt idx="9">
                  <c:v>3.17</c:v>
                </c:pt>
                <c:pt idx="10">
                  <c:v>4.0200000000000005</c:v>
                </c:pt>
                <c:pt idx="11">
                  <c:v>7.66</c:v>
                </c:pt>
                <c:pt idx="12">
                  <c:v>12.660000000000002</c:v>
                </c:pt>
                <c:pt idx="13">
                  <c:v>1.53</c:v>
                </c:pt>
                <c:pt idx="14" formatCode="General">
                  <c:v>0.36</c:v>
                </c:pt>
                <c:pt idx="15">
                  <c:v>3.16</c:v>
                </c:pt>
                <c:pt idx="16">
                  <c:v>32.949999999999989</c:v>
                </c:pt>
                <c:pt idx="17">
                  <c:v>3.4800000000000004</c:v>
                </c:pt>
                <c:pt idx="18">
                  <c:v>1.55</c:v>
                </c:pt>
                <c:pt idx="19">
                  <c:v>1.4600000000000004</c:v>
                </c:pt>
                <c:pt idx="20">
                  <c:v>6.669999999999999</c:v>
                </c:pt>
                <c:pt idx="21">
                  <c:v>0.75</c:v>
                </c:pt>
                <c:pt idx="22">
                  <c:v>7.3699999999999992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64E-428B-82CD-74671B22BE1F}"/>
            </c:ext>
          </c:extLst>
        </c:ser>
        <c:dLbls>
          <c:showLegendKey val="0"/>
          <c:showVal val="0"/>
          <c:showCatName val="0"/>
          <c:showSerName val="0"/>
          <c:showPercent val="0"/>
          <c:showBubbleSize val="0"/>
        </c:dLbls>
        <c:gapWidth val="150"/>
        <c:axId val="1317146057"/>
        <c:axId val="1256442410"/>
      </c:barChart>
      <c:catAx>
        <c:axId val="131714605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sz="800" b="0" i="0">
                <a:solidFill>
                  <a:srgbClr val="000000"/>
                </a:solidFill>
                <a:latin typeface="+mn-lt"/>
              </a:defRPr>
            </a:pPr>
            <a:endParaRPr lang="en-US"/>
          </a:p>
        </c:txPr>
        <c:crossAx val="1256442410"/>
        <c:crosses val="autoZero"/>
        <c:auto val="1"/>
        <c:lblAlgn val="ctr"/>
        <c:lblOffset val="100"/>
        <c:noMultiLvlLbl val="1"/>
      </c:catAx>
      <c:valAx>
        <c:axId val="12564424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317146057"/>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sz="1400" b="0" i="0">
                <a:solidFill>
                  <a:srgbClr val="757575"/>
                </a:solidFill>
                <a:latin typeface="+mn-lt"/>
              </a:rPr>
              <a:t>Volumen Documental (ML) Archivo Central</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'Medición Puntual ML'!$C$7</c:f>
              <c:strCache>
                <c:ptCount val="1"/>
                <c:pt idx="0">
                  <c:v>GERENCIA</c:v>
                </c:pt>
              </c:strCache>
            </c:strRef>
          </c:cat>
          <c:val>
            <c:numRef>
              <c:f>'Medición Puntual ML'!$C$11</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D3A-4BFE-902A-CFA9DB3DE871}"/>
            </c:ext>
          </c:extLst>
        </c:ser>
        <c:ser>
          <c:idx val="1"/>
          <c:order val="1"/>
          <c:spPr>
            <a:solidFill>
              <a:srgbClr val="EA4335"/>
            </a:solidFill>
            <a:ln cmpd="sng">
              <a:solidFill>
                <a:srgbClr val="000000"/>
              </a:solidFill>
            </a:ln>
          </c:spPr>
          <c:invertIfNegative val="1"/>
          <c:cat>
            <c:strRef>
              <c:f>'Medición Puntual ML'!$C$7</c:f>
              <c:strCache>
                <c:ptCount val="1"/>
                <c:pt idx="0">
                  <c:v>GERENCIA</c:v>
                </c:pt>
              </c:strCache>
            </c:strRef>
          </c:cat>
          <c:val>
            <c:numRef>
              <c:f>'Medición Puntual ML'!$C$14</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D3A-4BFE-902A-CFA9DB3DE871}"/>
            </c:ext>
          </c:extLst>
        </c:ser>
        <c:ser>
          <c:idx val="2"/>
          <c:order val="2"/>
          <c:spPr>
            <a:solidFill>
              <a:srgbClr val="FBBC04"/>
            </a:solidFill>
            <a:ln cmpd="sng">
              <a:solidFill>
                <a:srgbClr val="000000"/>
              </a:solidFill>
            </a:ln>
          </c:spPr>
          <c:invertIfNegative val="1"/>
          <c:cat>
            <c:strRef>
              <c:f>'Medición Puntual ML'!$C$7</c:f>
              <c:strCache>
                <c:ptCount val="1"/>
                <c:pt idx="0">
                  <c:v>GERENCIA</c:v>
                </c:pt>
              </c:strCache>
            </c:strRef>
          </c:cat>
          <c:val>
            <c:numRef>
              <c:f>'Medición Puntual ML'!$C$17</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D3A-4BFE-902A-CFA9DB3DE871}"/>
            </c:ext>
          </c:extLst>
        </c:ser>
        <c:ser>
          <c:idx val="3"/>
          <c:order val="3"/>
          <c:spPr>
            <a:solidFill>
              <a:srgbClr val="34A853"/>
            </a:solidFill>
            <a:ln cmpd="sng">
              <a:solidFill>
                <a:srgbClr val="000000"/>
              </a:solidFill>
            </a:ln>
          </c:spPr>
          <c:invertIfNegative val="1"/>
          <c:cat>
            <c:strRef>
              <c:f>'Medición Puntual ML'!$C$7</c:f>
              <c:strCache>
                <c:ptCount val="1"/>
                <c:pt idx="0">
                  <c:v>GERENCIA</c:v>
                </c:pt>
              </c:strCache>
            </c:strRef>
          </c:cat>
          <c:val>
            <c:numRef>
              <c:f>'Medición Puntual ML'!$C$18</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D3A-4BFE-902A-CFA9DB3DE871}"/>
            </c:ext>
          </c:extLst>
        </c:ser>
        <c:ser>
          <c:idx val="4"/>
          <c:order val="4"/>
          <c:spPr>
            <a:solidFill>
              <a:srgbClr val="FF6D01"/>
            </a:solidFill>
            <a:ln cmpd="sng">
              <a:solidFill>
                <a:srgbClr val="000000"/>
              </a:solidFill>
            </a:ln>
          </c:spPr>
          <c:invertIfNegative val="1"/>
          <c:cat>
            <c:strRef>
              <c:f>'Medición Puntual ML'!$C$7</c:f>
              <c:strCache>
                <c:ptCount val="1"/>
                <c:pt idx="0">
                  <c:v>GERENCIA</c:v>
                </c:pt>
              </c:strCache>
            </c:strRef>
          </c:cat>
          <c:val>
            <c:numRef>
              <c:f>'Medición Puntual ML'!$C$19</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D3A-4BFE-902A-CFA9DB3DE871}"/>
            </c:ext>
          </c:extLst>
        </c:ser>
        <c:ser>
          <c:idx val="5"/>
          <c:order val="5"/>
          <c:spPr>
            <a:solidFill>
              <a:srgbClr val="46BDC6"/>
            </a:solidFill>
            <a:ln cmpd="sng">
              <a:solidFill>
                <a:srgbClr val="000000"/>
              </a:solidFill>
            </a:ln>
          </c:spPr>
          <c:invertIfNegative val="1"/>
          <c:cat>
            <c:strRef>
              <c:f>'Medición Puntual ML'!$C$7</c:f>
              <c:strCache>
                <c:ptCount val="1"/>
                <c:pt idx="0">
                  <c:v>GERENCIA</c:v>
                </c:pt>
              </c:strCache>
            </c:strRef>
          </c:cat>
          <c:val>
            <c:numRef>
              <c:f>'Medición Puntual ML'!$C$23</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CD3A-4BFE-902A-CFA9DB3DE871}"/>
            </c:ext>
          </c:extLst>
        </c:ser>
        <c:ser>
          <c:idx val="6"/>
          <c:order val="6"/>
          <c:spPr>
            <a:solidFill>
              <a:srgbClr val="7BAAF7"/>
            </a:solidFill>
            <a:ln cmpd="sng">
              <a:solidFill>
                <a:srgbClr val="000000"/>
              </a:solidFill>
            </a:ln>
          </c:spPr>
          <c:invertIfNegative val="1"/>
          <c:cat>
            <c:strRef>
              <c:f>'Medición Puntual ML'!$C$7</c:f>
              <c:strCache>
                <c:ptCount val="1"/>
                <c:pt idx="0">
                  <c:v>GERENCIA</c:v>
                </c:pt>
              </c:strCache>
            </c:strRef>
          </c:cat>
          <c:val>
            <c:numRef>
              <c:f>'Medición Puntual ML'!$G$7</c:f>
              <c:numCache>
                <c:formatCode>0.00</c:formatCode>
                <c:ptCount val="1"/>
                <c:pt idx="0">
                  <c:v>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CD3A-4BFE-902A-CFA9DB3DE871}"/>
            </c:ext>
          </c:extLst>
        </c:ser>
        <c:ser>
          <c:idx val="7"/>
          <c:order val="7"/>
          <c:invertIfNegative val="1"/>
          <c:cat>
            <c:strRef>
              <c:f>'Medición Puntual ML'!$C$7</c:f>
              <c:strCache>
                <c:ptCount val="1"/>
                <c:pt idx="0">
                  <c:v>GERENCIA</c:v>
                </c:pt>
              </c:strCache>
            </c:strRef>
          </c:cat>
          <c:val>
            <c:numRef>
              <c:f>'Medición Puntual ML'!$G$11</c:f>
              <c:numCache>
                <c:formatCode>0.00</c:formatCode>
                <c:ptCount val="1"/>
                <c:pt idx="0">
                  <c:v>108.75</c:v>
                </c:pt>
              </c:numCache>
            </c:numRef>
          </c:val>
          <c:extLst>
            <c:ext xmlns:c16="http://schemas.microsoft.com/office/drawing/2014/chart" uri="{C3380CC4-5D6E-409C-BE32-E72D297353CC}">
              <c16:uniqueId val="{00000007-CD3A-4BFE-902A-CFA9DB3DE871}"/>
            </c:ext>
          </c:extLst>
        </c:ser>
        <c:ser>
          <c:idx val="8"/>
          <c:order val="8"/>
          <c:invertIfNegative val="1"/>
          <c:cat>
            <c:strRef>
              <c:f>'Medición Puntual ML'!$C$7</c:f>
              <c:strCache>
                <c:ptCount val="1"/>
                <c:pt idx="0">
                  <c:v>GERENCIA</c:v>
                </c:pt>
              </c:strCache>
            </c:strRef>
          </c:cat>
          <c:val>
            <c:numRef>
              <c:f>'Medición Puntual ML'!$G$14</c:f>
              <c:numCache>
                <c:formatCode>0.00</c:formatCode>
                <c:ptCount val="1"/>
                <c:pt idx="0">
                  <c:v>22</c:v>
                </c:pt>
              </c:numCache>
            </c:numRef>
          </c:val>
          <c:extLst>
            <c:ext xmlns:c16="http://schemas.microsoft.com/office/drawing/2014/chart" uri="{C3380CC4-5D6E-409C-BE32-E72D297353CC}">
              <c16:uniqueId val="{00000008-CD3A-4BFE-902A-CFA9DB3DE871}"/>
            </c:ext>
          </c:extLst>
        </c:ser>
        <c:ser>
          <c:idx val="9"/>
          <c:order val="9"/>
          <c:invertIfNegative val="1"/>
          <c:cat>
            <c:strRef>
              <c:f>'Medición Puntual ML'!$C$7</c:f>
              <c:strCache>
                <c:ptCount val="1"/>
                <c:pt idx="0">
                  <c:v>GERENCIA</c:v>
                </c:pt>
              </c:strCache>
            </c:strRef>
          </c:cat>
          <c:val>
            <c:numRef>
              <c:f>'Medición Puntual ML'!$G$17</c:f>
              <c:numCache>
                <c:formatCode>0.00</c:formatCode>
                <c:ptCount val="1"/>
                <c:pt idx="0">
                  <c:v>258.39999999999998</c:v>
                </c:pt>
              </c:numCache>
            </c:numRef>
          </c:val>
          <c:extLst>
            <c:ext xmlns:c16="http://schemas.microsoft.com/office/drawing/2014/chart" uri="{C3380CC4-5D6E-409C-BE32-E72D297353CC}">
              <c16:uniqueId val="{00000009-CD3A-4BFE-902A-CFA9DB3DE871}"/>
            </c:ext>
          </c:extLst>
        </c:ser>
        <c:ser>
          <c:idx val="10"/>
          <c:order val="10"/>
          <c:invertIfNegative val="1"/>
          <c:cat>
            <c:strRef>
              <c:f>'Medición Puntual ML'!$C$7</c:f>
              <c:strCache>
                <c:ptCount val="1"/>
                <c:pt idx="0">
                  <c:v>GERENCIA</c:v>
                </c:pt>
              </c:strCache>
            </c:strRef>
          </c:cat>
          <c:val>
            <c:numRef>
              <c:f>'Medición Puntual ML'!$G$18</c:f>
              <c:numCache>
                <c:formatCode>0.0</c:formatCode>
                <c:ptCount val="1"/>
                <c:pt idx="0">
                  <c:v>19.5</c:v>
                </c:pt>
              </c:numCache>
            </c:numRef>
          </c:val>
          <c:extLst>
            <c:ext xmlns:c16="http://schemas.microsoft.com/office/drawing/2014/chart" uri="{C3380CC4-5D6E-409C-BE32-E72D297353CC}">
              <c16:uniqueId val="{0000000A-CD3A-4BFE-902A-CFA9DB3DE871}"/>
            </c:ext>
          </c:extLst>
        </c:ser>
        <c:ser>
          <c:idx val="11"/>
          <c:order val="11"/>
          <c:invertIfNegative val="1"/>
          <c:cat>
            <c:strRef>
              <c:f>'Medición Puntual ML'!$C$7</c:f>
              <c:strCache>
                <c:ptCount val="1"/>
                <c:pt idx="0">
                  <c:v>GERENCIA</c:v>
                </c:pt>
              </c:strCache>
            </c:strRef>
          </c:cat>
          <c:val>
            <c:numRef>
              <c:f>'Medición Puntual ML'!$G$19</c:f>
              <c:numCache>
                <c:formatCode>0.00</c:formatCode>
                <c:ptCount val="1"/>
                <c:pt idx="0">
                  <c:v>48.480000000000004</c:v>
                </c:pt>
              </c:numCache>
            </c:numRef>
          </c:val>
          <c:extLst>
            <c:ext xmlns:c16="http://schemas.microsoft.com/office/drawing/2014/chart" uri="{C3380CC4-5D6E-409C-BE32-E72D297353CC}">
              <c16:uniqueId val="{0000000B-CD3A-4BFE-902A-CFA9DB3DE871}"/>
            </c:ext>
          </c:extLst>
        </c:ser>
        <c:ser>
          <c:idx val="12"/>
          <c:order val="12"/>
          <c:invertIfNegative val="1"/>
          <c:cat>
            <c:strRef>
              <c:f>'Medición Puntual ML'!$C$7</c:f>
              <c:strCache>
                <c:ptCount val="1"/>
                <c:pt idx="0">
                  <c:v>GERENCIA</c:v>
                </c:pt>
              </c:strCache>
            </c:strRef>
          </c:cat>
          <c:val>
            <c:numRef>
              <c:f>'Medición Puntual ML'!$G$23</c:f>
              <c:numCache>
                <c:formatCode>General</c:formatCode>
                <c:ptCount val="1"/>
                <c:pt idx="0">
                  <c:v>1</c:v>
                </c:pt>
              </c:numCache>
            </c:numRef>
          </c:val>
          <c:extLst>
            <c:ext xmlns:c16="http://schemas.microsoft.com/office/drawing/2014/chart" uri="{C3380CC4-5D6E-409C-BE32-E72D297353CC}">
              <c16:uniqueId val="{0000000C-CD3A-4BFE-902A-CFA9DB3DE871}"/>
            </c:ext>
          </c:extLst>
        </c:ser>
        <c:dLbls>
          <c:showLegendKey val="0"/>
          <c:showVal val="0"/>
          <c:showCatName val="0"/>
          <c:showSerName val="0"/>
          <c:showPercent val="0"/>
          <c:showBubbleSize val="0"/>
        </c:dLbls>
        <c:gapWidth val="150"/>
        <c:axId val="41369090"/>
        <c:axId val="1884313300"/>
      </c:barChart>
      <c:catAx>
        <c:axId val="4136909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84313300"/>
        <c:crosses val="autoZero"/>
        <c:auto val="1"/>
        <c:lblAlgn val="ctr"/>
        <c:lblOffset val="100"/>
        <c:noMultiLvlLbl val="1"/>
      </c:catAx>
      <c:valAx>
        <c:axId val="1884313300"/>
        <c:scaling>
          <c:orientation val="minMax"/>
          <c:max val="70"/>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1369090"/>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4286250" cy="287655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752475</xdr:colOff>
      <xdr:row>0</xdr:row>
      <xdr:rowOff>0</xdr:rowOff>
    </xdr:from>
    <xdr:ext cx="4286250" cy="287655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0</xdr:colOff>
      <xdr:row>16</xdr:row>
      <xdr:rowOff>0</xdr:rowOff>
    </xdr:from>
    <xdr:ext cx="4629150" cy="295275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200025</xdr:colOff>
      <xdr:row>32</xdr:row>
      <xdr:rowOff>104775</xdr:rowOff>
    </xdr:from>
    <xdr:ext cx="5543550" cy="2876550"/>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438150</xdr:colOff>
      <xdr:row>32</xdr:row>
      <xdr:rowOff>28575</xdr:rowOff>
    </xdr:from>
    <xdr:ext cx="4286250" cy="2876550"/>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752475</xdr:colOff>
      <xdr:row>51</xdr:row>
      <xdr:rowOff>0</xdr:rowOff>
    </xdr:from>
    <xdr:ext cx="4914900" cy="3038475"/>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0</xdr:colOff>
      <xdr:row>51</xdr:row>
      <xdr:rowOff>0</xdr:rowOff>
    </xdr:from>
    <xdr:ext cx="4286250" cy="2876550"/>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19050</xdr:colOff>
      <xdr:row>68</xdr:row>
      <xdr:rowOff>9525</xdr:rowOff>
    </xdr:from>
    <xdr:ext cx="8743950" cy="4029075"/>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0</xdr:col>
      <xdr:colOff>714375</xdr:colOff>
      <xdr:row>89</xdr:row>
      <xdr:rowOff>142875</xdr:rowOff>
    </xdr:from>
    <xdr:ext cx="8753475" cy="4171950"/>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info@santander.gov.co" TargetMode="External"/><Relationship Id="rId1" Type="http://schemas.openxmlformats.org/officeDocument/2006/relationships/hyperlink" Target="http://www.santander.gov.co/"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www.santander.gov.co/images/institucional/mapa_procesos_sig.jpg" TargetMode="External"/><Relationship Id="rId1" Type="http://schemas.openxmlformats.org/officeDocument/2006/relationships/hyperlink" Target="http://www.santander.gov.co/index.php/gobernacion/informacion-institucional/organigrama"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santander.gov.co/index.php/atencion-al-ciudadano/transparencia-y-acceso-a-la-informacion-publica" TargetMode="External"/><Relationship Id="rId1" Type="http://schemas.openxmlformats.org/officeDocument/2006/relationships/hyperlink" Target="http://www.santander.gov.co/index.php/gobernacion/documentacion/category/23-tablas-de-retencin-documenta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mailto:gestiondocumental@santander.gov.co"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0"/>
  <sheetViews>
    <sheetView workbookViewId="0">
      <selection sqref="A1:C1"/>
    </sheetView>
  </sheetViews>
  <sheetFormatPr baseColWidth="10" defaultColWidth="14.42578125" defaultRowHeight="15" customHeight="1"/>
  <cols>
    <col min="1" max="1" width="30" customWidth="1"/>
    <col min="2" max="2" width="79.7109375" customWidth="1"/>
    <col min="3" max="3" width="29" hidden="1" customWidth="1"/>
    <col min="4" max="10" width="11.42578125" hidden="1" customWidth="1"/>
    <col min="11" max="11" width="10.7109375" customWidth="1"/>
  </cols>
  <sheetData>
    <row r="1" spans="1:3" ht="23.25">
      <c r="A1" s="506" t="s">
        <v>0</v>
      </c>
      <c r="B1" s="507"/>
      <c r="C1" s="508"/>
    </row>
    <row r="2" spans="1:3" ht="23.25">
      <c r="A2" s="509" t="s">
        <v>1</v>
      </c>
      <c r="B2" s="510"/>
    </row>
    <row r="3" spans="1:3" ht="23.25">
      <c r="A3" s="1" t="s">
        <v>2</v>
      </c>
      <c r="B3" s="1" t="s">
        <v>3</v>
      </c>
    </row>
    <row r="4" spans="1:3" ht="45">
      <c r="A4" s="2" t="s">
        <v>4</v>
      </c>
      <c r="B4" s="3" t="s">
        <v>5</v>
      </c>
    </row>
    <row r="5" spans="1:3" ht="30">
      <c r="A5" s="2" t="s">
        <v>6</v>
      </c>
      <c r="B5" s="3" t="s">
        <v>7</v>
      </c>
    </row>
    <row r="6" spans="1:3" ht="90">
      <c r="A6" s="2" t="s">
        <v>8</v>
      </c>
      <c r="B6" s="3" t="s">
        <v>9</v>
      </c>
    </row>
    <row r="7" spans="1:3" ht="15.75">
      <c r="A7" s="2" t="s">
        <v>10</v>
      </c>
      <c r="B7" s="3" t="s">
        <v>11</v>
      </c>
    </row>
    <row r="8" spans="1:3" ht="30">
      <c r="A8" s="2" t="s">
        <v>12</v>
      </c>
      <c r="B8" s="3" t="s">
        <v>13</v>
      </c>
    </row>
    <row r="9" spans="1:3" ht="31.5">
      <c r="A9" s="2" t="s">
        <v>14</v>
      </c>
      <c r="B9" s="3" t="s">
        <v>15</v>
      </c>
    </row>
    <row r="10" spans="1:3" ht="45">
      <c r="A10" s="2" t="s">
        <v>16</v>
      </c>
      <c r="B10" s="3" t="s">
        <v>17</v>
      </c>
    </row>
    <row r="11" spans="1:3" ht="30">
      <c r="A11" s="2" t="s">
        <v>18</v>
      </c>
      <c r="B11" s="3" t="s">
        <v>19</v>
      </c>
    </row>
    <row r="12" spans="1:3" ht="30">
      <c r="A12" s="2" t="s">
        <v>20</v>
      </c>
      <c r="B12" s="3" t="s">
        <v>21</v>
      </c>
    </row>
    <row r="13" spans="1:3" ht="45">
      <c r="A13" s="2" t="s">
        <v>22</v>
      </c>
      <c r="B13" s="3" t="s">
        <v>23</v>
      </c>
    </row>
    <row r="14" spans="1:3" ht="30">
      <c r="A14" s="2" t="s">
        <v>24</v>
      </c>
      <c r="B14" s="3" t="s">
        <v>25</v>
      </c>
    </row>
    <row r="15" spans="1:3" ht="60">
      <c r="A15" s="2" t="s">
        <v>26</v>
      </c>
      <c r="B15" s="3" t="s">
        <v>27</v>
      </c>
    </row>
    <row r="16" spans="1:3" ht="30">
      <c r="A16" s="2" t="s">
        <v>28</v>
      </c>
      <c r="B16" s="3" t="s">
        <v>29</v>
      </c>
    </row>
    <row r="17" spans="1:10" ht="31.5">
      <c r="A17" s="2" t="s">
        <v>30</v>
      </c>
      <c r="B17" s="4" t="s">
        <v>31</v>
      </c>
      <c r="C17" s="5"/>
      <c r="D17" s="5"/>
      <c r="E17" s="5"/>
      <c r="F17" s="5"/>
      <c r="G17" s="5"/>
      <c r="H17" s="5"/>
      <c r="I17" s="5"/>
      <c r="J17" s="5"/>
    </row>
    <row r="18" spans="1:10" ht="45">
      <c r="A18" s="2" t="s">
        <v>32</v>
      </c>
      <c r="B18" s="3" t="s">
        <v>33</v>
      </c>
    </row>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C1"/>
    <mergeCell ref="A2:B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0"/>
  <sheetViews>
    <sheetView tabSelected="1" workbookViewId="0">
      <selection activeCell="G17" sqref="G17"/>
    </sheetView>
  </sheetViews>
  <sheetFormatPr baseColWidth="10" defaultColWidth="14.42578125" defaultRowHeight="15" customHeight="1"/>
  <cols>
    <col min="1" max="1" width="35.42578125" customWidth="1"/>
    <col min="2" max="2" width="11" customWidth="1"/>
    <col min="3" max="3" width="7" customWidth="1"/>
    <col min="4" max="4" width="10.7109375" customWidth="1"/>
    <col min="5" max="5" width="7" customWidth="1"/>
    <col min="6" max="6" width="10.7109375" customWidth="1"/>
    <col min="7" max="7" width="6.5703125" customWidth="1"/>
    <col min="8" max="11" width="10.7109375" customWidth="1"/>
  </cols>
  <sheetData>
    <row r="1" spans="1:7" ht="19.5">
      <c r="A1" s="514" t="s">
        <v>34</v>
      </c>
      <c r="B1" s="515"/>
      <c r="C1" s="515"/>
      <c r="D1" s="515"/>
      <c r="E1" s="515"/>
      <c r="F1" s="515"/>
      <c r="G1" s="516"/>
    </row>
    <row r="2" spans="1:7" ht="19.5">
      <c r="A2" s="514" t="s">
        <v>35</v>
      </c>
      <c r="B2" s="515"/>
      <c r="C2" s="515"/>
      <c r="D2" s="515"/>
      <c r="E2" s="515"/>
      <c r="F2" s="515"/>
      <c r="G2" s="516"/>
    </row>
    <row r="3" spans="1:7">
      <c r="A3" s="6" t="s">
        <v>36</v>
      </c>
      <c r="B3" s="511" t="s">
        <v>285</v>
      </c>
      <c r="C3" s="512"/>
      <c r="D3" s="512"/>
      <c r="E3" s="512"/>
      <c r="F3" s="512"/>
      <c r="G3" s="510"/>
    </row>
    <row r="4" spans="1:7">
      <c r="A4" s="6" t="s">
        <v>37</v>
      </c>
      <c r="B4" s="511" t="s">
        <v>38</v>
      </c>
      <c r="C4" s="512"/>
      <c r="D4" s="512"/>
      <c r="E4" s="512"/>
      <c r="F4" s="512"/>
      <c r="G4" s="510"/>
    </row>
    <row r="5" spans="1:7">
      <c r="A5" s="6" t="s">
        <v>39</v>
      </c>
      <c r="B5" s="511" t="s">
        <v>1618</v>
      </c>
      <c r="C5" s="512"/>
      <c r="D5" s="512"/>
      <c r="E5" s="512"/>
      <c r="F5" s="512"/>
      <c r="G5" s="510"/>
    </row>
    <row r="6" spans="1:7">
      <c r="A6" s="6" t="s">
        <v>40</v>
      </c>
      <c r="B6" s="511" t="s">
        <v>41</v>
      </c>
      <c r="C6" s="512"/>
      <c r="D6" s="512"/>
      <c r="E6" s="512"/>
      <c r="F6" s="512"/>
      <c r="G6" s="510"/>
    </row>
    <row r="7" spans="1:7" ht="51">
      <c r="A7" s="6" t="s">
        <v>42</v>
      </c>
      <c r="B7" s="6" t="s">
        <v>43</v>
      </c>
      <c r="C7" s="7" t="s">
        <v>44</v>
      </c>
      <c r="D7" s="6" t="s">
        <v>45</v>
      </c>
      <c r="E7" s="8"/>
      <c r="F7" s="9" t="s">
        <v>46</v>
      </c>
      <c r="G7" s="8"/>
    </row>
    <row r="8" spans="1:7">
      <c r="A8" s="6" t="s">
        <v>47</v>
      </c>
      <c r="B8" s="511" t="s">
        <v>48</v>
      </c>
      <c r="C8" s="512"/>
      <c r="D8" s="512"/>
      <c r="E8" s="512"/>
      <c r="F8" s="512"/>
      <c r="G8" s="510"/>
    </row>
    <row r="9" spans="1:7">
      <c r="A9" s="6" t="s">
        <v>49</v>
      </c>
      <c r="B9" s="511" t="s">
        <v>1619</v>
      </c>
      <c r="C9" s="512"/>
      <c r="D9" s="512"/>
      <c r="E9" s="512"/>
      <c r="F9" s="512"/>
      <c r="G9" s="510"/>
    </row>
    <row r="10" spans="1:7">
      <c r="A10" s="6" t="s">
        <v>50</v>
      </c>
      <c r="B10" s="511" t="s">
        <v>1620</v>
      </c>
      <c r="C10" s="512"/>
      <c r="D10" s="512"/>
      <c r="E10" s="512"/>
      <c r="F10" s="512"/>
      <c r="G10" s="510"/>
    </row>
    <row r="11" spans="1:7">
      <c r="A11" s="6" t="s">
        <v>51</v>
      </c>
      <c r="B11" s="513" t="s">
        <v>52</v>
      </c>
      <c r="C11" s="512"/>
      <c r="D11" s="512"/>
      <c r="E11" s="512"/>
      <c r="F11" s="512"/>
      <c r="G11" s="510"/>
    </row>
    <row r="12" spans="1:7">
      <c r="A12" s="6" t="s">
        <v>53</v>
      </c>
      <c r="B12" s="513" t="s">
        <v>54</v>
      </c>
      <c r="C12" s="512"/>
      <c r="D12" s="512"/>
      <c r="E12" s="512"/>
      <c r="F12" s="512"/>
      <c r="G12" s="510"/>
    </row>
    <row r="17" spans="2:10">
      <c r="B17" s="5"/>
      <c r="C17" s="5"/>
      <c r="D17" s="5"/>
      <c r="E17" s="5"/>
      <c r="F17" s="5"/>
      <c r="G17" s="5"/>
      <c r="H17" s="5"/>
      <c r="I17" s="5"/>
      <c r="J17" s="5"/>
    </row>
    <row r="21" spans="2:10" ht="15.75" customHeight="1"/>
    <row r="22" spans="2:10" ht="15.75" customHeight="1"/>
    <row r="23" spans="2:10" ht="15.75" customHeight="1"/>
    <row r="24" spans="2:10" ht="15.75" customHeight="1"/>
    <row r="25" spans="2:10" ht="15.75" customHeight="1"/>
    <row r="26" spans="2:10" ht="15.75" customHeight="1"/>
    <row r="27" spans="2:10" ht="15.75" customHeight="1"/>
    <row r="28" spans="2:10" ht="15.75" customHeight="1"/>
    <row r="29" spans="2:10" ht="15.75" customHeight="1"/>
    <row r="30" spans="2:10" ht="15.75" customHeight="1"/>
    <row r="31" spans="2:10" ht="15.75" customHeight="1"/>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1">
    <mergeCell ref="A1:G1"/>
    <mergeCell ref="A2:G2"/>
    <mergeCell ref="B3:G3"/>
    <mergeCell ref="B4:G4"/>
    <mergeCell ref="B5:G5"/>
    <mergeCell ref="B9:G9"/>
    <mergeCell ref="B10:G10"/>
    <mergeCell ref="B11:G11"/>
    <mergeCell ref="B12:G12"/>
    <mergeCell ref="B6:G6"/>
    <mergeCell ref="B8:G8"/>
  </mergeCells>
  <hyperlinks>
    <hyperlink ref="B11" r:id="rId1"/>
    <hyperlink ref="B12" r:id="rId2"/>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0"/>
  <sheetViews>
    <sheetView workbookViewId="0">
      <selection sqref="A1:E1"/>
    </sheetView>
  </sheetViews>
  <sheetFormatPr baseColWidth="10" defaultColWidth="14.42578125" defaultRowHeight="15" customHeight="1"/>
  <cols>
    <col min="1" max="1" width="11.42578125" customWidth="1"/>
    <col min="2" max="2" width="26.42578125" customWidth="1"/>
    <col min="3" max="5" width="35.140625" customWidth="1"/>
    <col min="6" max="6" width="11.42578125" hidden="1" customWidth="1"/>
    <col min="7" max="11" width="10.7109375" customWidth="1"/>
  </cols>
  <sheetData>
    <row r="1" spans="1:11" ht="15.75" customHeight="1">
      <c r="A1" s="509" t="s">
        <v>55</v>
      </c>
      <c r="B1" s="512"/>
      <c r="C1" s="512"/>
      <c r="D1" s="512"/>
      <c r="E1" s="510"/>
      <c r="F1" s="10"/>
      <c r="G1" s="10"/>
      <c r="H1" s="10"/>
      <c r="I1" s="10"/>
      <c r="J1" s="10"/>
      <c r="K1" s="10"/>
    </row>
    <row r="2" spans="1:11" ht="15.75" customHeight="1">
      <c r="A2" s="509" t="s">
        <v>56</v>
      </c>
      <c r="B2" s="512"/>
      <c r="C2" s="512"/>
      <c r="D2" s="512"/>
      <c r="E2" s="510"/>
      <c r="F2" s="10"/>
      <c r="G2" s="10"/>
      <c r="H2" s="10"/>
      <c r="I2" s="10"/>
      <c r="J2" s="10"/>
      <c r="K2" s="10"/>
    </row>
    <row r="3" spans="1:11" ht="15.75" customHeight="1">
      <c r="A3" s="517" t="s">
        <v>57</v>
      </c>
      <c r="B3" s="512"/>
      <c r="C3" s="512"/>
      <c r="D3" s="512"/>
      <c r="E3" s="510"/>
      <c r="F3" s="10"/>
      <c r="G3" s="10"/>
      <c r="H3" s="10"/>
      <c r="I3" s="10"/>
      <c r="J3" s="10"/>
      <c r="K3" s="10"/>
    </row>
    <row r="4" spans="1:11" ht="15.75" customHeight="1">
      <c r="A4" s="517" t="s">
        <v>58</v>
      </c>
      <c r="B4" s="512"/>
      <c r="C4" s="512"/>
      <c r="D4" s="512"/>
      <c r="E4" s="510"/>
      <c r="F4" s="10"/>
      <c r="G4" s="10"/>
      <c r="H4" s="10"/>
      <c r="I4" s="10"/>
      <c r="J4" s="10"/>
      <c r="K4" s="10"/>
    </row>
    <row r="5" spans="1:11" ht="15.75" customHeight="1">
      <c r="A5" s="518" t="s">
        <v>59</v>
      </c>
      <c r="B5" s="512"/>
      <c r="C5" s="512"/>
      <c r="D5" s="512"/>
      <c r="E5" s="510"/>
      <c r="F5" s="10"/>
      <c r="G5" s="10"/>
      <c r="H5" s="10"/>
      <c r="I5" s="10"/>
      <c r="J5" s="10"/>
      <c r="K5" s="10"/>
    </row>
    <row r="6" spans="1:11" ht="15.75" customHeight="1">
      <c r="A6" s="11" t="s">
        <v>60</v>
      </c>
      <c r="B6" s="11" t="s">
        <v>61</v>
      </c>
      <c r="C6" s="11" t="s">
        <v>62</v>
      </c>
      <c r="D6" s="11" t="s">
        <v>63</v>
      </c>
      <c r="E6" s="11" t="s">
        <v>64</v>
      </c>
      <c r="F6" s="10"/>
      <c r="G6" s="10"/>
      <c r="H6" s="10"/>
      <c r="I6" s="10"/>
      <c r="J6" s="10"/>
      <c r="K6" s="10"/>
    </row>
    <row r="7" spans="1:11" ht="15.75" customHeight="1">
      <c r="A7" s="12">
        <v>1</v>
      </c>
      <c r="B7" s="13" t="s">
        <v>65</v>
      </c>
      <c r="C7" s="14" t="s">
        <v>66</v>
      </c>
      <c r="D7" s="14" t="s">
        <v>67</v>
      </c>
      <c r="E7" s="12" t="s">
        <v>68</v>
      </c>
      <c r="F7" s="10"/>
      <c r="G7" s="10"/>
      <c r="H7" s="10"/>
      <c r="I7" s="10"/>
      <c r="J7" s="10"/>
      <c r="K7" s="10"/>
    </row>
    <row r="8" spans="1:11" ht="15.75" customHeight="1">
      <c r="A8" s="12">
        <v>2</v>
      </c>
      <c r="B8" s="14" t="s">
        <v>4</v>
      </c>
      <c r="C8" s="14" t="s">
        <v>69</v>
      </c>
      <c r="D8" s="13" t="s">
        <v>70</v>
      </c>
      <c r="E8" s="12" t="s">
        <v>71</v>
      </c>
      <c r="F8" s="10"/>
      <c r="G8" s="10"/>
      <c r="H8" s="10"/>
      <c r="I8" s="10"/>
      <c r="J8" s="10"/>
      <c r="K8" s="10"/>
    </row>
    <row r="9" spans="1:11" ht="15.75" customHeight="1">
      <c r="A9" s="12">
        <v>3</v>
      </c>
      <c r="B9" s="14" t="s">
        <v>72</v>
      </c>
      <c r="C9" s="14" t="s">
        <v>66</v>
      </c>
      <c r="D9" s="13" t="s">
        <v>73</v>
      </c>
      <c r="E9" s="15" t="s">
        <v>74</v>
      </c>
      <c r="F9" s="10"/>
      <c r="G9" s="10"/>
      <c r="H9" s="10"/>
      <c r="I9" s="10"/>
      <c r="J9" s="10"/>
      <c r="K9" s="10"/>
    </row>
    <row r="10" spans="1:11" ht="15.75" customHeight="1">
      <c r="A10" s="12">
        <v>4</v>
      </c>
      <c r="B10" s="14" t="s">
        <v>75</v>
      </c>
      <c r="C10" s="14" t="s">
        <v>66</v>
      </c>
      <c r="D10" s="14" t="s">
        <v>76</v>
      </c>
      <c r="E10" s="15" t="s">
        <v>74</v>
      </c>
      <c r="F10" s="10"/>
      <c r="G10" s="10"/>
      <c r="H10" s="10"/>
      <c r="I10" s="10"/>
      <c r="J10" s="10"/>
      <c r="K10" s="10"/>
    </row>
    <row r="11" spans="1:11" ht="15.75" customHeight="1">
      <c r="A11" s="12">
        <v>5</v>
      </c>
      <c r="B11" s="13" t="s">
        <v>77</v>
      </c>
      <c r="C11" s="14" t="s">
        <v>66</v>
      </c>
      <c r="D11" s="14" t="s">
        <v>78</v>
      </c>
      <c r="E11" s="15" t="s">
        <v>74</v>
      </c>
      <c r="F11" s="10"/>
      <c r="G11" s="10"/>
      <c r="H11" s="10"/>
      <c r="I11" s="10"/>
      <c r="J11" s="10"/>
      <c r="K11" s="10"/>
    </row>
    <row r="12" spans="1:11" ht="15.75" customHeight="1">
      <c r="A12" s="12">
        <v>6</v>
      </c>
      <c r="B12" s="14" t="s">
        <v>79</v>
      </c>
      <c r="C12" s="14" t="s">
        <v>66</v>
      </c>
      <c r="D12" s="14" t="s">
        <v>80</v>
      </c>
      <c r="E12" s="15" t="s">
        <v>74</v>
      </c>
      <c r="F12" s="10"/>
      <c r="G12" s="10"/>
      <c r="H12" s="10"/>
      <c r="I12" s="10"/>
      <c r="J12" s="10"/>
      <c r="K12" s="10"/>
    </row>
    <row r="13" spans="1:11" ht="15.75" customHeight="1">
      <c r="A13" s="12">
        <v>7</v>
      </c>
      <c r="B13" s="14" t="s">
        <v>81</v>
      </c>
      <c r="C13" s="14" t="s">
        <v>66</v>
      </c>
      <c r="D13" s="14" t="s">
        <v>82</v>
      </c>
      <c r="E13" s="15" t="s">
        <v>74</v>
      </c>
      <c r="F13" s="10"/>
      <c r="G13" s="10"/>
      <c r="H13" s="10"/>
      <c r="I13" s="10"/>
      <c r="J13" s="10"/>
      <c r="K13" s="10"/>
    </row>
    <row r="14" spans="1:11" ht="15.75" customHeight="1">
      <c r="A14" s="12">
        <v>9</v>
      </c>
      <c r="B14" s="12"/>
      <c r="C14" s="12"/>
      <c r="D14" s="12"/>
      <c r="E14" s="12"/>
      <c r="F14" s="10"/>
      <c r="G14" s="10"/>
      <c r="H14" s="10"/>
      <c r="I14" s="10"/>
      <c r="J14" s="10"/>
      <c r="K14" s="10"/>
    </row>
    <row r="15" spans="1:11" ht="15.75" customHeight="1">
      <c r="A15" s="12">
        <v>10</v>
      </c>
      <c r="B15" s="12"/>
      <c r="C15" s="12"/>
      <c r="D15" s="12"/>
      <c r="E15" s="12"/>
      <c r="F15" s="10"/>
      <c r="G15" s="10"/>
      <c r="H15" s="10"/>
      <c r="I15" s="10"/>
      <c r="J15" s="10"/>
      <c r="K15" s="10"/>
    </row>
    <row r="16" spans="1:11" ht="15.75" customHeight="1">
      <c r="A16" s="10"/>
      <c r="B16" s="10"/>
      <c r="C16" s="10"/>
      <c r="D16" s="10"/>
      <c r="E16" s="10"/>
      <c r="F16" s="10"/>
      <c r="G16" s="10"/>
      <c r="H16" s="10"/>
      <c r="I16" s="10"/>
      <c r="J16" s="10"/>
      <c r="K16" s="10"/>
    </row>
    <row r="17" spans="1:11" ht="15.75" customHeight="1">
      <c r="A17" s="10"/>
      <c r="B17" s="10"/>
      <c r="C17" s="10"/>
      <c r="D17" s="10"/>
      <c r="E17" s="10"/>
      <c r="F17" s="10"/>
      <c r="G17" s="10"/>
      <c r="H17" s="10"/>
      <c r="I17" s="10"/>
      <c r="J17" s="10"/>
      <c r="K17" s="10"/>
    </row>
    <row r="18" spans="1:11" ht="15.75" customHeight="1">
      <c r="A18" s="10"/>
      <c r="B18" s="10"/>
      <c r="C18" s="10"/>
      <c r="D18" s="10"/>
      <c r="E18" s="10"/>
      <c r="F18" s="10"/>
      <c r="G18" s="10"/>
      <c r="H18" s="10"/>
      <c r="I18" s="10"/>
      <c r="J18" s="10"/>
      <c r="K18" s="10"/>
    </row>
    <row r="19" spans="1:11" ht="15.75" customHeight="1">
      <c r="A19" s="10"/>
      <c r="B19" s="10"/>
      <c r="C19" s="10"/>
      <c r="D19" s="10"/>
      <c r="E19" s="10"/>
      <c r="F19" s="10"/>
      <c r="G19" s="10"/>
      <c r="H19" s="10"/>
      <c r="I19" s="10"/>
      <c r="J19" s="10"/>
      <c r="K19" s="10"/>
    </row>
    <row r="20" spans="1:11" ht="15.75" customHeight="1">
      <c r="A20" s="10"/>
      <c r="B20" s="10"/>
      <c r="C20" s="10"/>
      <c r="D20" s="10"/>
      <c r="E20" s="10"/>
      <c r="F20" s="10"/>
      <c r="G20" s="10"/>
      <c r="H20" s="10"/>
      <c r="I20" s="10"/>
      <c r="J20" s="10"/>
      <c r="K20" s="10"/>
    </row>
    <row r="21" spans="1:11" ht="15.75" customHeight="1">
      <c r="A21" s="10"/>
      <c r="B21" s="10"/>
      <c r="C21" s="10"/>
      <c r="D21" s="10"/>
      <c r="E21" s="10"/>
      <c r="F21" s="10"/>
      <c r="G21" s="10"/>
      <c r="H21" s="10"/>
      <c r="I21" s="10"/>
      <c r="J21" s="10"/>
      <c r="K21" s="10"/>
    </row>
    <row r="22" spans="1:11" ht="15.75" customHeight="1">
      <c r="A22" s="10"/>
      <c r="B22" s="10"/>
      <c r="C22" s="10"/>
      <c r="D22" s="10"/>
      <c r="E22" s="10"/>
      <c r="F22" s="10"/>
      <c r="G22" s="10"/>
      <c r="H22" s="10"/>
      <c r="I22" s="10"/>
      <c r="J22" s="10"/>
      <c r="K22" s="10"/>
    </row>
    <row r="23" spans="1:11" ht="15.75" customHeight="1">
      <c r="A23" s="10"/>
      <c r="B23" s="10"/>
      <c r="C23" s="10"/>
      <c r="D23" s="10"/>
      <c r="E23" s="10"/>
      <c r="F23" s="10"/>
      <c r="G23" s="10"/>
      <c r="H23" s="10"/>
      <c r="I23" s="10"/>
      <c r="J23" s="10"/>
      <c r="K23" s="10"/>
    </row>
    <row r="24" spans="1:11" ht="15.75" customHeight="1">
      <c r="A24" s="10"/>
      <c r="B24" s="10"/>
      <c r="C24" s="10"/>
      <c r="D24" s="10"/>
      <c r="E24" s="10"/>
      <c r="F24" s="10"/>
      <c r="G24" s="10"/>
      <c r="H24" s="10"/>
      <c r="I24" s="10"/>
      <c r="J24" s="10"/>
      <c r="K24" s="10"/>
    </row>
    <row r="25" spans="1:11" ht="15.75" customHeight="1">
      <c r="A25" s="10"/>
      <c r="B25" s="10"/>
      <c r="C25" s="10"/>
      <c r="D25" s="10"/>
      <c r="E25" s="10"/>
      <c r="F25" s="10"/>
      <c r="G25" s="10"/>
      <c r="H25" s="10"/>
      <c r="I25" s="10"/>
      <c r="J25" s="10"/>
      <c r="K25" s="10"/>
    </row>
    <row r="26" spans="1:11" ht="15.75" customHeight="1">
      <c r="A26" s="10"/>
      <c r="B26" s="10"/>
      <c r="C26" s="10"/>
      <c r="D26" s="10"/>
      <c r="E26" s="10"/>
      <c r="F26" s="10"/>
      <c r="G26" s="10"/>
      <c r="H26" s="10"/>
      <c r="I26" s="10"/>
      <c r="J26" s="10"/>
      <c r="K26" s="10"/>
    </row>
    <row r="27" spans="1:11" ht="15.75" customHeight="1">
      <c r="A27" s="10"/>
      <c r="B27" s="10"/>
      <c r="C27" s="10"/>
      <c r="D27" s="10"/>
      <c r="E27" s="10"/>
      <c r="F27" s="10"/>
      <c r="G27" s="10"/>
      <c r="H27" s="10"/>
      <c r="I27" s="10"/>
      <c r="J27" s="10"/>
      <c r="K27" s="10"/>
    </row>
    <row r="28" spans="1:11" ht="15.75" customHeight="1">
      <c r="A28" s="10"/>
      <c r="B28" s="10"/>
      <c r="C28" s="10"/>
      <c r="D28" s="10"/>
      <c r="E28" s="10"/>
      <c r="F28" s="10"/>
      <c r="G28" s="10"/>
      <c r="H28" s="10"/>
      <c r="I28" s="10"/>
      <c r="J28" s="10"/>
      <c r="K28" s="10"/>
    </row>
    <row r="29" spans="1:11" ht="15.75" customHeight="1">
      <c r="A29" s="10"/>
      <c r="B29" s="10"/>
      <c r="C29" s="10"/>
      <c r="D29" s="10"/>
      <c r="E29" s="10"/>
      <c r="F29" s="10"/>
      <c r="G29" s="10"/>
      <c r="H29" s="10"/>
      <c r="I29" s="10"/>
      <c r="J29" s="10"/>
      <c r="K29" s="10"/>
    </row>
    <row r="30" spans="1:11" ht="15.75" customHeight="1">
      <c r="A30" s="10"/>
      <c r="B30" s="10"/>
      <c r="C30" s="10"/>
      <c r="D30" s="10"/>
      <c r="E30" s="10"/>
      <c r="F30" s="10"/>
      <c r="G30" s="10"/>
      <c r="H30" s="10"/>
      <c r="I30" s="10"/>
      <c r="J30" s="10"/>
      <c r="K30" s="10"/>
    </row>
    <row r="31" spans="1:11" ht="15.75" customHeight="1">
      <c r="A31" s="10"/>
      <c r="B31" s="10"/>
      <c r="C31" s="10"/>
      <c r="D31" s="10"/>
      <c r="E31" s="10"/>
      <c r="F31" s="10"/>
      <c r="G31" s="10"/>
      <c r="H31" s="10"/>
      <c r="I31" s="10"/>
      <c r="J31" s="10"/>
      <c r="K31" s="10"/>
    </row>
    <row r="32" spans="1:11" ht="15.75" customHeight="1">
      <c r="A32" s="10"/>
      <c r="B32" s="10"/>
      <c r="C32" s="10"/>
      <c r="D32" s="10"/>
      <c r="E32" s="10"/>
      <c r="F32" s="10"/>
      <c r="G32" s="10"/>
      <c r="H32" s="10"/>
      <c r="I32" s="10"/>
      <c r="J32" s="10"/>
      <c r="K32" s="10"/>
    </row>
    <row r="33" spans="1:11" ht="15.75" customHeight="1">
      <c r="A33" s="10"/>
      <c r="B33" s="10"/>
      <c r="C33" s="10"/>
      <c r="D33" s="10"/>
      <c r="E33" s="10"/>
      <c r="F33" s="10"/>
      <c r="G33" s="10"/>
      <c r="H33" s="10"/>
      <c r="I33" s="10"/>
      <c r="J33" s="10"/>
      <c r="K33" s="10"/>
    </row>
    <row r="34" spans="1:11" ht="15.75" customHeight="1">
      <c r="A34" s="10"/>
      <c r="B34" s="10"/>
      <c r="C34" s="10"/>
      <c r="D34" s="10"/>
      <c r="E34" s="10"/>
      <c r="F34" s="10"/>
      <c r="G34" s="10"/>
      <c r="H34" s="10"/>
      <c r="I34" s="10"/>
      <c r="J34" s="10"/>
      <c r="K34" s="10"/>
    </row>
    <row r="35" spans="1:11" ht="15.75" customHeight="1">
      <c r="A35" s="10"/>
      <c r="B35" s="10"/>
      <c r="C35" s="10"/>
      <c r="D35" s="10"/>
      <c r="E35" s="10"/>
      <c r="F35" s="10"/>
      <c r="G35" s="10"/>
      <c r="H35" s="10"/>
      <c r="I35" s="10"/>
      <c r="J35" s="10"/>
      <c r="K35" s="10"/>
    </row>
    <row r="36" spans="1:11" ht="15.75" customHeight="1">
      <c r="A36" s="10"/>
      <c r="B36" s="10"/>
      <c r="C36" s="10"/>
      <c r="D36" s="10"/>
      <c r="E36" s="10"/>
      <c r="F36" s="10"/>
      <c r="G36" s="10"/>
      <c r="H36" s="10"/>
      <c r="I36" s="10"/>
      <c r="J36" s="10"/>
      <c r="K36" s="10"/>
    </row>
    <row r="37" spans="1:11" ht="15.75" customHeight="1">
      <c r="A37" s="10"/>
      <c r="B37" s="10"/>
      <c r="C37" s="10"/>
      <c r="D37" s="10"/>
      <c r="E37" s="10"/>
      <c r="F37" s="10"/>
      <c r="G37" s="10"/>
      <c r="H37" s="10"/>
      <c r="I37" s="10"/>
      <c r="J37" s="10"/>
      <c r="K37" s="10"/>
    </row>
    <row r="38" spans="1:11" ht="15.75" customHeight="1">
      <c r="A38" s="10"/>
      <c r="B38" s="10"/>
      <c r="C38" s="10"/>
      <c r="D38" s="10"/>
      <c r="E38" s="10"/>
      <c r="F38" s="10"/>
      <c r="G38" s="10"/>
      <c r="H38" s="10"/>
      <c r="I38" s="10"/>
      <c r="J38" s="10"/>
      <c r="K38" s="10"/>
    </row>
    <row r="39" spans="1:11" ht="15.75" customHeight="1">
      <c r="A39" s="10"/>
      <c r="B39" s="10"/>
      <c r="C39" s="10"/>
      <c r="D39" s="10"/>
      <c r="E39" s="10"/>
      <c r="F39" s="10"/>
      <c r="G39" s="10"/>
      <c r="H39" s="10"/>
      <c r="I39" s="10"/>
      <c r="J39" s="10"/>
      <c r="K39" s="10"/>
    </row>
    <row r="40" spans="1:11" ht="15.75" customHeight="1">
      <c r="A40" s="10"/>
      <c r="B40" s="10"/>
      <c r="C40" s="10"/>
      <c r="D40" s="10"/>
      <c r="E40" s="10"/>
      <c r="F40" s="10"/>
      <c r="G40" s="10"/>
      <c r="H40" s="10"/>
      <c r="I40" s="10"/>
      <c r="J40" s="10"/>
      <c r="K40" s="10"/>
    </row>
    <row r="41" spans="1:11" ht="15.75" customHeight="1">
      <c r="A41" s="10"/>
      <c r="B41" s="10"/>
      <c r="C41" s="10"/>
      <c r="D41" s="10"/>
      <c r="E41" s="10"/>
      <c r="F41" s="10"/>
      <c r="G41" s="10"/>
      <c r="H41" s="10"/>
      <c r="I41" s="10"/>
      <c r="J41" s="10"/>
      <c r="K41" s="10"/>
    </row>
    <row r="42" spans="1:11" ht="15.75" customHeight="1">
      <c r="A42" s="10"/>
      <c r="B42" s="10"/>
      <c r="C42" s="10"/>
      <c r="D42" s="10"/>
      <c r="E42" s="10"/>
      <c r="F42" s="10"/>
      <c r="G42" s="10"/>
      <c r="H42" s="10"/>
      <c r="I42" s="10"/>
      <c r="J42" s="10"/>
      <c r="K42" s="10"/>
    </row>
    <row r="43" spans="1:11" ht="15.75" customHeight="1">
      <c r="A43" s="10"/>
      <c r="B43" s="10"/>
      <c r="C43" s="10"/>
      <c r="D43" s="10"/>
      <c r="E43" s="10"/>
      <c r="F43" s="10"/>
      <c r="G43" s="10"/>
      <c r="H43" s="10"/>
      <c r="I43" s="10"/>
      <c r="J43" s="10"/>
      <c r="K43" s="10"/>
    </row>
    <row r="44" spans="1:11" ht="15.75" customHeight="1">
      <c r="A44" s="10"/>
      <c r="B44" s="10"/>
      <c r="C44" s="10"/>
      <c r="D44" s="10"/>
      <c r="E44" s="10"/>
      <c r="F44" s="10"/>
      <c r="G44" s="10"/>
      <c r="H44" s="10"/>
      <c r="I44" s="10"/>
      <c r="J44" s="10"/>
      <c r="K44" s="10"/>
    </row>
    <row r="45" spans="1:11" ht="15.75" customHeight="1">
      <c r="A45" s="10"/>
      <c r="B45" s="10"/>
      <c r="C45" s="10"/>
      <c r="D45" s="10"/>
      <c r="E45" s="10"/>
      <c r="F45" s="10"/>
      <c r="G45" s="10"/>
      <c r="H45" s="10"/>
      <c r="I45" s="10"/>
      <c r="J45" s="10"/>
      <c r="K45" s="10"/>
    </row>
    <row r="46" spans="1:11" ht="15.75" customHeight="1">
      <c r="A46" s="10"/>
      <c r="B46" s="10"/>
      <c r="C46" s="10"/>
      <c r="D46" s="10"/>
      <c r="E46" s="10"/>
      <c r="F46" s="10"/>
      <c r="G46" s="10"/>
      <c r="H46" s="10"/>
      <c r="I46" s="10"/>
      <c r="J46" s="10"/>
      <c r="K46" s="10"/>
    </row>
    <row r="47" spans="1:11" ht="15.75" customHeight="1">
      <c r="A47" s="10"/>
      <c r="B47" s="10"/>
      <c r="C47" s="10"/>
      <c r="D47" s="10"/>
      <c r="E47" s="10"/>
      <c r="F47" s="10"/>
      <c r="G47" s="10"/>
      <c r="H47" s="10"/>
      <c r="I47" s="10"/>
      <c r="J47" s="10"/>
      <c r="K47" s="10"/>
    </row>
    <row r="48" spans="1:11" ht="15.75" customHeight="1">
      <c r="A48" s="10"/>
      <c r="B48" s="10"/>
      <c r="C48" s="10"/>
      <c r="D48" s="10"/>
      <c r="E48" s="10"/>
      <c r="F48" s="10"/>
      <c r="G48" s="10"/>
      <c r="H48" s="10"/>
      <c r="I48" s="10"/>
      <c r="J48" s="10"/>
      <c r="K48" s="10"/>
    </row>
    <row r="49" spans="1:11" ht="15.75" customHeight="1">
      <c r="A49" s="10"/>
      <c r="B49" s="10"/>
      <c r="C49" s="10"/>
      <c r="D49" s="10"/>
      <c r="E49" s="10"/>
      <c r="F49" s="10"/>
      <c r="G49" s="10"/>
      <c r="H49" s="10"/>
      <c r="I49" s="10"/>
      <c r="J49" s="10"/>
      <c r="K49" s="10"/>
    </row>
    <row r="50" spans="1:11" ht="15.75" customHeight="1">
      <c r="A50" s="10"/>
      <c r="B50" s="10"/>
      <c r="C50" s="10"/>
      <c r="D50" s="10"/>
      <c r="E50" s="10"/>
      <c r="F50" s="10"/>
      <c r="G50" s="10"/>
      <c r="H50" s="10"/>
      <c r="I50" s="10"/>
      <c r="J50" s="10"/>
      <c r="K50" s="10"/>
    </row>
    <row r="51" spans="1:11" ht="15.75" customHeight="1">
      <c r="A51" s="10"/>
      <c r="B51" s="10"/>
      <c r="C51" s="10"/>
      <c r="D51" s="10"/>
      <c r="E51" s="10"/>
      <c r="F51" s="10"/>
      <c r="G51" s="10"/>
      <c r="H51" s="10"/>
      <c r="I51" s="10"/>
      <c r="J51" s="10"/>
      <c r="K51" s="10"/>
    </row>
    <row r="52" spans="1:11" ht="15.75" customHeight="1">
      <c r="A52" s="10"/>
      <c r="B52" s="10"/>
      <c r="C52" s="10"/>
      <c r="D52" s="10"/>
      <c r="E52" s="10"/>
      <c r="F52" s="10"/>
      <c r="G52" s="10"/>
      <c r="H52" s="10"/>
      <c r="I52" s="10"/>
      <c r="J52" s="10"/>
      <c r="K52" s="10"/>
    </row>
    <row r="53" spans="1:11" ht="15.75" customHeight="1">
      <c r="A53" s="10"/>
      <c r="B53" s="10"/>
      <c r="C53" s="10"/>
      <c r="D53" s="10"/>
      <c r="E53" s="10"/>
      <c r="F53" s="10"/>
      <c r="G53" s="10"/>
      <c r="H53" s="10"/>
      <c r="I53" s="10"/>
      <c r="J53" s="10"/>
      <c r="K53" s="10"/>
    </row>
    <row r="54" spans="1:11" ht="15.75" customHeight="1">
      <c r="A54" s="10"/>
      <c r="B54" s="10"/>
      <c r="C54" s="10"/>
      <c r="D54" s="10"/>
      <c r="E54" s="10"/>
      <c r="F54" s="10"/>
      <c r="G54" s="10"/>
      <c r="H54" s="10"/>
      <c r="I54" s="10"/>
      <c r="J54" s="10"/>
      <c r="K54" s="10"/>
    </row>
    <row r="55" spans="1:11" ht="15.75" customHeight="1">
      <c r="A55" s="10"/>
      <c r="B55" s="10"/>
      <c r="C55" s="10"/>
      <c r="D55" s="10"/>
      <c r="E55" s="10"/>
      <c r="F55" s="10"/>
      <c r="G55" s="10"/>
      <c r="H55" s="10"/>
      <c r="I55" s="10"/>
      <c r="J55" s="10"/>
      <c r="K55" s="10"/>
    </row>
    <row r="56" spans="1:11" ht="15.75" customHeight="1">
      <c r="A56" s="10"/>
      <c r="B56" s="10"/>
      <c r="C56" s="10"/>
      <c r="D56" s="10"/>
      <c r="E56" s="10"/>
      <c r="F56" s="10"/>
      <c r="G56" s="10"/>
      <c r="H56" s="10"/>
      <c r="I56" s="10"/>
      <c r="J56" s="10"/>
      <c r="K56" s="10"/>
    </row>
    <row r="57" spans="1:11" ht="15.75" customHeight="1">
      <c r="A57" s="10"/>
      <c r="B57" s="10"/>
      <c r="C57" s="10"/>
      <c r="D57" s="10"/>
      <c r="E57" s="10"/>
      <c r="F57" s="10"/>
      <c r="G57" s="10"/>
      <c r="H57" s="10"/>
      <c r="I57" s="10"/>
      <c r="J57" s="10"/>
      <c r="K57" s="10"/>
    </row>
    <row r="58" spans="1:11" ht="15.75" customHeight="1">
      <c r="A58" s="10"/>
      <c r="B58" s="10"/>
      <c r="C58" s="10"/>
      <c r="D58" s="10"/>
      <c r="E58" s="10"/>
      <c r="F58" s="10"/>
      <c r="G58" s="10"/>
      <c r="H58" s="10"/>
      <c r="I58" s="10"/>
      <c r="J58" s="10"/>
      <c r="K58" s="10"/>
    </row>
    <row r="59" spans="1:11" ht="15.75" customHeight="1">
      <c r="A59" s="10"/>
      <c r="B59" s="10"/>
      <c r="C59" s="10"/>
      <c r="D59" s="10"/>
      <c r="E59" s="10"/>
      <c r="F59" s="10"/>
      <c r="G59" s="10"/>
      <c r="H59" s="10"/>
      <c r="I59" s="10"/>
      <c r="J59" s="10"/>
      <c r="K59" s="10"/>
    </row>
    <row r="60" spans="1:11" ht="15.75" customHeight="1">
      <c r="A60" s="10"/>
      <c r="B60" s="10"/>
      <c r="C60" s="10"/>
      <c r="D60" s="10"/>
      <c r="E60" s="10"/>
      <c r="F60" s="10"/>
      <c r="G60" s="10"/>
      <c r="H60" s="10"/>
      <c r="I60" s="10"/>
      <c r="J60" s="10"/>
      <c r="K60" s="10"/>
    </row>
    <row r="61" spans="1:11" ht="15.75" customHeight="1">
      <c r="A61" s="10"/>
      <c r="B61" s="10"/>
      <c r="C61" s="10"/>
      <c r="D61" s="10"/>
      <c r="E61" s="10"/>
      <c r="F61" s="10"/>
      <c r="G61" s="10"/>
      <c r="H61" s="10"/>
      <c r="I61" s="10"/>
      <c r="J61" s="10"/>
      <c r="K61" s="10"/>
    </row>
    <row r="62" spans="1:11" ht="15.75" customHeight="1">
      <c r="A62" s="10"/>
      <c r="B62" s="10"/>
      <c r="C62" s="10"/>
      <c r="D62" s="10"/>
      <c r="E62" s="10"/>
      <c r="F62" s="10"/>
      <c r="G62" s="10"/>
      <c r="H62" s="10"/>
      <c r="I62" s="10"/>
      <c r="J62" s="10"/>
      <c r="K62" s="10"/>
    </row>
    <row r="63" spans="1:11" ht="15.75" customHeight="1">
      <c r="A63" s="10"/>
      <c r="B63" s="10"/>
      <c r="C63" s="10"/>
      <c r="D63" s="10"/>
      <c r="E63" s="10"/>
      <c r="F63" s="10"/>
      <c r="G63" s="10"/>
      <c r="H63" s="10"/>
      <c r="I63" s="10"/>
      <c r="J63" s="10"/>
      <c r="K63" s="10"/>
    </row>
    <row r="64" spans="1:11" ht="15.75" customHeight="1">
      <c r="A64" s="10"/>
      <c r="B64" s="10"/>
      <c r="C64" s="10"/>
      <c r="D64" s="10"/>
      <c r="E64" s="10"/>
      <c r="F64" s="10"/>
      <c r="G64" s="10"/>
      <c r="H64" s="10"/>
      <c r="I64" s="10"/>
      <c r="J64" s="10"/>
      <c r="K64" s="10"/>
    </row>
    <row r="65" spans="1:11" ht="15.75" customHeight="1">
      <c r="A65" s="10"/>
      <c r="B65" s="10"/>
      <c r="C65" s="10"/>
      <c r="D65" s="10"/>
      <c r="E65" s="10"/>
      <c r="F65" s="10"/>
      <c r="G65" s="10"/>
      <c r="H65" s="10"/>
      <c r="I65" s="10"/>
      <c r="J65" s="10"/>
      <c r="K65" s="10"/>
    </row>
    <row r="66" spans="1:11" ht="15.75" customHeight="1">
      <c r="A66" s="10"/>
      <c r="B66" s="10"/>
      <c r="C66" s="10"/>
      <c r="D66" s="10"/>
      <c r="E66" s="10"/>
      <c r="F66" s="10"/>
      <c r="G66" s="10"/>
      <c r="H66" s="10"/>
      <c r="I66" s="10"/>
      <c r="J66" s="10"/>
      <c r="K66" s="10"/>
    </row>
    <row r="67" spans="1:11" ht="15.75" customHeight="1">
      <c r="A67" s="10"/>
      <c r="B67" s="10"/>
      <c r="C67" s="10"/>
      <c r="D67" s="10"/>
      <c r="E67" s="10"/>
      <c r="F67" s="10"/>
      <c r="G67" s="10"/>
      <c r="H67" s="10"/>
      <c r="I67" s="10"/>
      <c r="J67" s="10"/>
      <c r="K67" s="10"/>
    </row>
    <row r="68" spans="1:11" ht="15.75" customHeight="1">
      <c r="A68" s="10"/>
      <c r="B68" s="10"/>
      <c r="C68" s="10"/>
      <c r="D68" s="10"/>
      <c r="E68" s="10"/>
      <c r="F68" s="10"/>
      <c r="G68" s="10"/>
      <c r="H68" s="10"/>
      <c r="I68" s="10"/>
      <c r="J68" s="10"/>
      <c r="K68" s="10"/>
    </row>
    <row r="69" spans="1:11" ht="15.75" customHeight="1">
      <c r="A69" s="10"/>
      <c r="B69" s="10"/>
      <c r="C69" s="10"/>
      <c r="D69" s="10"/>
      <c r="E69" s="10"/>
      <c r="F69" s="10"/>
      <c r="G69" s="10"/>
      <c r="H69" s="10"/>
      <c r="I69" s="10"/>
      <c r="J69" s="10"/>
      <c r="K69" s="10"/>
    </row>
    <row r="70" spans="1:11" ht="15.75" customHeight="1">
      <c r="A70" s="10"/>
      <c r="B70" s="10"/>
      <c r="C70" s="10"/>
      <c r="D70" s="10"/>
      <c r="E70" s="10"/>
      <c r="F70" s="10"/>
      <c r="G70" s="10"/>
      <c r="H70" s="10"/>
      <c r="I70" s="10"/>
      <c r="J70" s="10"/>
      <c r="K70" s="10"/>
    </row>
    <row r="71" spans="1:11" ht="15.75" customHeight="1">
      <c r="A71" s="10"/>
      <c r="B71" s="10"/>
      <c r="C71" s="10"/>
      <c r="D71" s="10"/>
      <c r="E71" s="10"/>
      <c r="F71" s="10"/>
      <c r="G71" s="10"/>
      <c r="H71" s="10"/>
      <c r="I71" s="10"/>
      <c r="J71" s="10"/>
      <c r="K71" s="10"/>
    </row>
    <row r="72" spans="1:11" ht="15.75" customHeight="1">
      <c r="A72" s="10"/>
      <c r="B72" s="10"/>
      <c r="C72" s="10"/>
      <c r="D72" s="10"/>
      <c r="E72" s="10"/>
      <c r="F72" s="10"/>
      <c r="G72" s="10"/>
      <c r="H72" s="10"/>
      <c r="I72" s="10"/>
      <c r="J72" s="10"/>
      <c r="K72" s="10"/>
    </row>
    <row r="73" spans="1:11" ht="15.75" customHeight="1">
      <c r="A73" s="10"/>
      <c r="B73" s="10"/>
      <c r="C73" s="10"/>
      <c r="D73" s="10"/>
      <c r="E73" s="10"/>
      <c r="F73" s="10"/>
      <c r="G73" s="10"/>
      <c r="H73" s="10"/>
      <c r="I73" s="10"/>
      <c r="J73" s="10"/>
      <c r="K73" s="10"/>
    </row>
    <row r="74" spans="1:11" ht="15.75" customHeight="1">
      <c r="A74" s="10"/>
      <c r="B74" s="10"/>
      <c r="C74" s="10"/>
      <c r="D74" s="10"/>
      <c r="E74" s="10"/>
      <c r="F74" s="10"/>
      <c r="G74" s="10"/>
      <c r="H74" s="10"/>
      <c r="I74" s="10"/>
      <c r="J74" s="10"/>
      <c r="K74" s="10"/>
    </row>
    <row r="75" spans="1:11" ht="15.75" customHeight="1">
      <c r="A75" s="10"/>
      <c r="B75" s="10"/>
      <c r="C75" s="10"/>
      <c r="D75" s="10"/>
      <c r="E75" s="10"/>
      <c r="F75" s="10"/>
      <c r="G75" s="10"/>
      <c r="H75" s="10"/>
      <c r="I75" s="10"/>
      <c r="J75" s="10"/>
      <c r="K75" s="10"/>
    </row>
    <row r="76" spans="1:11" ht="15.75" customHeight="1">
      <c r="A76" s="10"/>
      <c r="B76" s="10"/>
      <c r="C76" s="10"/>
      <c r="D76" s="10"/>
      <c r="E76" s="10"/>
      <c r="F76" s="10"/>
      <c r="G76" s="10"/>
      <c r="H76" s="10"/>
      <c r="I76" s="10"/>
      <c r="J76" s="10"/>
      <c r="K76" s="10"/>
    </row>
    <row r="77" spans="1:11" ht="15.75" customHeight="1">
      <c r="A77" s="10"/>
      <c r="B77" s="10"/>
      <c r="C77" s="10"/>
      <c r="D77" s="10"/>
      <c r="E77" s="10"/>
      <c r="F77" s="10"/>
      <c r="G77" s="10"/>
      <c r="H77" s="10"/>
      <c r="I77" s="10"/>
      <c r="J77" s="10"/>
      <c r="K77" s="10"/>
    </row>
    <row r="78" spans="1:11" ht="15.75" customHeight="1">
      <c r="A78" s="10"/>
      <c r="B78" s="10"/>
      <c r="C78" s="10"/>
      <c r="D78" s="10"/>
      <c r="E78" s="10"/>
      <c r="F78" s="10"/>
      <c r="G78" s="10"/>
      <c r="H78" s="10"/>
      <c r="I78" s="10"/>
      <c r="J78" s="10"/>
      <c r="K78" s="10"/>
    </row>
    <row r="79" spans="1:11" ht="15.75" customHeight="1">
      <c r="A79" s="10"/>
      <c r="B79" s="10"/>
      <c r="C79" s="10"/>
      <c r="D79" s="10"/>
      <c r="E79" s="10"/>
      <c r="F79" s="10"/>
      <c r="G79" s="10"/>
      <c r="H79" s="10"/>
      <c r="I79" s="10"/>
      <c r="J79" s="10"/>
      <c r="K79" s="10"/>
    </row>
    <row r="80" spans="1:11" ht="15.75" customHeight="1">
      <c r="A80" s="10"/>
      <c r="B80" s="10"/>
      <c r="C80" s="10"/>
      <c r="D80" s="10"/>
      <c r="E80" s="10"/>
      <c r="F80" s="10"/>
      <c r="G80" s="10"/>
      <c r="H80" s="10"/>
      <c r="I80" s="10"/>
      <c r="J80" s="10"/>
      <c r="K80" s="10"/>
    </row>
    <row r="81" spans="1:11" ht="15.75" customHeight="1">
      <c r="A81" s="10"/>
      <c r="B81" s="10"/>
      <c r="C81" s="10"/>
      <c r="D81" s="10"/>
      <c r="E81" s="10"/>
      <c r="F81" s="10"/>
      <c r="G81" s="10"/>
      <c r="H81" s="10"/>
      <c r="I81" s="10"/>
      <c r="J81" s="10"/>
      <c r="K81" s="10"/>
    </row>
    <row r="82" spans="1:11" ht="15.75" customHeight="1">
      <c r="A82" s="10"/>
      <c r="B82" s="10"/>
      <c r="C82" s="10"/>
      <c r="D82" s="10"/>
      <c r="E82" s="10"/>
      <c r="F82" s="10"/>
      <c r="G82" s="10"/>
      <c r="H82" s="10"/>
      <c r="I82" s="10"/>
      <c r="J82" s="10"/>
      <c r="K82" s="10"/>
    </row>
    <row r="83" spans="1:11" ht="15.75" customHeight="1">
      <c r="A83" s="10"/>
      <c r="B83" s="10"/>
      <c r="C83" s="10"/>
      <c r="D83" s="10"/>
      <c r="E83" s="10"/>
      <c r="F83" s="10"/>
      <c r="G83" s="10"/>
      <c r="H83" s="10"/>
      <c r="I83" s="10"/>
      <c r="J83" s="10"/>
      <c r="K83" s="10"/>
    </row>
    <row r="84" spans="1:11" ht="15.75" customHeight="1">
      <c r="A84" s="10"/>
      <c r="B84" s="10"/>
      <c r="C84" s="10"/>
      <c r="D84" s="10"/>
      <c r="E84" s="10"/>
      <c r="F84" s="10"/>
      <c r="G84" s="10"/>
      <c r="H84" s="10"/>
      <c r="I84" s="10"/>
      <c r="J84" s="10"/>
      <c r="K84" s="10"/>
    </row>
    <row r="85" spans="1:11" ht="15.75" customHeight="1">
      <c r="A85" s="10"/>
      <c r="B85" s="10"/>
      <c r="C85" s="10"/>
      <c r="D85" s="10"/>
      <c r="E85" s="10"/>
      <c r="F85" s="10"/>
      <c r="G85" s="10"/>
      <c r="H85" s="10"/>
      <c r="I85" s="10"/>
      <c r="J85" s="10"/>
      <c r="K85" s="10"/>
    </row>
    <row r="86" spans="1:11" ht="15.75" customHeight="1">
      <c r="A86" s="10"/>
      <c r="B86" s="10"/>
      <c r="C86" s="10"/>
      <c r="D86" s="10"/>
      <c r="E86" s="10"/>
      <c r="F86" s="10"/>
      <c r="G86" s="10"/>
      <c r="H86" s="10"/>
      <c r="I86" s="10"/>
      <c r="J86" s="10"/>
      <c r="K86" s="10"/>
    </row>
    <row r="87" spans="1:11" ht="15.75" customHeight="1">
      <c r="A87" s="10"/>
      <c r="B87" s="10"/>
      <c r="C87" s="10"/>
      <c r="D87" s="10"/>
      <c r="E87" s="10"/>
      <c r="F87" s="10"/>
      <c r="G87" s="10"/>
      <c r="H87" s="10"/>
      <c r="I87" s="10"/>
      <c r="J87" s="10"/>
      <c r="K87" s="10"/>
    </row>
    <row r="88" spans="1:11" ht="15.75" customHeight="1">
      <c r="A88" s="10"/>
      <c r="B88" s="10"/>
      <c r="C88" s="10"/>
      <c r="D88" s="10"/>
      <c r="E88" s="10"/>
      <c r="F88" s="10"/>
      <c r="G88" s="10"/>
      <c r="H88" s="10"/>
      <c r="I88" s="10"/>
      <c r="J88" s="10"/>
      <c r="K88" s="10"/>
    </row>
    <row r="89" spans="1:11" ht="15.75" customHeight="1">
      <c r="A89" s="10"/>
      <c r="B89" s="10"/>
      <c r="C89" s="10"/>
      <c r="D89" s="10"/>
      <c r="E89" s="10"/>
      <c r="F89" s="10"/>
      <c r="G89" s="10"/>
      <c r="H89" s="10"/>
      <c r="I89" s="10"/>
      <c r="J89" s="10"/>
      <c r="K89" s="10"/>
    </row>
    <row r="90" spans="1:11" ht="15.75" customHeight="1">
      <c r="A90" s="10"/>
      <c r="B90" s="10"/>
      <c r="C90" s="10"/>
      <c r="D90" s="10"/>
      <c r="E90" s="10"/>
      <c r="F90" s="10"/>
      <c r="G90" s="10"/>
      <c r="H90" s="10"/>
      <c r="I90" s="10"/>
      <c r="J90" s="10"/>
      <c r="K90" s="10"/>
    </row>
    <row r="91" spans="1:11" ht="15.75" customHeight="1">
      <c r="A91" s="10"/>
      <c r="B91" s="10"/>
      <c r="C91" s="10"/>
      <c r="D91" s="10"/>
      <c r="E91" s="10"/>
      <c r="F91" s="10"/>
      <c r="G91" s="10"/>
      <c r="H91" s="10"/>
      <c r="I91" s="10"/>
      <c r="J91" s="10"/>
      <c r="K91" s="10"/>
    </row>
    <row r="92" spans="1:11" ht="15.75" customHeight="1">
      <c r="A92" s="10"/>
      <c r="B92" s="10"/>
      <c r="C92" s="10"/>
      <c r="D92" s="10"/>
      <c r="E92" s="10"/>
      <c r="F92" s="10"/>
      <c r="G92" s="10"/>
      <c r="H92" s="10"/>
      <c r="I92" s="10"/>
      <c r="J92" s="10"/>
      <c r="K92" s="10"/>
    </row>
    <row r="93" spans="1:11" ht="15.75" customHeight="1">
      <c r="A93" s="10"/>
      <c r="B93" s="10"/>
      <c r="C93" s="10"/>
      <c r="D93" s="10"/>
      <c r="E93" s="10"/>
      <c r="F93" s="10"/>
      <c r="G93" s="10"/>
      <c r="H93" s="10"/>
      <c r="I93" s="10"/>
      <c r="J93" s="10"/>
      <c r="K93" s="10"/>
    </row>
    <row r="94" spans="1:11" ht="15.75" customHeight="1">
      <c r="A94" s="10"/>
      <c r="B94" s="10"/>
      <c r="C94" s="10"/>
      <c r="D94" s="10"/>
      <c r="E94" s="10"/>
      <c r="F94" s="10"/>
      <c r="G94" s="10"/>
      <c r="H94" s="10"/>
      <c r="I94" s="10"/>
      <c r="J94" s="10"/>
      <c r="K94" s="10"/>
    </row>
    <row r="95" spans="1:11" ht="15.75" customHeight="1">
      <c r="A95" s="10"/>
      <c r="B95" s="10"/>
      <c r="C95" s="10"/>
      <c r="D95" s="10"/>
      <c r="E95" s="10"/>
      <c r="F95" s="10"/>
      <c r="G95" s="10"/>
      <c r="H95" s="10"/>
      <c r="I95" s="10"/>
      <c r="J95" s="10"/>
      <c r="K95" s="10"/>
    </row>
    <row r="96" spans="1:11" ht="15.75" customHeight="1">
      <c r="A96" s="10"/>
      <c r="B96" s="10"/>
      <c r="C96" s="10"/>
      <c r="D96" s="10"/>
      <c r="E96" s="10"/>
      <c r="F96" s="10"/>
      <c r="G96" s="10"/>
      <c r="H96" s="10"/>
      <c r="I96" s="10"/>
      <c r="J96" s="10"/>
      <c r="K96" s="10"/>
    </row>
    <row r="97" spans="1:11" ht="15.75" customHeight="1">
      <c r="A97" s="10"/>
      <c r="B97" s="10"/>
      <c r="C97" s="10"/>
      <c r="D97" s="10"/>
      <c r="E97" s="10"/>
      <c r="F97" s="10"/>
      <c r="G97" s="10"/>
      <c r="H97" s="10"/>
      <c r="I97" s="10"/>
      <c r="J97" s="10"/>
      <c r="K97" s="10"/>
    </row>
    <row r="98" spans="1:11" ht="15.75" customHeight="1">
      <c r="A98" s="10"/>
      <c r="B98" s="10"/>
      <c r="C98" s="10"/>
      <c r="D98" s="10"/>
      <c r="E98" s="10"/>
      <c r="F98" s="10"/>
      <c r="G98" s="10"/>
      <c r="H98" s="10"/>
      <c r="I98" s="10"/>
      <c r="J98" s="10"/>
      <c r="K98" s="10"/>
    </row>
    <row r="99" spans="1:11" ht="15.75" customHeight="1">
      <c r="A99" s="10"/>
      <c r="B99" s="10"/>
      <c r="C99" s="10"/>
      <c r="D99" s="10"/>
      <c r="E99" s="10"/>
      <c r="F99" s="10"/>
      <c r="G99" s="10"/>
      <c r="H99" s="10"/>
      <c r="I99" s="10"/>
      <c r="J99" s="10"/>
      <c r="K99" s="10"/>
    </row>
    <row r="100" spans="1:11" ht="15.75" customHeight="1">
      <c r="A100" s="10"/>
      <c r="B100" s="10"/>
      <c r="C100" s="10"/>
      <c r="D100" s="10"/>
      <c r="E100" s="10"/>
      <c r="F100" s="10"/>
      <c r="G100" s="10"/>
      <c r="H100" s="10"/>
      <c r="I100" s="10"/>
      <c r="J100" s="10"/>
      <c r="K100" s="10"/>
    </row>
  </sheetData>
  <mergeCells count="5">
    <mergeCell ref="A1:E1"/>
    <mergeCell ref="A2:E2"/>
    <mergeCell ref="A3:E3"/>
    <mergeCell ref="A4:E4"/>
    <mergeCell ref="A5:E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0"/>
  <sheetViews>
    <sheetView workbookViewId="0">
      <selection sqref="A1:I1"/>
    </sheetView>
  </sheetViews>
  <sheetFormatPr baseColWidth="10" defaultColWidth="14.42578125" defaultRowHeight="15" customHeight="1"/>
  <cols>
    <col min="1" max="1" width="16" customWidth="1"/>
    <col min="2" max="2" width="78.42578125" customWidth="1"/>
    <col min="3" max="3" width="9.85546875" customWidth="1"/>
    <col min="4" max="5" width="8.85546875" customWidth="1"/>
    <col min="6" max="6" width="20.85546875" customWidth="1"/>
    <col min="7" max="7" width="10.7109375" customWidth="1"/>
    <col min="8" max="8" width="17" customWidth="1"/>
    <col min="9" max="11" width="10.7109375" customWidth="1"/>
  </cols>
  <sheetData>
    <row r="1" spans="1:11" ht="19.5">
      <c r="A1" s="528" t="s">
        <v>34</v>
      </c>
      <c r="B1" s="515"/>
      <c r="C1" s="515"/>
      <c r="D1" s="515"/>
      <c r="E1" s="515"/>
      <c r="F1" s="515"/>
      <c r="G1" s="515"/>
      <c r="H1" s="515"/>
      <c r="I1" s="516"/>
    </row>
    <row r="2" spans="1:11" ht="19.5">
      <c r="A2" s="528" t="s">
        <v>83</v>
      </c>
      <c r="B2" s="515"/>
      <c r="C2" s="515"/>
      <c r="D2" s="515"/>
      <c r="E2" s="515"/>
      <c r="F2" s="515"/>
      <c r="G2" s="515"/>
      <c r="H2" s="515"/>
      <c r="I2" s="516"/>
    </row>
    <row r="3" spans="1:11" ht="12.75" customHeight="1">
      <c r="A3" s="16"/>
      <c r="B3" s="529"/>
      <c r="C3" s="530"/>
      <c r="D3" s="530"/>
      <c r="E3" s="530"/>
      <c r="F3" s="530"/>
      <c r="G3" s="530"/>
      <c r="H3" s="530"/>
      <c r="I3" s="530"/>
      <c r="J3" s="16"/>
      <c r="K3" s="16"/>
    </row>
    <row r="4" spans="1:11">
      <c r="A4" s="17" t="s">
        <v>84</v>
      </c>
      <c r="B4" s="18" t="s">
        <v>85</v>
      </c>
      <c r="C4" s="19" t="s">
        <v>86</v>
      </c>
      <c r="D4" s="19" t="s">
        <v>60</v>
      </c>
      <c r="E4" s="19" t="s">
        <v>87</v>
      </c>
      <c r="F4" s="531" t="s">
        <v>88</v>
      </c>
      <c r="G4" s="512"/>
      <c r="H4" s="512"/>
      <c r="I4" s="510"/>
    </row>
    <row r="5" spans="1:11" ht="30">
      <c r="A5" s="523" t="s">
        <v>89</v>
      </c>
      <c r="B5" s="20" t="s">
        <v>90</v>
      </c>
      <c r="C5" s="21" t="s">
        <v>44</v>
      </c>
      <c r="D5" s="22"/>
      <c r="E5" s="22"/>
      <c r="F5" s="519" t="s">
        <v>91</v>
      </c>
      <c r="G5" s="512"/>
      <c r="H5" s="512"/>
      <c r="I5" s="510"/>
    </row>
    <row r="6" spans="1:11" ht="31.5" customHeight="1">
      <c r="A6" s="524"/>
      <c r="B6" s="20" t="s">
        <v>92</v>
      </c>
      <c r="C6" s="21" t="s">
        <v>44</v>
      </c>
      <c r="D6" s="22"/>
      <c r="E6" s="22"/>
      <c r="F6" s="519" t="s">
        <v>93</v>
      </c>
      <c r="G6" s="512"/>
      <c r="H6" s="512"/>
      <c r="I6" s="510"/>
    </row>
    <row r="7" spans="1:11" ht="30">
      <c r="A7" s="524"/>
      <c r="B7" s="20" t="s">
        <v>94</v>
      </c>
      <c r="C7" s="21" t="s">
        <v>44</v>
      </c>
      <c r="D7" s="21"/>
      <c r="E7" s="21"/>
      <c r="F7" s="519"/>
      <c r="G7" s="512"/>
      <c r="H7" s="512"/>
      <c r="I7" s="510"/>
    </row>
    <row r="8" spans="1:11" ht="30">
      <c r="A8" s="524"/>
      <c r="B8" s="20" t="s">
        <v>95</v>
      </c>
      <c r="C8" s="21" t="s">
        <v>44</v>
      </c>
      <c r="D8" s="21"/>
      <c r="E8" s="21"/>
      <c r="F8" s="519" t="s">
        <v>96</v>
      </c>
      <c r="G8" s="512"/>
      <c r="H8" s="512"/>
      <c r="I8" s="510"/>
    </row>
    <row r="9" spans="1:11" ht="30">
      <c r="A9" s="525"/>
      <c r="B9" s="20" t="s">
        <v>97</v>
      </c>
      <c r="C9" s="21"/>
      <c r="D9" s="21"/>
      <c r="E9" s="21" t="s">
        <v>44</v>
      </c>
      <c r="F9" s="532"/>
      <c r="G9" s="512"/>
      <c r="H9" s="512"/>
      <c r="I9" s="510"/>
    </row>
    <row r="10" spans="1:11" ht="15.75">
      <c r="A10" s="23"/>
      <c r="B10" s="24"/>
      <c r="C10" s="23"/>
      <c r="D10" s="25"/>
      <c r="E10" s="26"/>
      <c r="F10" s="24"/>
      <c r="G10" s="24"/>
      <c r="H10" s="24"/>
      <c r="I10" s="24"/>
    </row>
    <row r="11" spans="1:11">
      <c r="A11" s="17" t="s">
        <v>84</v>
      </c>
      <c r="B11" s="18" t="s">
        <v>98</v>
      </c>
      <c r="C11" s="19" t="s">
        <v>86</v>
      </c>
      <c r="D11" s="19" t="s">
        <v>60</v>
      </c>
      <c r="E11" s="19" t="s">
        <v>87</v>
      </c>
      <c r="F11" s="531" t="s">
        <v>88</v>
      </c>
      <c r="G11" s="512"/>
      <c r="H11" s="512"/>
      <c r="I11" s="510"/>
    </row>
    <row r="12" spans="1:11" ht="15.75">
      <c r="A12" s="526"/>
      <c r="B12" s="25" t="s">
        <v>99</v>
      </c>
      <c r="C12" s="27" t="s">
        <v>44</v>
      </c>
      <c r="D12" s="27"/>
      <c r="E12" s="27"/>
      <c r="F12" s="533" t="s">
        <v>100</v>
      </c>
      <c r="G12" s="512"/>
      <c r="H12" s="512"/>
      <c r="I12" s="510"/>
    </row>
    <row r="13" spans="1:11" ht="35.25" customHeight="1">
      <c r="A13" s="525"/>
      <c r="B13" s="20" t="s">
        <v>101</v>
      </c>
      <c r="C13" s="28" t="s">
        <v>44</v>
      </c>
      <c r="D13" s="29"/>
      <c r="E13" s="29"/>
      <c r="F13" s="519"/>
      <c r="G13" s="512"/>
      <c r="H13" s="512"/>
      <c r="I13" s="510"/>
    </row>
    <row r="14" spans="1:11" ht="75" customHeight="1">
      <c r="A14" s="30" t="s">
        <v>102</v>
      </c>
      <c r="B14" s="31" t="s">
        <v>103</v>
      </c>
      <c r="C14" s="28" t="s">
        <v>44</v>
      </c>
      <c r="D14" s="29"/>
      <c r="E14" s="32"/>
      <c r="F14" s="519"/>
      <c r="G14" s="512"/>
      <c r="H14" s="512"/>
      <c r="I14" s="510"/>
    </row>
    <row r="15" spans="1:11">
      <c r="A15" s="526"/>
      <c r="B15" s="20" t="s">
        <v>104</v>
      </c>
      <c r="C15" s="33" t="s">
        <v>44</v>
      </c>
      <c r="D15" s="29"/>
      <c r="E15" s="29"/>
      <c r="F15" s="533" t="s">
        <v>105</v>
      </c>
      <c r="G15" s="512"/>
      <c r="H15" s="512"/>
      <c r="I15" s="510"/>
    </row>
    <row r="16" spans="1:11">
      <c r="A16" s="524"/>
      <c r="B16" s="20" t="s">
        <v>106</v>
      </c>
      <c r="C16" s="28" t="s">
        <v>44</v>
      </c>
      <c r="D16" s="29"/>
      <c r="E16" s="29"/>
      <c r="F16" s="521"/>
      <c r="G16" s="512"/>
      <c r="H16" s="512"/>
      <c r="I16" s="510"/>
    </row>
    <row r="17" spans="1:9" ht="15.75">
      <c r="A17" s="524"/>
      <c r="B17" s="20" t="s">
        <v>107</v>
      </c>
      <c r="C17" s="28" t="s">
        <v>44</v>
      </c>
      <c r="D17" s="27"/>
      <c r="E17" s="27"/>
      <c r="F17" s="521"/>
      <c r="G17" s="512"/>
      <c r="H17" s="512"/>
      <c r="I17" s="510"/>
    </row>
    <row r="18" spans="1:9" ht="27.75" customHeight="1">
      <c r="A18" s="524"/>
      <c r="B18" s="20" t="s">
        <v>108</v>
      </c>
      <c r="C18" s="28" t="s">
        <v>44</v>
      </c>
      <c r="D18" s="27"/>
      <c r="E18" s="27"/>
      <c r="F18" s="519"/>
      <c r="G18" s="512"/>
      <c r="H18" s="512"/>
      <c r="I18" s="510"/>
    </row>
    <row r="19" spans="1:9" ht="46.5" customHeight="1">
      <c r="A19" s="524"/>
      <c r="B19" s="20" t="s">
        <v>109</v>
      </c>
      <c r="C19" s="21" t="s">
        <v>44</v>
      </c>
      <c r="D19" s="27"/>
      <c r="E19" s="27"/>
      <c r="F19" s="534"/>
      <c r="G19" s="512"/>
      <c r="H19" s="512"/>
      <c r="I19" s="510"/>
    </row>
    <row r="20" spans="1:9" ht="47.25" customHeight="1">
      <c r="A20" s="524"/>
      <c r="B20" s="31" t="s">
        <v>110</v>
      </c>
      <c r="C20" s="28" t="s">
        <v>44</v>
      </c>
      <c r="D20" s="28"/>
      <c r="E20" s="28"/>
      <c r="F20" s="519"/>
      <c r="G20" s="512"/>
      <c r="H20" s="512"/>
      <c r="I20" s="510"/>
    </row>
    <row r="21" spans="1:9" ht="15.75" customHeight="1">
      <c r="A21" s="524"/>
      <c r="B21" s="20" t="s">
        <v>111</v>
      </c>
      <c r="C21" s="28" t="s">
        <v>44</v>
      </c>
      <c r="D21" s="28"/>
      <c r="E21" s="28"/>
      <c r="F21" s="521"/>
      <c r="G21" s="512"/>
      <c r="H21" s="512"/>
      <c r="I21" s="510"/>
    </row>
    <row r="22" spans="1:9" ht="15.75" customHeight="1">
      <c r="A22" s="525"/>
      <c r="B22" s="20" t="s">
        <v>112</v>
      </c>
      <c r="C22" s="28" t="s">
        <v>44</v>
      </c>
      <c r="D22" s="28"/>
      <c r="E22" s="28"/>
      <c r="F22" s="534"/>
      <c r="G22" s="512"/>
      <c r="H22" s="512"/>
      <c r="I22" s="510"/>
    </row>
    <row r="23" spans="1:9" ht="15.75" customHeight="1">
      <c r="A23" s="30" t="s">
        <v>89</v>
      </c>
      <c r="B23" s="20" t="s">
        <v>113</v>
      </c>
      <c r="C23" s="28" t="s">
        <v>44</v>
      </c>
      <c r="D23" s="28"/>
      <c r="E23" s="28"/>
      <c r="F23" s="521"/>
      <c r="G23" s="512"/>
      <c r="H23" s="512"/>
      <c r="I23" s="510"/>
    </row>
    <row r="24" spans="1:9" ht="30" customHeight="1">
      <c r="A24" s="30" t="s">
        <v>114</v>
      </c>
      <c r="B24" s="31" t="s">
        <v>115</v>
      </c>
      <c r="C24" s="28" t="s">
        <v>44</v>
      </c>
      <c r="D24" s="28"/>
      <c r="E24" s="28"/>
      <c r="F24" s="519"/>
      <c r="G24" s="512"/>
      <c r="H24" s="512"/>
      <c r="I24" s="510"/>
    </row>
    <row r="25" spans="1:9" ht="15.75" customHeight="1">
      <c r="A25" s="30" t="s">
        <v>116</v>
      </c>
      <c r="B25" s="20" t="s">
        <v>117</v>
      </c>
      <c r="C25" s="28" t="s">
        <v>44</v>
      </c>
      <c r="D25" s="28"/>
      <c r="E25" s="28"/>
      <c r="F25" s="521"/>
      <c r="G25" s="512"/>
      <c r="H25" s="512"/>
      <c r="I25" s="510"/>
    </row>
    <row r="26" spans="1:9" ht="15.75" customHeight="1">
      <c r="A26" s="30" t="s">
        <v>114</v>
      </c>
      <c r="B26" s="20" t="s">
        <v>118</v>
      </c>
      <c r="C26" s="28"/>
      <c r="D26" s="28" t="s">
        <v>44</v>
      </c>
      <c r="E26" s="28"/>
      <c r="F26" s="521"/>
      <c r="G26" s="512"/>
      <c r="H26" s="512"/>
      <c r="I26" s="510"/>
    </row>
    <row r="27" spans="1:9" ht="15.75" customHeight="1">
      <c r="A27" s="23"/>
      <c r="B27" s="24"/>
      <c r="C27" s="34"/>
      <c r="D27" s="34"/>
      <c r="E27" s="34"/>
      <c r="F27" s="35"/>
      <c r="G27" s="35"/>
      <c r="H27" s="35"/>
      <c r="I27" s="35"/>
    </row>
    <row r="28" spans="1:9" ht="15.75" customHeight="1">
      <c r="A28" s="17" t="s">
        <v>84</v>
      </c>
      <c r="B28" s="18" t="s">
        <v>119</v>
      </c>
      <c r="C28" s="19" t="s">
        <v>86</v>
      </c>
      <c r="D28" s="19" t="s">
        <v>60</v>
      </c>
      <c r="E28" s="19" t="s">
        <v>87</v>
      </c>
      <c r="F28" s="520" t="s">
        <v>88</v>
      </c>
      <c r="G28" s="512"/>
      <c r="H28" s="512"/>
      <c r="I28" s="510"/>
    </row>
    <row r="29" spans="1:9" ht="15.75" customHeight="1">
      <c r="A29" s="526"/>
      <c r="B29" s="20" t="s">
        <v>120</v>
      </c>
      <c r="C29" s="28" t="s">
        <v>44</v>
      </c>
      <c r="D29" s="28"/>
      <c r="E29" s="28"/>
      <c r="F29" s="522" t="s">
        <v>121</v>
      </c>
      <c r="G29" s="512"/>
      <c r="H29" s="512"/>
      <c r="I29" s="510"/>
    </row>
    <row r="30" spans="1:9" ht="15.75" customHeight="1">
      <c r="A30" s="524"/>
      <c r="B30" s="20" t="s">
        <v>122</v>
      </c>
      <c r="C30" s="33"/>
      <c r="D30" s="33"/>
      <c r="E30" s="33"/>
      <c r="F30" s="519" t="s">
        <v>123</v>
      </c>
      <c r="G30" s="512"/>
      <c r="H30" s="512"/>
      <c r="I30" s="510"/>
    </row>
    <row r="31" spans="1:9" ht="15.75" customHeight="1">
      <c r="A31" s="524"/>
      <c r="B31" s="20" t="s">
        <v>124</v>
      </c>
      <c r="C31" s="33"/>
      <c r="D31" s="29"/>
      <c r="E31" s="29"/>
      <c r="F31" s="521" t="s">
        <v>125</v>
      </c>
      <c r="G31" s="512"/>
      <c r="H31" s="512"/>
      <c r="I31" s="510"/>
    </row>
    <row r="32" spans="1:9" ht="45" customHeight="1">
      <c r="A32" s="524"/>
      <c r="B32" s="20" t="s">
        <v>126</v>
      </c>
      <c r="C32" s="33" t="s">
        <v>44</v>
      </c>
      <c r="D32" s="29"/>
      <c r="E32" s="29"/>
      <c r="F32" s="519" t="s">
        <v>127</v>
      </c>
      <c r="G32" s="512"/>
      <c r="H32" s="512"/>
      <c r="I32" s="510"/>
    </row>
    <row r="33" spans="1:9" ht="53.25" customHeight="1">
      <c r="A33" s="525"/>
      <c r="B33" s="20" t="s">
        <v>128</v>
      </c>
      <c r="C33" s="33" t="s">
        <v>44</v>
      </c>
      <c r="D33" s="28"/>
      <c r="E33" s="28"/>
      <c r="F33" s="519" t="s">
        <v>129</v>
      </c>
      <c r="G33" s="512"/>
      <c r="H33" s="512"/>
      <c r="I33" s="510"/>
    </row>
    <row r="34" spans="1:9" ht="15.75" customHeight="1">
      <c r="A34" s="23"/>
      <c r="B34" s="24"/>
      <c r="C34" s="34"/>
      <c r="D34" s="34"/>
      <c r="E34" s="34"/>
      <c r="F34" s="35"/>
      <c r="G34" s="35"/>
      <c r="H34" s="35"/>
      <c r="I34" s="35"/>
    </row>
    <row r="35" spans="1:9" ht="15.75" customHeight="1">
      <c r="A35" s="17" t="s">
        <v>84</v>
      </c>
      <c r="B35" s="18" t="s">
        <v>130</v>
      </c>
      <c r="C35" s="19" t="s">
        <v>86</v>
      </c>
      <c r="D35" s="19" t="s">
        <v>60</v>
      </c>
      <c r="E35" s="19" t="s">
        <v>87</v>
      </c>
      <c r="F35" s="520" t="s">
        <v>88</v>
      </c>
      <c r="G35" s="512"/>
      <c r="H35" s="512"/>
      <c r="I35" s="510"/>
    </row>
    <row r="36" spans="1:9" ht="39.75" customHeight="1">
      <c r="A36" s="30" t="s">
        <v>131</v>
      </c>
      <c r="B36" s="20" t="s">
        <v>132</v>
      </c>
      <c r="C36" s="28" t="s">
        <v>44</v>
      </c>
      <c r="D36" s="28"/>
      <c r="E36" s="28"/>
      <c r="F36" s="519" t="s">
        <v>133</v>
      </c>
      <c r="G36" s="512"/>
      <c r="H36" s="512"/>
      <c r="I36" s="510"/>
    </row>
    <row r="37" spans="1:9" ht="15.75" customHeight="1">
      <c r="A37" s="527" t="s">
        <v>102</v>
      </c>
      <c r="B37" s="20" t="s">
        <v>134</v>
      </c>
      <c r="C37" s="28" t="s">
        <v>44</v>
      </c>
      <c r="D37" s="28"/>
      <c r="E37" s="28"/>
      <c r="F37" s="519"/>
      <c r="G37" s="512"/>
      <c r="H37" s="512"/>
      <c r="I37" s="510"/>
    </row>
    <row r="38" spans="1:9" ht="30" customHeight="1">
      <c r="A38" s="525"/>
      <c r="B38" s="20" t="s">
        <v>135</v>
      </c>
      <c r="C38" s="28"/>
      <c r="D38" s="28"/>
      <c r="E38" s="28" t="s">
        <v>44</v>
      </c>
      <c r="F38" s="521" t="s">
        <v>136</v>
      </c>
      <c r="G38" s="512"/>
      <c r="H38" s="512"/>
      <c r="I38" s="510"/>
    </row>
    <row r="39" spans="1:9" ht="15.75" customHeight="1">
      <c r="A39" s="30" t="s">
        <v>137</v>
      </c>
      <c r="B39" s="20" t="s">
        <v>138</v>
      </c>
      <c r="C39" s="28" t="s">
        <v>44</v>
      </c>
      <c r="D39" s="28"/>
      <c r="E39" s="28"/>
      <c r="F39" s="519" t="s">
        <v>139</v>
      </c>
      <c r="G39" s="512"/>
      <c r="H39" s="512"/>
      <c r="I39" s="510"/>
    </row>
    <row r="40" spans="1:9" ht="15.75" customHeight="1">
      <c r="A40" s="30" t="s">
        <v>140</v>
      </c>
      <c r="B40" s="20" t="s">
        <v>141</v>
      </c>
      <c r="C40" s="28" t="s">
        <v>44</v>
      </c>
      <c r="D40" s="28"/>
      <c r="E40" s="21"/>
      <c r="F40" s="519" t="s">
        <v>142</v>
      </c>
      <c r="G40" s="512"/>
      <c r="H40" s="512"/>
      <c r="I40" s="510"/>
    </row>
    <row r="41" spans="1:9" ht="15.75" customHeight="1"/>
    <row r="42" spans="1:9" ht="15.75" customHeight="1"/>
    <row r="43" spans="1:9" ht="15.75" customHeight="1"/>
    <row r="44" spans="1:9" ht="15.75" customHeight="1"/>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2">
    <mergeCell ref="A37:A38"/>
    <mergeCell ref="A1:I1"/>
    <mergeCell ref="A2:I2"/>
    <mergeCell ref="B3:I3"/>
    <mergeCell ref="F4:I4"/>
    <mergeCell ref="F5:I5"/>
    <mergeCell ref="F6:I6"/>
    <mergeCell ref="F9:I9"/>
    <mergeCell ref="F15:I15"/>
    <mergeCell ref="F16:I16"/>
    <mergeCell ref="F17:I17"/>
    <mergeCell ref="F18:I18"/>
    <mergeCell ref="F19:I19"/>
    <mergeCell ref="F20:I20"/>
    <mergeCell ref="F21:I21"/>
    <mergeCell ref="F22:I22"/>
    <mergeCell ref="F30:I30"/>
    <mergeCell ref="F31:I31"/>
    <mergeCell ref="A5:A9"/>
    <mergeCell ref="A12:A13"/>
    <mergeCell ref="A15:A22"/>
    <mergeCell ref="A29:A33"/>
    <mergeCell ref="F7:I7"/>
    <mergeCell ref="F8:I8"/>
    <mergeCell ref="F11:I11"/>
    <mergeCell ref="F12:I12"/>
    <mergeCell ref="F13:I13"/>
    <mergeCell ref="F14:I14"/>
    <mergeCell ref="F23:I23"/>
    <mergeCell ref="F24:I24"/>
    <mergeCell ref="F25:I25"/>
    <mergeCell ref="F26:I26"/>
    <mergeCell ref="F28:I28"/>
    <mergeCell ref="F29:I29"/>
    <mergeCell ref="F32:I32"/>
    <mergeCell ref="F33:I33"/>
    <mergeCell ref="F40:I40"/>
    <mergeCell ref="F35:I35"/>
    <mergeCell ref="F36:I36"/>
    <mergeCell ref="F37:I37"/>
    <mergeCell ref="F38:I38"/>
    <mergeCell ref="F39:I39"/>
  </mergeCells>
  <hyperlinks>
    <hyperlink ref="F12" r:id="rId1"/>
    <hyperlink ref="F15" r:id="rId2"/>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0"/>
  <sheetViews>
    <sheetView workbookViewId="0">
      <selection sqref="A1:I1"/>
    </sheetView>
  </sheetViews>
  <sheetFormatPr baseColWidth="10" defaultColWidth="14.42578125" defaultRowHeight="15" customHeight="1"/>
  <cols>
    <col min="1" max="1" width="17.85546875" customWidth="1"/>
    <col min="2" max="2" width="45.7109375" customWidth="1"/>
    <col min="3" max="11" width="10.7109375" customWidth="1"/>
  </cols>
  <sheetData>
    <row r="1" spans="1:9" ht="19.5">
      <c r="A1" s="538" t="s">
        <v>34</v>
      </c>
      <c r="B1" s="515"/>
      <c r="C1" s="515"/>
      <c r="D1" s="515"/>
      <c r="E1" s="515"/>
      <c r="F1" s="515"/>
      <c r="G1" s="515"/>
      <c r="H1" s="515"/>
      <c r="I1" s="516"/>
    </row>
    <row r="2" spans="1:9" ht="19.5">
      <c r="A2" s="538" t="s">
        <v>143</v>
      </c>
      <c r="B2" s="515"/>
      <c r="C2" s="515"/>
      <c r="D2" s="515"/>
      <c r="E2" s="515"/>
      <c r="F2" s="515"/>
      <c r="G2" s="515"/>
      <c r="H2" s="515"/>
      <c r="I2" s="516"/>
    </row>
    <row r="3" spans="1:9" ht="19.5">
      <c r="A3" s="36"/>
      <c r="B3" s="529"/>
      <c r="C3" s="530"/>
      <c r="D3" s="530"/>
      <c r="E3" s="530"/>
      <c r="F3" s="530"/>
      <c r="G3" s="530"/>
      <c r="H3" s="530"/>
      <c r="I3" s="530"/>
    </row>
    <row r="4" spans="1:9">
      <c r="A4" s="37" t="s">
        <v>84</v>
      </c>
      <c r="B4" s="38" t="s">
        <v>144</v>
      </c>
      <c r="C4" s="39" t="s">
        <v>86</v>
      </c>
      <c r="D4" s="39" t="s">
        <v>60</v>
      </c>
      <c r="E4" s="39" t="s">
        <v>87</v>
      </c>
      <c r="F4" s="539" t="s">
        <v>88</v>
      </c>
      <c r="G4" s="512"/>
      <c r="H4" s="512"/>
      <c r="I4" s="510"/>
    </row>
    <row r="5" spans="1:9" ht="30">
      <c r="A5" s="40" t="s">
        <v>114</v>
      </c>
      <c r="B5" s="41" t="s">
        <v>145</v>
      </c>
      <c r="C5" s="42" t="s">
        <v>44</v>
      </c>
      <c r="D5" s="42"/>
      <c r="E5" s="43"/>
      <c r="F5" s="537"/>
      <c r="G5" s="512"/>
      <c r="H5" s="512"/>
      <c r="I5" s="510"/>
    </row>
    <row r="6" spans="1:9" ht="30">
      <c r="A6" s="535" t="s">
        <v>146</v>
      </c>
      <c r="B6" s="41" t="s">
        <v>147</v>
      </c>
      <c r="C6" s="42" t="s">
        <v>44</v>
      </c>
      <c r="D6" s="42"/>
      <c r="E6" s="43"/>
      <c r="F6" s="537"/>
      <c r="G6" s="512"/>
      <c r="H6" s="512"/>
      <c r="I6" s="510"/>
    </row>
    <row r="7" spans="1:9" ht="45">
      <c r="A7" s="524"/>
      <c r="B7" s="41" t="s">
        <v>148</v>
      </c>
      <c r="C7" s="42" t="s">
        <v>44</v>
      </c>
      <c r="D7" s="42"/>
      <c r="E7" s="43"/>
      <c r="F7" s="537" t="s">
        <v>149</v>
      </c>
      <c r="G7" s="512"/>
      <c r="H7" s="512"/>
      <c r="I7" s="510"/>
    </row>
    <row r="8" spans="1:9" ht="45">
      <c r="A8" s="524"/>
      <c r="B8" s="41" t="s">
        <v>150</v>
      </c>
      <c r="C8" s="42" t="s">
        <v>44</v>
      </c>
      <c r="D8" s="42"/>
      <c r="E8" s="43"/>
      <c r="F8" s="537" t="s">
        <v>151</v>
      </c>
      <c r="G8" s="512"/>
      <c r="H8" s="512"/>
      <c r="I8" s="510"/>
    </row>
    <row r="9" spans="1:9" ht="45">
      <c r="A9" s="524"/>
      <c r="B9" s="41" t="s">
        <v>152</v>
      </c>
      <c r="C9" s="42"/>
      <c r="D9" s="42"/>
      <c r="E9" s="43" t="s">
        <v>44</v>
      </c>
      <c r="F9" s="537" t="s">
        <v>153</v>
      </c>
      <c r="G9" s="512"/>
      <c r="H9" s="512"/>
      <c r="I9" s="510"/>
    </row>
    <row r="10" spans="1:9" ht="30">
      <c r="A10" s="524"/>
      <c r="B10" s="41" t="s">
        <v>154</v>
      </c>
      <c r="C10" s="42" t="s">
        <v>44</v>
      </c>
      <c r="D10" s="42"/>
      <c r="E10" s="43"/>
      <c r="F10" s="540" t="s">
        <v>155</v>
      </c>
      <c r="G10" s="512"/>
      <c r="H10" s="512"/>
      <c r="I10" s="510"/>
    </row>
    <row r="11" spans="1:9" ht="30">
      <c r="A11" s="525"/>
      <c r="B11" s="41" t="s">
        <v>156</v>
      </c>
      <c r="C11" s="42" t="s">
        <v>44</v>
      </c>
      <c r="D11" s="42"/>
      <c r="E11" s="43"/>
      <c r="F11" s="536" t="s">
        <v>157</v>
      </c>
      <c r="G11" s="512"/>
      <c r="H11" s="512"/>
      <c r="I11" s="510"/>
    </row>
    <row r="12" spans="1:9" ht="30">
      <c r="A12" s="535" t="s">
        <v>89</v>
      </c>
      <c r="B12" s="41" t="s">
        <v>158</v>
      </c>
      <c r="C12" s="42" t="s">
        <v>44</v>
      </c>
      <c r="D12" s="42"/>
      <c r="E12" s="43"/>
      <c r="F12" s="536"/>
      <c r="G12" s="512"/>
      <c r="H12" s="512"/>
      <c r="I12" s="510"/>
    </row>
    <row r="13" spans="1:9" ht="45">
      <c r="A13" s="524"/>
      <c r="B13" s="41" t="s">
        <v>159</v>
      </c>
      <c r="C13" s="42"/>
      <c r="D13" s="42" t="s">
        <v>44</v>
      </c>
      <c r="E13" s="43"/>
      <c r="F13" s="536" t="s">
        <v>160</v>
      </c>
      <c r="G13" s="512"/>
      <c r="H13" s="512"/>
      <c r="I13" s="510"/>
    </row>
    <row r="14" spans="1:9" ht="30">
      <c r="A14" s="524"/>
      <c r="B14" s="41" t="s">
        <v>161</v>
      </c>
      <c r="C14" s="42"/>
      <c r="D14" s="42" t="s">
        <v>44</v>
      </c>
      <c r="E14" s="43"/>
      <c r="F14" s="536"/>
      <c r="G14" s="512"/>
      <c r="H14" s="512"/>
      <c r="I14" s="510"/>
    </row>
    <row r="15" spans="1:9" ht="30">
      <c r="A15" s="524"/>
      <c r="B15" s="41" t="s">
        <v>162</v>
      </c>
      <c r="C15" s="42"/>
      <c r="D15" s="42" t="s">
        <v>44</v>
      </c>
      <c r="E15" s="43"/>
      <c r="F15" s="536"/>
      <c r="G15" s="512"/>
      <c r="H15" s="512"/>
      <c r="I15" s="510"/>
    </row>
    <row r="16" spans="1:9" ht="30">
      <c r="A16" s="524"/>
      <c r="B16" s="41" t="s">
        <v>163</v>
      </c>
      <c r="C16" s="42"/>
      <c r="D16" s="42"/>
      <c r="E16" s="43" t="s">
        <v>44</v>
      </c>
      <c r="F16" s="540" t="s">
        <v>164</v>
      </c>
      <c r="G16" s="512"/>
      <c r="H16" s="512"/>
      <c r="I16" s="510"/>
    </row>
    <row r="17" spans="1:9" ht="30">
      <c r="A17" s="525"/>
      <c r="B17" s="41" t="s">
        <v>165</v>
      </c>
      <c r="C17" s="42" t="s">
        <v>44</v>
      </c>
      <c r="D17" s="42"/>
      <c r="E17" s="43"/>
      <c r="F17" s="536" t="s">
        <v>166</v>
      </c>
      <c r="G17" s="512"/>
      <c r="H17" s="512"/>
      <c r="I17" s="510"/>
    </row>
    <row r="18" spans="1:9" ht="30">
      <c r="A18" s="535" t="s">
        <v>146</v>
      </c>
      <c r="B18" s="41" t="s">
        <v>167</v>
      </c>
      <c r="C18" s="42"/>
      <c r="D18" s="42" t="s">
        <v>44</v>
      </c>
      <c r="E18" s="43"/>
      <c r="F18" s="536"/>
      <c r="G18" s="512"/>
      <c r="H18" s="512"/>
      <c r="I18" s="510"/>
    </row>
    <row r="19" spans="1:9" ht="45">
      <c r="A19" s="524"/>
      <c r="B19" s="41" t="s">
        <v>168</v>
      </c>
      <c r="C19" s="42"/>
      <c r="D19" s="42" t="s">
        <v>44</v>
      </c>
      <c r="E19" s="43"/>
      <c r="F19" s="536"/>
      <c r="G19" s="512"/>
      <c r="H19" s="512"/>
      <c r="I19" s="510"/>
    </row>
    <row r="20" spans="1:9" ht="45">
      <c r="A20" s="524"/>
      <c r="B20" s="41" t="s">
        <v>169</v>
      </c>
      <c r="C20" s="42"/>
      <c r="D20" s="42" t="s">
        <v>44</v>
      </c>
      <c r="E20" s="43"/>
      <c r="F20" s="536"/>
      <c r="G20" s="512"/>
      <c r="H20" s="512"/>
      <c r="I20" s="510"/>
    </row>
    <row r="21" spans="1:9" ht="15.75" customHeight="1">
      <c r="A21" s="525"/>
      <c r="B21" s="41" t="s">
        <v>170</v>
      </c>
      <c r="C21" s="42"/>
      <c r="D21" s="42" t="s">
        <v>44</v>
      </c>
      <c r="E21" s="43"/>
      <c r="F21" s="536"/>
      <c r="G21" s="512"/>
      <c r="H21" s="512"/>
      <c r="I21" s="510"/>
    </row>
    <row r="22" spans="1:9" ht="15.75" customHeight="1">
      <c r="A22" s="535" t="s">
        <v>89</v>
      </c>
      <c r="B22" s="41" t="s">
        <v>171</v>
      </c>
      <c r="C22" s="42" t="s">
        <v>172</v>
      </c>
      <c r="D22" s="42"/>
      <c r="E22" s="43"/>
      <c r="F22" s="536"/>
      <c r="G22" s="512"/>
      <c r="H22" s="512"/>
      <c r="I22" s="510"/>
    </row>
    <row r="23" spans="1:9" ht="15.75" customHeight="1">
      <c r="A23" s="524"/>
      <c r="B23" s="41" t="s">
        <v>173</v>
      </c>
      <c r="C23" s="42"/>
      <c r="D23" s="42" t="s">
        <v>44</v>
      </c>
      <c r="E23" s="43"/>
      <c r="F23" s="536"/>
      <c r="G23" s="512"/>
      <c r="H23" s="512"/>
      <c r="I23" s="510"/>
    </row>
    <row r="24" spans="1:9" ht="15.75" customHeight="1">
      <c r="A24" s="524"/>
      <c r="B24" s="41" t="s">
        <v>174</v>
      </c>
      <c r="C24" s="42"/>
      <c r="D24" s="42" t="s">
        <v>44</v>
      </c>
      <c r="E24" s="43"/>
      <c r="F24" s="536"/>
      <c r="G24" s="512"/>
      <c r="H24" s="512"/>
      <c r="I24" s="510"/>
    </row>
    <row r="25" spans="1:9" ht="15.75" customHeight="1">
      <c r="A25" s="524"/>
      <c r="B25" s="41" t="s">
        <v>175</v>
      </c>
      <c r="C25" s="42" t="s">
        <v>172</v>
      </c>
      <c r="D25" s="42"/>
      <c r="E25" s="43"/>
      <c r="F25" s="536"/>
      <c r="G25" s="512"/>
      <c r="H25" s="512"/>
      <c r="I25" s="510"/>
    </row>
    <row r="26" spans="1:9" ht="15.75" customHeight="1">
      <c r="A26" s="525"/>
      <c r="B26" s="41" t="s">
        <v>176</v>
      </c>
      <c r="C26" s="42"/>
      <c r="D26" s="42" t="s">
        <v>44</v>
      </c>
      <c r="E26" s="43"/>
      <c r="F26" s="536"/>
      <c r="G26" s="512"/>
      <c r="H26" s="512"/>
      <c r="I26" s="510"/>
    </row>
    <row r="27" spans="1:9" ht="15.75" customHeight="1">
      <c r="A27" s="535" t="s">
        <v>177</v>
      </c>
      <c r="B27" s="41" t="s">
        <v>178</v>
      </c>
      <c r="C27" s="42"/>
      <c r="D27" s="42"/>
      <c r="E27" s="43" t="s">
        <v>44</v>
      </c>
      <c r="F27" s="536"/>
      <c r="G27" s="512"/>
      <c r="H27" s="512"/>
      <c r="I27" s="510"/>
    </row>
    <row r="28" spans="1:9" ht="15.75" customHeight="1">
      <c r="A28" s="524"/>
      <c r="B28" s="41" t="s">
        <v>179</v>
      </c>
      <c r="C28" s="42"/>
      <c r="D28" s="42" t="s">
        <v>44</v>
      </c>
      <c r="E28" s="42"/>
      <c r="F28" s="536"/>
      <c r="G28" s="512"/>
      <c r="H28" s="512"/>
      <c r="I28" s="510"/>
    </row>
    <row r="29" spans="1:9" ht="15.75" customHeight="1">
      <c r="A29" s="525"/>
      <c r="B29" s="41" t="s">
        <v>180</v>
      </c>
      <c r="C29" s="42"/>
      <c r="D29" s="42" t="s">
        <v>44</v>
      </c>
      <c r="E29" s="42"/>
      <c r="F29" s="536"/>
      <c r="G29" s="512"/>
      <c r="H29" s="512"/>
      <c r="I29" s="510"/>
    </row>
    <row r="30" spans="1:9" ht="15.75" customHeight="1">
      <c r="A30" s="36"/>
      <c r="B30" s="44"/>
      <c r="C30" s="45"/>
      <c r="D30" s="45"/>
      <c r="E30" s="45"/>
      <c r="F30" s="44"/>
      <c r="G30" s="44"/>
      <c r="H30" s="44"/>
      <c r="I30" s="44"/>
    </row>
    <row r="31" spans="1:9" ht="15.75" customHeight="1">
      <c r="A31" s="37" t="s">
        <v>84</v>
      </c>
      <c r="B31" s="46" t="s">
        <v>181</v>
      </c>
      <c r="C31" s="39" t="s">
        <v>86</v>
      </c>
      <c r="D31" s="39" t="s">
        <v>60</v>
      </c>
      <c r="E31" s="39" t="s">
        <v>87</v>
      </c>
      <c r="F31" s="541" t="s">
        <v>88</v>
      </c>
      <c r="G31" s="512"/>
      <c r="H31" s="512"/>
      <c r="I31" s="510"/>
    </row>
    <row r="32" spans="1:9" ht="15.75" customHeight="1">
      <c r="A32" s="535" t="s">
        <v>182</v>
      </c>
      <c r="B32" s="41" t="s">
        <v>183</v>
      </c>
      <c r="C32" s="42"/>
      <c r="D32" s="42"/>
      <c r="E32" s="42" t="s">
        <v>44</v>
      </c>
      <c r="F32" s="536"/>
      <c r="G32" s="512"/>
      <c r="H32" s="512"/>
      <c r="I32" s="510"/>
    </row>
    <row r="33" spans="1:9" ht="15.75" customHeight="1">
      <c r="A33" s="525"/>
      <c r="B33" s="41" t="s">
        <v>184</v>
      </c>
      <c r="C33" s="42"/>
      <c r="D33" s="42"/>
      <c r="E33" s="42" t="s">
        <v>44</v>
      </c>
      <c r="F33" s="536"/>
      <c r="G33" s="512"/>
      <c r="H33" s="512"/>
      <c r="I33" s="510"/>
    </row>
    <row r="34" spans="1:9" ht="15.75" customHeight="1">
      <c r="A34" s="40" t="s">
        <v>185</v>
      </c>
      <c r="B34" s="41" t="s">
        <v>186</v>
      </c>
      <c r="C34" s="42"/>
      <c r="D34" s="42"/>
      <c r="E34" s="42" t="s">
        <v>44</v>
      </c>
      <c r="F34" s="536"/>
      <c r="G34" s="512"/>
      <c r="H34" s="512"/>
      <c r="I34" s="510"/>
    </row>
    <row r="35" spans="1:9" ht="15.75" customHeight="1">
      <c r="A35" s="535" t="s">
        <v>114</v>
      </c>
      <c r="B35" s="41" t="s">
        <v>187</v>
      </c>
      <c r="C35" s="42"/>
      <c r="D35" s="42"/>
      <c r="E35" s="42" t="s">
        <v>44</v>
      </c>
      <c r="F35" s="536"/>
      <c r="G35" s="512"/>
      <c r="H35" s="512"/>
      <c r="I35" s="510"/>
    </row>
    <row r="36" spans="1:9" ht="15.75" customHeight="1">
      <c r="A36" s="524"/>
      <c r="B36" s="41" t="s">
        <v>188</v>
      </c>
      <c r="C36" s="42"/>
      <c r="D36" s="42" t="s">
        <v>44</v>
      </c>
      <c r="E36" s="42"/>
      <c r="F36" s="536"/>
      <c r="G36" s="512"/>
      <c r="H36" s="512"/>
      <c r="I36" s="510"/>
    </row>
    <row r="37" spans="1:9" ht="15.75" customHeight="1">
      <c r="A37" s="525"/>
      <c r="B37" s="41" t="s">
        <v>189</v>
      </c>
      <c r="C37" s="42" t="s">
        <v>44</v>
      </c>
      <c r="D37" s="42"/>
      <c r="E37" s="43"/>
      <c r="F37" s="536" t="s">
        <v>190</v>
      </c>
      <c r="G37" s="512"/>
      <c r="H37" s="512"/>
      <c r="I37" s="510"/>
    </row>
    <row r="38" spans="1:9" ht="15.75" customHeight="1">
      <c r="A38" s="40" t="s">
        <v>182</v>
      </c>
      <c r="B38" s="41" t="s">
        <v>191</v>
      </c>
      <c r="C38" s="42" t="s">
        <v>44</v>
      </c>
      <c r="D38" s="42"/>
      <c r="E38" s="42"/>
      <c r="F38" s="536"/>
      <c r="G38" s="512"/>
      <c r="H38" s="512"/>
      <c r="I38" s="510"/>
    </row>
    <row r="39" spans="1:9" ht="15.75" customHeight="1">
      <c r="A39" s="40" t="s">
        <v>102</v>
      </c>
      <c r="B39" s="41" t="s">
        <v>192</v>
      </c>
      <c r="C39" s="42" t="s">
        <v>44</v>
      </c>
      <c r="D39" s="42"/>
      <c r="E39" s="43"/>
      <c r="F39" s="536"/>
      <c r="G39" s="512"/>
      <c r="H39" s="512"/>
      <c r="I39" s="510"/>
    </row>
    <row r="40" spans="1:9" ht="15.75" customHeight="1">
      <c r="A40" s="40" t="s">
        <v>182</v>
      </c>
      <c r="B40" s="41" t="s">
        <v>193</v>
      </c>
      <c r="C40" s="42"/>
      <c r="D40" s="42"/>
      <c r="E40" s="42" t="s">
        <v>44</v>
      </c>
      <c r="F40" s="536"/>
      <c r="G40" s="512"/>
      <c r="H40" s="512"/>
      <c r="I40" s="510"/>
    </row>
    <row r="41" spans="1:9" ht="15.75" customHeight="1">
      <c r="A41" s="535" t="s">
        <v>194</v>
      </c>
      <c r="B41" s="41" t="s">
        <v>195</v>
      </c>
      <c r="C41" s="42"/>
      <c r="D41" s="42"/>
      <c r="E41" s="42" t="s">
        <v>44</v>
      </c>
      <c r="F41" s="536"/>
      <c r="G41" s="512"/>
      <c r="H41" s="512"/>
      <c r="I41" s="510"/>
    </row>
    <row r="42" spans="1:9" ht="15.75" customHeight="1">
      <c r="A42" s="525"/>
      <c r="B42" s="41" t="s">
        <v>196</v>
      </c>
      <c r="C42" s="42"/>
      <c r="D42" s="42" t="s">
        <v>44</v>
      </c>
      <c r="E42" s="42"/>
      <c r="F42" s="536"/>
      <c r="G42" s="512"/>
      <c r="H42" s="512"/>
      <c r="I42" s="510"/>
    </row>
    <row r="43" spans="1:9" ht="15.75" customHeight="1">
      <c r="A43" s="535" t="s">
        <v>197</v>
      </c>
      <c r="B43" s="47" t="s">
        <v>198</v>
      </c>
      <c r="C43" s="42" t="s">
        <v>44</v>
      </c>
      <c r="D43" s="42"/>
      <c r="E43" s="42"/>
      <c r="F43" s="536"/>
      <c r="G43" s="512"/>
      <c r="H43" s="512"/>
      <c r="I43" s="510"/>
    </row>
    <row r="44" spans="1:9" ht="15.75" customHeight="1">
      <c r="A44" s="525"/>
      <c r="B44" s="41" t="s">
        <v>199</v>
      </c>
      <c r="C44" s="42" t="s">
        <v>44</v>
      </c>
      <c r="D44" s="42"/>
      <c r="E44" s="42"/>
      <c r="F44" s="536"/>
      <c r="G44" s="512"/>
      <c r="H44" s="512"/>
      <c r="I44" s="510"/>
    </row>
    <row r="45" spans="1:9" ht="40.5" customHeight="1">
      <c r="A45" s="535" t="s">
        <v>182</v>
      </c>
      <c r="B45" s="41" t="s">
        <v>200</v>
      </c>
      <c r="C45" s="42" t="s">
        <v>44</v>
      </c>
      <c r="D45" s="42"/>
      <c r="E45" s="42"/>
      <c r="F45" s="536" t="s">
        <v>201</v>
      </c>
      <c r="G45" s="512"/>
      <c r="H45" s="512"/>
      <c r="I45" s="510"/>
    </row>
    <row r="46" spans="1:9" ht="30" customHeight="1">
      <c r="A46" s="525"/>
      <c r="B46" s="41" t="s">
        <v>202</v>
      </c>
      <c r="C46" s="42" t="s">
        <v>44</v>
      </c>
      <c r="D46" s="42"/>
      <c r="E46" s="42"/>
      <c r="F46" s="536"/>
      <c r="G46" s="512"/>
      <c r="H46" s="512"/>
      <c r="I46" s="510"/>
    </row>
    <row r="47" spans="1:9" ht="15.75" customHeight="1">
      <c r="A47" s="40" t="s">
        <v>197</v>
      </c>
      <c r="B47" s="41" t="s">
        <v>203</v>
      </c>
      <c r="C47" s="42" t="s">
        <v>44</v>
      </c>
      <c r="D47" s="42"/>
      <c r="E47" s="42"/>
      <c r="F47" s="536"/>
      <c r="G47" s="512"/>
      <c r="H47" s="512"/>
      <c r="I47" s="510"/>
    </row>
    <row r="48" spans="1:9" ht="15.75" customHeight="1">
      <c r="A48" s="535" t="s">
        <v>146</v>
      </c>
      <c r="B48" s="41" t="s">
        <v>204</v>
      </c>
      <c r="C48" s="42" t="s">
        <v>44</v>
      </c>
      <c r="D48" s="42"/>
      <c r="E48" s="42"/>
      <c r="F48" s="536"/>
      <c r="G48" s="512"/>
      <c r="H48" s="512"/>
      <c r="I48" s="510"/>
    </row>
    <row r="49" spans="1:9" ht="15.75" customHeight="1">
      <c r="A49" s="525"/>
      <c r="B49" s="41" t="s">
        <v>205</v>
      </c>
      <c r="C49" s="42" t="s">
        <v>44</v>
      </c>
      <c r="D49" s="42"/>
      <c r="E49" s="42"/>
      <c r="F49" s="536"/>
      <c r="G49" s="512"/>
      <c r="H49" s="512"/>
      <c r="I49" s="510"/>
    </row>
    <row r="50" spans="1:9" ht="15.75" customHeight="1">
      <c r="A50" s="40" t="s">
        <v>206</v>
      </c>
      <c r="B50" s="41" t="s">
        <v>207</v>
      </c>
      <c r="C50" s="42" t="s">
        <v>44</v>
      </c>
      <c r="D50" s="42"/>
      <c r="E50" s="42"/>
      <c r="F50" s="536"/>
      <c r="G50" s="512"/>
      <c r="H50" s="512"/>
      <c r="I50" s="510"/>
    </row>
    <row r="51" spans="1:9" ht="15.75" customHeight="1">
      <c r="A51" s="40" t="s">
        <v>208</v>
      </c>
      <c r="B51" s="41" t="s">
        <v>209</v>
      </c>
      <c r="C51" s="42" t="s">
        <v>44</v>
      </c>
      <c r="D51" s="42"/>
      <c r="E51" s="42"/>
      <c r="F51" s="536"/>
      <c r="G51" s="512"/>
      <c r="H51" s="512"/>
      <c r="I51" s="510"/>
    </row>
    <row r="52" spans="1:9" ht="15.75" customHeight="1">
      <c r="A52" s="40" t="s">
        <v>210</v>
      </c>
      <c r="B52" s="48" t="s">
        <v>211</v>
      </c>
      <c r="C52" s="49"/>
      <c r="D52" s="49"/>
      <c r="E52" s="49" t="s">
        <v>44</v>
      </c>
      <c r="F52" s="542"/>
      <c r="G52" s="543"/>
      <c r="H52" s="543"/>
      <c r="I52" s="544"/>
    </row>
    <row r="53" spans="1:9" ht="15.75" customHeight="1">
      <c r="A53" s="40" t="s">
        <v>182</v>
      </c>
      <c r="B53" s="41" t="s">
        <v>212</v>
      </c>
      <c r="C53" s="42" t="s">
        <v>44</v>
      </c>
      <c r="D53" s="42"/>
      <c r="E53" s="43"/>
      <c r="F53" s="536"/>
      <c r="G53" s="512"/>
      <c r="H53" s="512"/>
      <c r="I53" s="510"/>
    </row>
    <row r="54" spans="1:9" ht="15.75" customHeight="1">
      <c r="A54" s="36"/>
      <c r="C54" s="45"/>
      <c r="D54" s="45"/>
      <c r="E54" s="45"/>
      <c r="F54" s="44"/>
      <c r="G54" s="44"/>
      <c r="H54" s="44"/>
      <c r="I54" s="44"/>
    </row>
    <row r="55" spans="1:9" ht="15.75" customHeight="1">
      <c r="A55" s="37" t="s">
        <v>84</v>
      </c>
      <c r="B55" s="46" t="s">
        <v>213</v>
      </c>
      <c r="C55" s="39" t="s">
        <v>86</v>
      </c>
      <c r="D55" s="39" t="s">
        <v>60</v>
      </c>
      <c r="E55" s="39" t="s">
        <v>87</v>
      </c>
      <c r="F55" s="541" t="s">
        <v>88</v>
      </c>
      <c r="G55" s="512"/>
      <c r="H55" s="512"/>
      <c r="I55" s="510"/>
    </row>
    <row r="56" spans="1:9" ht="15.75" customHeight="1">
      <c r="A56" s="535" t="s">
        <v>140</v>
      </c>
      <c r="B56" s="41" t="s">
        <v>214</v>
      </c>
      <c r="C56" s="42" t="s">
        <v>44</v>
      </c>
      <c r="D56" s="42"/>
      <c r="E56" s="42"/>
      <c r="F56" s="536"/>
      <c r="G56" s="512"/>
      <c r="H56" s="512"/>
      <c r="I56" s="510"/>
    </row>
    <row r="57" spans="1:9" ht="15.75" customHeight="1">
      <c r="A57" s="524"/>
      <c r="B57" s="41" t="s">
        <v>215</v>
      </c>
      <c r="C57" s="42"/>
      <c r="D57" s="42"/>
      <c r="E57" s="42" t="s">
        <v>44</v>
      </c>
      <c r="F57" s="536"/>
      <c r="G57" s="512"/>
      <c r="H57" s="512"/>
      <c r="I57" s="510"/>
    </row>
    <row r="58" spans="1:9" ht="15.75" customHeight="1">
      <c r="A58" s="524"/>
      <c r="B58" s="41" t="s">
        <v>216</v>
      </c>
      <c r="C58" s="42"/>
      <c r="D58" s="42"/>
      <c r="E58" s="42"/>
      <c r="F58" s="536" t="s">
        <v>217</v>
      </c>
      <c r="G58" s="512"/>
      <c r="H58" s="512"/>
      <c r="I58" s="510"/>
    </row>
    <row r="59" spans="1:9" ht="15.75" customHeight="1">
      <c r="A59" s="524"/>
      <c r="B59" s="41" t="s">
        <v>218</v>
      </c>
      <c r="C59" s="42"/>
      <c r="D59" s="42"/>
      <c r="E59" s="42"/>
      <c r="F59" s="537" t="s">
        <v>219</v>
      </c>
      <c r="G59" s="512"/>
      <c r="H59" s="512"/>
      <c r="I59" s="510"/>
    </row>
    <row r="60" spans="1:9" ht="15.75" customHeight="1">
      <c r="A60" s="524"/>
      <c r="B60" s="41" t="s">
        <v>220</v>
      </c>
      <c r="C60" s="42" t="s">
        <v>44</v>
      </c>
      <c r="D60" s="42"/>
      <c r="E60" s="43"/>
      <c r="F60" s="536"/>
      <c r="G60" s="512"/>
      <c r="H60" s="512"/>
      <c r="I60" s="510"/>
    </row>
    <row r="61" spans="1:9" ht="15.75" customHeight="1">
      <c r="A61" s="524"/>
      <c r="B61" s="41" t="s">
        <v>221</v>
      </c>
      <c r="C61" s="42" t="s">
        <v>44</v>
      </c>
      <c r="D61" s="42"/>
      <c r="E61" s="43"/>
      <c r="F61" s="536"/>
      <c r="G61" s="512"/>
      <c r="H61" s="512"/>
      <c r="I61" s="510"/>
    </row>
    <row r="62" spans="1:9" ht="15.75" customHeight="1">
      <c r="A62" s="525"/>
      <c r="B62" s="41" t="s">
        <v>222</v>
      </c>
      <c r="C62" s="42" t="s">
        <v>44</v>
      </c>
      <c r="D62" s="42"/>
      <c r="E62" s="42"/>
      <c r="F62" s="536"/>
      <c r="G62" s="512"/>
      <c r="H62" s="512"/>
      <c r="I62" s="510"/>
    </row>
    <row r="63" spans="1:9" ht="15.75" customHeight="1">
      <c r="A63" s="36"/>
    </row>
    <row r="64" spans="1:9" ht="15.75" customHeight="1">
      <c r="A64" s="36"/>
    </row>
    <row r="65" spans="1:1" ht="15.75" customHeight="1">
      <c r="A65" s="36"/>
    </row>
    <row r="66" spans="1:1" ht="15.75" customHeight="1">
      <c r="A66" s="36"/>
    </row>
    <row r="67" spans="1:1" ht="15.75" customHeight="1">
      <c r="A67" s="36"/>
    </row>
    <row r="68" spans="1:1" ht="15.75" customHeight="1">
      <c r="A68" s="36"/>
    </row>
    <row r="69" spans="1:1" ht="15.75" customHeight="1">
      <c r="A69" s="36"/>
    </row>
    <row r="70" spans="1:1" ht="15.75" customHeight="1">
      <c r="A70" s="36"/>
    </row>
    <row r="71" spans="1:1" ht="15.75" customHeight="1">
      <c r="A71" s="36"/>
    </row>
    <row r="72" spans="1:1" ht="15.75" customHeight="1">
      <c r="A72" s="36"/>
    </row>
    <row r="73" spans="1:1" ht="15.75" customHeight="1">
      <c r="A73" s="36"/>
    </row>
    <row r="74" spans="1:1" ht="15.75" customHeight="1">
      <c r="A74" s="36"/>
    </row>
    <row r="75" spans="1:1" ht="15.75" customHeight="1">
      <c r="A75" s="36"/>
    </row>
    <row r="76" spans="1:1" ht="15.75" customHeight="1">
      <c r="A76" s="36"/>
    </row>
    <row r="77" spans="1:1" ht="15.75" customHeight="1">
      <c r="A77" s="36"/>
    </row>
    <row r="78" spans="1:1" ht="15.75" customHeight="1">
      <c r="A78" s="36"/>
    </row>
    <row r="79" spans="1:1" ht="15.75" customHeight="1">
      <c r="A79" s="36"/>
    </row>
    <row r="80" spans="1:1" ht="15.75" customHeight="1">
      <c r="A80" s="36"/>
    </row>
    <row r="81" spans="1:1" ht="15.75" customHeight="1">
      <c r="A81" s="36"/>
    </row>
    <row r="82" spans="1:1" ht="15.75" customHeight="1">
      <c r="A82" s="36"/>
    </row>
    <row r="83" spans="1:1" ht="15.75" customHeight="1">
      <c r="A83" s="36"/>
    </row>
    <row r="84" spans="1:1" ht="15.75" customHeight="1">
      <c r="A84" s="36"/>
    </row>
    <row r="85" spans="1:1" ht="15.75" customHeight="1">
      <c r="A85" s="36"/>
    </row>
    <row r="86" spans="1:1" ht="15.75" customHeight="1">
      <c r="A86" s="36"/>
    </row>
    <row r="87" spans="1:1" ht="15.75" customHeight="1">
      <c r="A87" s="36"/>
    </row>
    <row r="88" spans="1:1" ht="15.75" customHeight="1">
      <c r="A88" s="36"/>
    </row>
    <row r="89" spans="1:1" ht="15.75" customHeight="1">
      <c r="A89" s="36"/>
    </row>
    <row r="90" spans="1:1" ht="15.75" customHeight="1">
      <c r="A90" s="36"/>
    </row>
    <row r="91" spans="1:1" ht="15.75" customHeight="1">
      <c r="A91" s="36"/>
    </row>
    <row r="92" spans="1:1" ht="15.75" customHeight="1">
      <c r="A92" s="36"/>
    </row>
    <row r="93" spans="1:1" ht="15.75" customHeight="1">
      <c r="A93" s="36"/>
    </row>
    <row r="94" spans="1:1" ht="15.75" customHeight="1">
      <c r="A94" s="36"/>
    </row>
    <row r="95" spans="1:1" ht="15.75" customHeight="1">
      <c r="A95" s="36"/>
    </row>
    <row r="96" spans="1:1" ht="15.75" customHeight="1">
      <c r="A96" s="36"/>
    </row>
    <row r="97" spans="1:1" ht="15.75" customHeight="1">
      <c r="A97" s="36"/>
    </row>
    <row r="98" spans="1:1" ht="15.75" customHeight="1">
      <c r="A98" s="36"/>
    </row>
    <row r="99" spans="1:1" ht="15.75" customHeight="1">
      <c r="A99" s="36"/>
    </row>
    <row r="100" spans="1:1" ht="15.75" customHeight="1">
      <c r="A100" s="36"/>
    </row>
  </sheetData>
  <mergeCells count="72">
    <mergeCell ref="F62:I62"/>
    <mergeCell ref="F24:I24"/>
    <mergeCell ref="F25:I25"/>
    <mergeCell ref="F26:I26"/>
    <mergeCell ref="F27:I27"/>
    <mergeCell ref="F28:I28"/>
    <mergeCell ref="F29:I29"/>
    <mergeCell ref="F31:I31"/>
    <mergeCell ref="F49:I49"/>
    <mergeCell ref="F50:I50"/>
    <mergeCell ref="F51:I51"/>
    <mergeCell ref="F52:I52"/>
    <mergeCell ref="F56:I56"/>
    <mergeCell ref="F57:I57"/>
    <mergeCell ref="F61:I61"/>
    <mergeCell ref="F43:I43"/>
    <mergeCell ref="F44:I44"/>
    <mergeCell ref="F45:I45"/>
    <mergeCell ref="F46:I46"/>
    <mergeCell ref="F47:I47"/>
    <mergeCell ref="F48:I48"/>
    <mergeCell ref="F53:I53"/>
    <mergeCell ref="F55:I55"/>
    <mergeCell ref="F58:I58"/>
    <mergeCell ref="F59:I59"/>
    <mergeCell ref="F60:I60"/>
    <mergeCell ref="F40:I40"/>
    <mergeCell ref="F41:I41"/>
    <mergeCell ref="F42:I42"/>
    <mergeCell ref="F22:I22"/>
    <mergeCell ref="F23:I23"/>
    <mergeCell ref="F32:I32"/>
    <mergeCell ref="F33:I33"/>
    <mergeCell ref="F34:I34"/>
    <mergeCell ref="F35:I35"/>
    <mergeCell ref="F36:I36"/>
    <mergeCell ref="F10:I10"/>
    <mergeCell ref="F17:I17"/>
    <mergeCell ref="F37:I37"/>
    <mergeCell ref="F38:I38"/>
    <mergeCell ref="F39:I39"/>
    <mergeCell ref="F15:I15"/>
    <mergeCell ref="F16:I16"/>
    <mergeCell ref="F18:I18"/>
    <mergeCell ref="F19:I19"/>
    <mergeCell ref="F20:I20"/>
    <mergeCell ref="F21:I21"/>
    <mergeCell ref="F6:I6"/>
    <mergeCell ref="F7:I7"/>
    <mergeCell ref="F8:I8"/>
    <mergeCell ref="F9:I9"/>
    <mergeCell ref="A1:I1"/>
    <mergeCell ref="A2:I2"/>
    <mergeCell ref="B3:I3"/>
    <mergeCell ref="F4:I4"/>
    <mergeCell ref="F5:I5"/>
    <mergeCell ref="A32:A33"/>
    <mergeCell ref="A35:A37"/>
    <mergeCell ref="F11:I11"/>
    <mergeCell ref="F12:I12"/>
    <mergeCell ref="F13:I13"/>
    <mergeCell ref="F14:I14"/>
    <mergeCell ref="A12:A17"/>
    <mergeCell ref="A6:A11"/>
    <mergeCell ref="A18:A21"/>
    <mergeCell ref="A22:A26"/>
    <mergeCell ref="A27:A29"/>
    <mergeCell ref="A41:A42"/>
    <mergeCell ref="A43:A44"/>
    <mergeCell ref="A45:A46"/>
    <mergeCell ref="A48:A49"/>
    <mergeCell ref="A56:A62"/>
  </mergeCells>
  <hyperlinks>
    <hyperlink ref="F10" r:id="rId1"/>
    <hyperlink ref="F16" r:id="rId2"/>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2A1C7"/>
  </sheetPr>
  <dimension ref="A1:I100"/>
  <sheetViews>
    <sheetView workbookViewId="0"/>
  </sheetViews>
  <sheetFormatPr baseColWidth="10" defaultColWidth="14.42578125" defaultRowHeight="15" customHeight="1"/>
  <cols>
    <col min="1" max="1" width="17.5703125" customWidth="1"/>
    <col min="2" max="2" width="44.140625" customWidth="1"/>
    <col min="3" max="3" width="10.7109375" customWidth="1"/>
    <col min="4" max="5" width="8.85546875" customWidth="1"/>
    <col min="6" max="8" width="10.7109375" customWidth="1"/>
    <col min="9" max="9" width="38.85546875" customWidth="1"/>
    <col min="10" max="11" width="10.7109375" customWidth="1"/>
  </cols>
  <sheetData>
    <row r="1" spans="1:9" ht="19.5">
      <c r="B1" s="546" t="s">
        <v>34</v>
      </c>
      <c r="C1" s="515"/>
      <c r="D1" s="515"/>
      <c r="E1" s="515"/>
      <c r="F1" s="515"/>
      <c r="G1" s="515"/>
      <c r="H1" s="515"/>
      <c r="I1" s="516"/>
    </row>
    <row r="2" spans="1:9" ht="19.5">
      <c r="B2" s="546" t="s">
        <v>223</v>
      </c>
      <c r="C2" s="515"/>
      <c r="D2" s="515"/>
      <c r="E2" s="515"/>
      <c r="F2" s="515"/>
      <c r="G2" s="515"/>
      <c r="H2" s="515"/>
      <c r="I2" s="516"/>
    </row>
    <row r="3" spans="1:9" ht="19.5">
      <c r="B3" s="547"/>
      <c r="C3" s="507"/>
      <c r="D3" s="507"/>
      <c r="E3" s="507"/>
      <c r="F3" s="507"/>
      <c r="G3" s="507"/>
      <c r="H3" s="507"/>
      <c r="I3" s="548"/>
    </row>
    <row r="4" spans="1:9" ht="30">
      <c r="A4" s="50" t="s">
        <v>84</v>
      </c>
      <c r="B4" s="51" t="s">
        <v>224</v>
      </c>
      <c r="C4" s="52" t="s">
        <v>86</v>
      </c>
      <c r="D4" s="52" t="s">
        <v>60</v>
      </c>
      <c r="E4" s="52" t="s">
        <v>87</v>
      </c>
      <c r="F4" s="549" t="s">
        <v>88</v>
      </c>
      <c r="G4" s="512"/>
      <c r="H4" s="512"/>
      <c r="I4" s="510"/>
    </row>
    <row r="5" spans="1:9">
      <c r="A5" s="550" t="s">
        <v>225</v>
      </c>
      <c r="B5" s="53" t="s">
        <v>226</v>
      </c>
      <c r="C5" s="54"/>
      <c r="D5" s="54"/>
      <c r="E5" s="55"/>
      <c r="F5" s="545" t="s">
        <v>227</v>
      </c>
      <c r="G5" s="512"/>
      <c r="H5" s="512"/>
      <c r="I5" s="510"/>
    </row>
    <row r="6" spans="1:9" ht="45">
      <c r="A6" s="524"/>
      <c r="B6" s="56" t="s">
        <v>228</v>
      </c>
      <c r="C6" s="54"/>
      <c r="D6" s="54" t="s">
        <v>44</v>
      </c>
      <c r="E6" s="55"/>
      <c r="F6" s="545"/>
      <c r="G6" s="512"/>
      <c r="H6" s="512"/>
      <c r="I6" s="510"/>
    </row>
    <row r="7" spans="1:9" ht="60">
      <c r="A7" s="524"/>
      <c r="B7" s="56" t="s">
        <v>229</v>
      </c>
      <c r="C7" s="54"/>
      <c r="D7" s="54"/>
      <c r="E7" s="55" t="s">
        <v>44</v>
      </c>
      <c r="F7" s="545"/>
      <c r="G7" s="512"/>
      <c r="H7" s="512"/>
      <c r="I7" s="510"/>
    </row>
    <row r="8" spans="1:9" ht="45">
      <c r="A8" s="524"/>
      <c r="B8" s="56" t="s">
        <v>230</v>
      </c>
      <c r="C8" s="54"/>
      <c r="D8" s="54" t="s">
        <v>44</v>
      </c>
      <c r="E8" s="55"/>
      <c r="F8" s="545"/>
      <c r="G8" s="512"/>
      <c r="H8" s="512"/>
      <c r="I8" s="510"/>
    </row>
    <row r="9" spans="1:9" ht="45">
      <c r="A9" s="524"/>
      <c r="B9" s="56" t="s">
        <v>231</v>
      </c>
      <c r="C9" s="54"/>
      <c r="D9" s="54" t="s">
        <v>44</v>
      </c>
      <c r="E9" s="55"/>
      <c r="F9" s="545"/>
      <c r="G9" s="512"/>
      <c r="H9" s="512"/>
      <c r="I9" s="510"/>
    </row>
    <row r="10" spans="1:9" ht="30">
      <c r="A10" s="524"/>
      <c r="B10" s="56" t="s">
        <v>232</v>
      </c>
      <c r="C10" s="54"/>
      <c r="D10" s="54" t="s">
        <v>44</v>
      </c>
      <c r="E10" s="55"/>
      <c r="F10" s="545"/>
      <c r="G10" s="512"/>
      <c r="H10" s="512"/>
      <c r="I10" s="510"/>
    </row>
    <row r="11" spans="1:9" ht="30">
      <c r="A11" s="524"/>
      <c r="B11" s="56" t="s">
        <v>233</v>
      </c>
      <c r="C11" s="54"/>
      <c r="D11" s="54" t="s">
        <v>44</v>
      </c>
      <c r="E11" s="55"/>
      <c r="F11" s="545"/>
      <c r="G11" s="512"/>
      <c r="H11" s="512"/>
      <c r="I11" s="510"/>
    </row>
    <row r="12" spans="1:9" ht="30">
      <c r="A12" s="524"/>
      <c r="B12" s="56" t="s">
        <v>234</v>
      </c>
      <c r="C12" s="54"/>
      <c r="D12" s="54" t="s">
        <v>44</v>
      </c>
      <c r="E12" s="55"/>
      <c r="F12" s="545"/>
      <c r="G12" s="512"/>
      <c r="H12" s="512"/>
      <c r="I12" s="510"/>
    </row>
    <row r="13" spans="1:9" ht="45">
      <c r="A13" s="524"/>
      <c r="B13" s="56" t="s">
        <v>235</v>
      </c>
      <c r="C13" s="54"/>
      <c r="D13" s="54" t="s">
        <v>44</v>
      </c>
      <c r="E13" s="55"/>
      <c r="F13" s="545"/>
      <c r="G13" s="512"/>
      <c r="H13" s="512"/>
      <c r="I13" s="510"/>
    </row>
    <row r="14" spans="1:9">
      <c r="A14" s="524"/>
      <c r="B14" s="56" t="s">
        <v>236</v>
      </c>
      <c r="C14" s="54"/>
      <c r="D14" s="54" t="s">
        <v>44</v>
      </c>
      <c r="E14" s="55"/>
      <c r="F14" s="545"/>
      <c r="G14" s="512"/>
      <c r="H14" s="512"/>
      <c r="I14" s="510"/>
    </row>
    <row r="15" spans="1:9" ht="30">
      <c r="A15" s="524"/>
      <c r="B15" s="56" t="s">
        <v>237</v>
      </c>
      <c r="C15" s="54"/>
      <c r="D15" s="54" t="s">
        <v>44</v>
      </c>
      <c r="E15" s="55"/>
      <c r="F15" s="545"/>
      <c r="G15" s="512"/>
      <c r="H15" s="512"/>
      <c r="I15" s="510"/>
    </row>
    <row r="16" spans="1:9" ht="45">
      <c r="A16" s="524"/>
      <c r="B16" s="56" t="s">
        <v>238</v>
      </c>
      <c r="C16" s="54" t="s">
        <v>44</v>
      </c>
      <c r="D16" s="54"/>
      <c r="E16" s="55"/>
      <c r="F16" s="545"/>
      <c r="G16" s="512"/>
      <c r="H16" s="512"/>
      <c r="I16" s="510"/>
    </row>
    <row r="17" spans="1:9" ht="45">
      <c r="A17" s="524"/>
      <c r="B17" s="56" t="s">
        <v>239</v>
      </c>
      <c r="C17" s="54"/>
      <c r="D17" s="54" t="s">
        <v>44</v>
      </c>
      <c r="E17" s="55"/>
      <c r="F17" s="545"/>
      <c r="G17" s="512"/>
      <c r="H17" s="512"/>
      <c r="I17" s="510"/>
    </row>
    <row r="18" spans="1:9" ht="45">
      <c r="A18" s="524"/>
      <c r="B18" s="56" t="s">
        <v>240</v>
      </c>
      <c r="C18" s="54"/>
      <c r="D18" s="54"/>
      <c r="E18" s="55" t="s">
        <v>44</v>
      </c>
      <c r="F18" s="545"/>
      <c r="G18" s="512"/>
      <c r="H18" s="512"/>
      <c r="I18" s="510"/>
    </row>
    <row r="19" spans="1:9">
      <c r="A19" s="524"/>
      <c r="B19" s="56" t="s">
        <v>241</v>
      </c>
      <c r="C19" s="54"/>
      <c r="D19" s="54"/>
      <c r="E19" s="55" t="s">
        <v>44</v>
      </c>
      <c r="F19" s="545"/>
      <c r="G19" s="512"/>
      <c r="H19" s="512"/>
      <c r="I19" s="510"/>
    </row>
    <row r="20" spans="1:9" ht="30">
      <c r="A20" s="524"/>
      <c r="B20" s="56" t="s">
        <v>242</v>
      </c>
      <c r="C20" s="54"/>
      <c r="D20" s="54"/>
      <c r="E20" s="55" t="s">
        <v>44</v>
      </c>
      <c r="F20" s="545"/>
      <c r="G20" s="512"/>
      <c r="H20" s="512"/>
      <c r="I20" s="510"/>
    </row>
    <row r="21" spans="1:9" ht="15.75" customHeight="1">
      <c r="A21" s="524"/>
      <c r="B21" s="56" t="s">
        <v>243</v>
      </c>
      <c r="C21" s="54"/>
      <c r="D21" s="54" t="s">
        <v>44</v>
      </c>
      <c r="E21" s="55"/>
      <c r="F21" s="545"/>
      <c r="G21" s="512"/>
      <c r="H21" s="512"/>
      <c r="I21" s="510"/>
    </row>
    <row r="22" spans="1:9" ht="15.75" customHeight="1">
      <c r="A22" s="524"/>
      <c r="B22" s="56" t="s">
        <v>244</v>
      </c>
      <c r="C22" s="54"/>
      <c r="D22" s="54" t="s">
        <v>44</v>
      </c>
      <c r="E22" s="55"/>
      <c r="F22" s="545"/>
      <c r="G22" s="512"/>
      <c r="H22" s="512"/>
      <c r="I22" s="510"/>
    </row>
    <row r="23" spans="1:9" ht="15.75" customHeight="1">
      <c r="A23" s="524"/>
      <c r="B23" s="56" t="s">
        <v>245</v>
      </c>
      <c r="C23" s="54"/>
      <c r="D23" s="54"/>
      <c r="E23" s="55" t="s">
        <v>44</v>
      </c>
      <c r="F23" s="545"/>
      <c r="G23" s="512"/>
      <c r="H23" s="512"/>
      <c r="I23" s="510"/>
    </row>
    <row r="24" spans="1:9" ht="15.75" customHeight="1">
      <c r="A24" s="524"/>
      <c r="B24" s="56" t="s">
        <v>246</v>
      </c>
      <c r="C24" s="54"/>
      <c r="D24" s="54"/>
      <c r="E24" s="55" t="s">
        <v>44</v>
      </c>
      <c r="F24" s="545"/>
      <c r="G24" s="512"/>
      <c r="H24" s="512"/>
      <c r="I24" s="510"/>
    </row>
    <row r="25" spans="1:9" ht="15.75" customHeight="1">
      <c r="A25" s="524"/>
      <c r="B25" s="56" t="s">
        <v>247</v>
      </c>
      <c r="C25" s="54" t="s">
        <v>44</v>
      </c>
      <c r="D25" s="54"/>
      <c r="E25" s="55"/>
      <c r="F25" s="545"/>
      <c r="G25" s="512"/>
      <c r="H25" s="512"/>
      <c r="I25" s="510"/>
    </row>
    <row r="26" spans="1:9" ht="15.75" customHeight="1">
      <c r="A26" s="524"/>
      <c r="B26" s="56" t="s">
        <v>248</v>
      </c>
      <c r="C26" s="54" t="s">
        <v>44</v>
      </c>
      <c r="D26" s="54"/>
      <c r="E26" s="55"/>
      <c r="F26" s="545"/>
      <c r="G26" s="512"/>
      <c r="H26" s="512"/>
      <c r="I26" s="510"/>
    </row>
    <row r="27" spans="1:9" ht="15.75" customHeight="1">
      <c r="A27" s="524"/>
      <c r="B27" s="56" t="s">
        <v>249</v>
      </c>
      <c r="C27" s="54"/>
      <c r="D27" s="54" t="s">
        <v>44</v>
      </c>
      <c r="E27" s="55"/>
      <c r="F27" s="545"/>
      <c r="G27" s="512"/>
      <c r="H27" s="512"/>
      <c r="I27" s="510"/>
    </row>
    <row r="28" spans="1:9" ht="15.75" customHeight="1">
      <c r="A28" s="524"/>
      <c r="B28" s="56" t="s">
        <v>250</v>
      </c>
      <c r="C28" s="54"/>
      <c r="D28" s="54" t="s">
        <v>44</v>
      </c>
      <c r="E28" s="55"/>
      <c r="F28" s="545"/>
      <c r="G28" s="512"/>
      <c r="H28" s="512"/>
      <c r="I28" s="510"/>
    </row>
    <row r="29" spans="1:9" ht="15.75" customHeight="1">
      <c r="A29" s="525"/>
      <c r="B29" s="56" t="s">
        <v>251</v>
      </c>
      <c r="C29" s="54"/>
      <c r="D29" s="54" t="s">
        <v>44</v>
      </c>
      <c r="E29" s="55"/>
      <c r="F29" s="545"/>
      <c r="G29" s="512"/>
      <c r="H29" s="512"/>
      <c r="I29" s="510"/>
    </row>
    <row r="30" spans="1:9" ht="15.75" customHeight="1">
      <c r="B30" s="57"/>
      <c r="C30" s="58"/>
      <c r="D30" s="58"/>
      <c r="E30" s="58"/>
      <c r="F30" s="59"/>
      <c r="G30" s="59"/>
      <c r="H30" s="59"/>
      <c r="I30" s="59"/>
    </row>
    <row r="31" spans="1:9" ht="15.75" customHeight="1">
      <c r="A31" s="50" t="s">
        <v>84</v>
      </c>
      <c r="B31" s="51" t="s">
        <v>252</v>
      </c>
      <c r="C31" s="60" t="s">
        <v>86</v>
      </c>
      <c r="D31" s="60" t="s">
        <v>60</v>
      </c>
      <c r="E31" s="60" t="s">
        <v>87</v>
      </c>
      <c r="F31" s="551" t="s">
        <v>88</v>
      </c>
      <c r="G31" s="512"/>
      <c r="H31" s="512"/>
      <c r="I31" s="510"/>
    </row>
    <row r="32" spans="1:9" ht="15.75" customHeight="1">
      <c r="A32" s="552" t="s">
        <v>225</v>
      </c>
      <c r="B32" s="56" t="s">
        <v>253</v>
      </c>
      <c r="C32" s="54"/>
      <c r="D32" s="54" t="s">
        <v>44</v>
      </c>
      <c r="E32" s="55"/>
      <c r="F32" s="545"/>
      <c r="G32" s="512"/>
      <c r="H32" s="512"/>
      <c r="I32" s="510"/>
    </row>
    <row r="33" spans="1:9" ht="15.75" customHeight="1">
      <c r="A33" s="525"/>
      <c r="B33" s="56" t="s">
        <v>254</v>
      </c>
      <c r="C33" s="54"/>
      <c r="D33" s="54" t="s">
        <v>44</v>
      </c>
      <c r="E33" s="55"/>
      <c r="F33" s="545"/>
      <c r="G33" s="512"/>
      <c r="H33" s="512"/>
      <c r="I33" s="510"/>
    </row>
    <row r="34" spans="1:9" ht="15.75" customHeight="1">
      <c r="A34" s="552"/>
      <c r="B34" s="56" t="s">
        <v>255</v>
      </c>
      <c r="C34" s="54" t="s">
        <v>44</v>
      </c>
      <c r="D34" s="54"/>
      <c r="E34" s="55"/>
      <c r="F34" s="545"/>
      <c r="G34" s="512"/>
      <c r="H34" s="512"/>
      <c r="I34" s="510"/>
    </row>
    <row r="35" spans="1:9" ht="15.75" customHeight="1">
      <c r="A35" s="524"/>
      <c r="B35" s="56" t="s">
        <v>256</v>
      </c>
      <c r="C35" s="54"/>
      <c r="D35" s="54"/>
      <c r="E35" s="55" t="s">
        <v>44</v>
      </c>
      <c r="F35" s="545"/>
      <c r="G35" s="512"/>
      <c r="H35" s="512"/>
      <c r="I35" s="510"/>
    </row>
    <row r="36" spans="1:9" ht="15.75" customHeight="1">
      <c r="A36" s="524"/>
      <c r="B36" s="56" t="s">
        <v>257</v>
      </c>
      <c r="C36" s="54" t="s">
        <v>44</v>
      </c>
      <c r="D36" s="54"/>
      <c r="E36" s="55"/>
      <c r="F36" s="545"/>
      <c r="G36" s="512"/>
      <c r="H36" s="512"/>
      <c r="I36" s="510"/>
    </row>
    <row r="37" spans="1:9" ht="15.75" customHeight="1">
      <c r="A37" s="524"/>
      <c r="B37" s="56" t="s">
        <v>258</v>
      </c>
      <c r="C37" s="54" t="s">
        <v>44</v>
      </c>
      <c r="D37" s="54"/>
      <c r="E37" s="55"/>
      <c r="F37" s="545"/>
      <c r="G37" s="512"/>
      <c r="H37" s="512"/>
      <c r="I37" s="510"/>
    </row>
    <row r="38" spans="1:9" ht="15.75" customHeight="1">
      <c r="A38" s="525"/>
      <c r="B38" s="56" t="s">
        <v>259</v>
      </c>
      <c r="C38" s="54"/>
      <c r="D38" s="54"/>
      <c r="E38" s="55" t="s">
        <v>44</v>
      </c>
      <c r="F38" s="545"/>
      <c r="G38" s="512"/>
      <c r="H38" s="512"/>
      <c r="I38" s="510"/>
    </row>
    <row r="39" spans="1:9" ht="15.75" customHeight="1">
      <c r="B39" s="61"/>
      <c r="C39" s="58"/>
      <c r="D39" s="58"/>
      <c r="E39" s="58"/>
      <c r="F39" s="59"/>
      <c r="G39" s="59"/>
      <c r="H39" s="59"/>
      <c r="I39" s="59"/>
    </row>
    <row r="40" spans="1:9" ht="15.75" customHeight="1">
      <c r="A40" s="50" t="s">
        <v>84</v>
      </c>
      <c r="B40" s="51" t="s">
        <v>260</v>
      </c>
      <c r="C40" s="60" t="s">
        <v>86</v>
      </c>
      <c r="D40" s="60" t="s">
        <v>60</v>
      </c>
      <c r="E40" s="60" t="s">
        <v>87</v>
      </c>
      <c r="F40" s="551" t="s">
        <v>88</v>
      </c>
      <c r="G40" s="512"/>
      <c r="H40" s="512"/>
      <c r="I40" s="510"/>
    </row>
    <row r="41" spans="1:9" ht="15.75" customHeight="1">
      <c r="A41" s="550" t="s">
        <v>225</v>
      </c>
      <c r="B41" s="62" t="s">
        <v>261</v>
      </c>
      <c r="C41" s="54"/>
      <c r="D41" s="54" t="s">
        <v>44</v>
      </c>
      <c r="E41" s="55"/>
      <c r="F41" s="545"/>
      <c r="G41" s="512"/>
      <c r="H41" s="512"/>
      <c r="I41" s="510"/>
    </row>
    <row r="42" spans="1:9" ht="15.75" customHeight="1">
      <c r="A42" s="524"/>
      <c r="B42" s="62" t="s">
        <v>262</v>
      </c>
      <c r="C42" s="54"/>
      <c r="D42" s="54" t="s">
        <v>44</v>
      </c>
      <c r="E42" s="55"/>
      <c r="F42" s="545"/>
      <c r="G42" s="512"/>
      <c r="H42" s="512"/>
      <c r="I42" s="510"/>
    </row>
    <row r="43" spans="1:9" ht="15.75" customHeight="1">
      <c r="A43" s="524"/>
      <c r="B43" s="62" t="s">
        <v>263</v>
      </c>
      <c r="C43" s="54"/>
      <c r="D43" s="54"/>
      <c r="E43" s="55" t="s">
        <v>44</v>
      </c>
      <c r="F43" s="545"/>
      <c r="G43" s="512"/>
      <c r="H43" s="512"/>
      <c r="I43" s="510"/>
    </row>
    <row r="44" spans="1:9" ht="15.75" customHeight="1">
      <c r="A44" s="524"/>
      <c r="B44" s="62" t="s">
        <v>264</v>
      </c>
      <c r="C44" s="54"/>
      <c r="D44" s="54" t="s">
        <v>44</v>
      </c>
      <c r="E44" s="55"/>
      <c r="F44" s="545"/>
      <c r="G44" s="512"/>
      <c r="H44" s="512"/>
      <c r="I44" s="510"/>
    </row>
    <row r="45" spans="1:9" ht="15.75" customHeight="1">
      <c r="A45" s="524"/>
      <c r="B45" s="62" t="s">
        <v>265</v>
      </c>
      <c r="C45" s="54"/>
      <c r="D45" s="54" t="s">
        <v>44</v>
      </c>
      <c r="E45" s="55"/>
      <c r="F45" s="545"/>
      <c r="G45" s="512"/>
      <c r="H45" s="512"/>
      <c r="I45" s="510"/>
    </row>
    <row r="46" spans="1:9" ht="15.75" customHeight="1">
      <c r="A46" s="525"/>
      <c r="B46" s="62" t="s">
        <v>266</v>
      </c>
      <c r="C46" s="54"/>
      <c r="D46" s="54" t="s">
        <v>44</v>
      </c>
      <c r="E46" s="55"/>
      <c r="F46" s="545"/>
      <c r="G46" s="512"/>
      <c r="H46" s="512"/>
      <c r="I46" s="510"/>
    </row>
    <row r="47" spans="1:9" ht="15.75" customHeight="1">
      <c r="B47" s="57"/>
      <c r="C47" s="58"/>
      <c r="D47" s="58"/>
      <c r="E47" s="58"/>
      <c r="F47" s="59"/>
      <c r="G47" s="59"/>
      <c r="H47" s="59"/>
      <c r="I47" s="59"/>
    </row>
    <row r="48" spans="1:9" ht="15.75" customHeight="1">
      <c r="A48" s="50" t="s">
        <v>84</v>
      </c>
      <c r="B48" s="51" t="s">
        <v>267</v>
      </c>
      <c r="C48" s="60" t="s">
        <v>86</v>
      </c>
      <c r="D48" s="60" t="s">
        <v>60</v>
      </c>
      <c r="E48" s="60" t="s">
        <v>87</v>
      </c>
      <c r="F48" s="551" t="s">
        <v>88</v>
      </c>
      <c r="G48" s="512"/>
      <c r="H48" s="512"/>
      <c r="I48" s="510"/>
    </row>
    <row r="49" spans="1:9" ht="15.75" customHeight="1">
      <c r="A49" s="550" t="s">
        <v>225</v>
      </c>
      <c r="B49" s="62" t="s">
        <v>268</v>
      </c>
      <c r="C49" s="54"/>
      <c r="D49" s="54"/>
      <c r="E49" s="54" t="s">
        <v>44</v>
      </c>
      <c r="F49" s="545" t="s">
        <v>269</v>
      </c>
      <c r="G49" s="512"/>
      <c r="H49" s="512"/>
      <c r="I49" s="510"/>
    </row>
    <row r="50" spans="1:9" ht="15.75" customHeight="1">
      <c r="A50" s="524"/>
      <c r="B50" s="62" t="s">
        <v>270</v>
      </c>
      <c r="C50" s="54"/>
      <c r="D50" s="54" t="s">
        <v>44</v>
      </c>
      <c r="E50" s="54"/>
      <c r="F50" s="545"/>
      <c r="G50" s="512"/>
      <c r="H50" s="512"/>
      <c r="I50" s="510"/>
    </row>
    <row r="51" spans="1:9" ht="15.75" customHeight="1">
      <c r="A51" s="525"/>
      <c r="B51" s="62" t="s">
        <v>271</v>
      </c>
      <c r="C51" s="54"/>
      <c r="D51" s="54" t="s">
        <v>44</v>
      </c>
      <c r="E51" s="54"/>
      <c r="F51" s="545"/>
      <c r="G51" s="512"/>
      <c r="H51" s="512"/>
      <c r="I51" s="510"/>
    </row>
    <row r="52" spans="1:9" ht="15.75" customHeight="1">
      <c r="B52" s="57"/>
      <c r="C52" s="58"/>
      <c r="D52" s="58"/>
      <c r="E52" s="58"/>
      <c r="F52" s="59"/>
      <c r="G52" s="59"/>
      <c r="H52" s="59"/>
      <c r="I52" s="59"/>
    </row>
    <row r="53" spans="1:9" ht="15.75" customHeight="1">
      <c r="A53" s="50" t="s">
        <v>84</v>
      </c>
      <c r="B53" s="51" t="s">
        <v>272</v>
      </c>
      <c r="C53" s="60" t="s">
        <v>86</v>
      </c>
      <c r="D53" s="60" t="s">
        <v>60</v>
      </c>
      <c r="E53" s="60" t="s">
        <v>87</v>
      </c>
      <c r="F53" s="551" t="s">
        <v>88</v>
      </c>
      <c r="G53" s="512"/>
      <c r="H53" s="512"/>
      <c r="I53" s="510"/>
    </row>
    <row r="54" spans="1:9" ht="15.75" customHeight="1">
      <c r="A54" s="550" t="s">
        <v>137</v>
      </c>
      <c r="B54" s="62" t="s">
        <v>273</v>
      </c>
      <c r="C54" s="54" t="s">
        <v>44</v>
      </c>
      <c r="D54" s="54"/>
      <c r="E54" s="54"/>
      <c r="F54" s="545"/>
      <c r="G54" s="512"/>
      <c r="H54" s="512"/>
      <c r="I54" s="510"/>
    </row>
    <row r="55" spans="1:9" ht="15.75" customHeight="1">
      <c r="A55" s="524"/>
      <c r="B55" s="62" t="s">
        <v>274</v>
      </c>
      <c r="C55" s="54"/>
      <c r="D55" s="54" t="s">
        <v>44</v>
      </c>
      <c r="E55" s="54"/>
      <c r="F55" s="545"/>
      <c r="G55" s="512"/>
      <c r="H55" s="512"/>
      <c r="I55" s="510"/>
    </row>
    <row r="56" spans="1:9" ht="15.75" customHeight="1">
      <c r="A56" s="524"/>
      <c r="B56" s="62" t="s">
        <v>275</v>
      </c>
      <c r="C56" s="54" t="s">
        <v>44</v>
      </c>
      <c r="D56" s="54"/>
      <c r="E56" s="54"/>
      <c r="F56" s="545"/>
      <c r="G56" s="512"/>
      <c r="H56" s="512"/>
      <c r="I56" s="510"/>
    </row>
    <row r="57" spans="1:9" ht="15.75" customHeight="1">
      <c r="A57" s="524"/>
      <c r="B57" s="62" t="s">
        <v>276</v>
      </c>
      <c r="C57" s="54"/>
      <c r="D57" s="54" t="s">
        <v>44</v>
      </c>
      <c r="E57" s="54"/>
      <c r="F57" s="545"/>
      <c r="G57" s="512"/>
      <c r="H57" s="512"/>
      <c r="I57" s="510"/>
    </row>
    <row r="58" spans="1:9" ht="15.75" customHeight="1">
      <c r="A58" s="524"/>
      <c r="B58" s="62" t="s">
        <v>277</v>
      </c>
      <c r="C58" s="54"/>
      <c r="D58" s="54" t="s">
        <v>44</v>
      </c>
      <c r="E58" s="54"/>
      <c r="F58" s="545"/>
      <c r="G58" s="512"/>
      <c r="H58" s="512"/>
      <c r="I58" s="510"/>
    </row>
    <row r="59" spans="1:9" ht="15.75" customHeight="1">
      <c r="A59" s="524"/>
      <c r="B59" s="62" t="s">
        <v>278</v>
      </c>
      <c r="C59" s="54"/>
      <c r="D59" s="54" t="s">
        <v>44</v>
      </c>
      <c r="E59" s="54"/>
      <c r="F59" s="545"/>
      <c r="G59" s="512"/>
      <c r="H59" s="512"/>
      <c r="I59" s="510"/>
    </row>
    <row r="60" spans="1:9" ht="15.75" customHeight="1">
      <c r="A60" s="524"/>
      <c r="B60" s="62" t="s">
        <v>279</v>
      </c>
      <c r="C60" s="54"/>
      <c r="D60" s="54"/>
      <c r="E60" s="54" t="s">
        <v>44</v>
      </c>
      <c r="F60" s="545"/>
      <c r="G60" s="512"/>
      <c r="H60" s="512"/>
      <c r="I60" s="510"/>
    </row>
    <row r="61" spans="1:9" ht="15.75" customHeight="1">
      <c r="A61" s="524"/>
      <c r="B61" s="62" t="s">
        <v>280</v>
      </c>
      <c r="C61" s="54"/>
      <c r="D61" s="54" t="s">
        <v>44</v>
      </c>
      <c r="E61" s="54"/>
      <c r="F61" s="545"/>
      <c r="G61" s="512"/>
      <c r="H61" s="512"/>
      <c r="I61" s="510"/>
    </row>
    <row r="62" spans="1:9" ht="15.75" customHeight="1">
      <c r="A62" s="525"/>
      <c r="B62" s="62" t="s">
        <v>281</v>
      </c>
      <c r="C62" s="54" t="s">
        <v>44</v>
      </c>
      <c r="D62" s="54"/>
      <c r="E62" s="54"/>
      <c r="F62" s="545"/>
      <c r="G62" s="512"/>
      <c r="H62" s="512"/>
      <c r="I62" s="510"/>
    </row>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4">
    <mergeCell ref="F53:I53"/>
    <mergeCell ref="F40:I40"/>
    <mergeCell ref="F48:I48"/>
    <mergeCell ref="F54:I54"/>
    <mergeCell ref="F55:I55"/>
    <mergeCell ref="F7:I7"/>
    <mergeCell ref="F8:I8"/>
    <mergeCell ref="F9:I9"/>
    <mergeCell ref="F10:I10"/>
    <mergeCell ref="F11:I11"/>
    <mergeCell ref="F12:I12"/>
    <mergeCell ref="F20:I20"/>
    <mergeCell ref="F21:I21"/>
    <mergeCell ref="F22:I22"/>
    <mergeCell ref="F23:I23"/>
    <mergeCell ref="F33:I33"/>
    <mergeCell ref="F34:I34"/>
    <mergeCell ref="F35:I35"/>
    <mergeCell ref="F36:I36"/>
    <mergeCell ref="A54:A62"/>
    <mergeCell ref="F27:I27"/>
    <mergeCell ref="F28:I28"/>
    <mergeCell ref="F29:I29"/>
    <mergeCell ref="F31:I31"/>
    <mergeCell ref="A32:A33"/>
    <mergeCell ref="A34:A38"/>
    <mergeCell ref="F46:I46"/>
    <mergeCell ref="F56:I56"/>
    <mergeCell ref="F57:I57"/>
    <mergeCell ref="F58:I58"/>
    <mergeCell ref="F59:I59"/>
    <mergeCell ref="F60:I60"/>
    <mergeCell ref="F61:I61"/>
    <mergeCell ref="F62:I62"/>
    <mergeCell ref="F44:I44"/>
    <mergeCell ref="F41:I41"/>
    <mergeCell ref="F42:I42"/>
    <mergeCell ref="F43:I43"/>
    <mergeCell ref="A41:A46"/>
    <mergeCell ref="A49:A51"/>
    <mergeCell ref="F45:I45"/>
    <mergeCell ref="F49:I49"/>
    <mergeCell ref="F50:I50"/>
    <mergeCell ref="F51:I51"/>
    <mergeCell ref="F6:I6"/>
    <mergeCell ref="A5:A29"/>
    <mergeCell ref="F37:I37"/>
    <mergeCell ref="F38:I38"/>
    <mergeCell ref="F32:I32"/>
    <mergeCell ref="B1:I1"/>
    <mergeCell ref="B2:I2"/>
    <mergeCell ref="B3:I3"/>
    <mergeCell ref="F4:I4"/>
    <mergeCell ref="F5:I5"/>
    <mergeCell ref="F24:I24"/>
    <mergeCell ref="F25:I25"/>
    <mergeCell ref="F13:I13"/>
    <mergeCell ref="F14:I14"/>
    <mergeCell ref="F26:I26"/>
    <mergeCell ref="F16:I16"/>
    <mergeCell ref="F17:I17"/>
    <mergeCell ref="F18:I18"/>
    <mergeCell ref="F19:I19"/>
    <mergeCell ref="F15:I1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T727"/>
  <sheetViews>
    <sheetView workbookViewId="0"/>
  </sheetViews>
  <sheetFormatPr baseColWidth="10" defaultColWidth="14.42578125" defaultRowHeight="15" customHeight="1"/>
  <cols>
    <col min="1" max="1" width="6.140625" customWidth="1"/>
    <col min="2" max="2" width="44.7109375" customWidth="1"/>
    <col min="3" max="52" width="5.7109375" customWidth="1"/>
    <col min="53" max="54" width="3.7109375" customWidth="1"/>
    <col min="55" max="72" width="10.7109375" customWidth="1"/>
  </cols>
  <sheetData>
    <row r="1" spans="1:54" ht="15" customHeight="1">
      <c r="A1" s="594" t="s">
        <v>282</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512"/>
      <c r="AD1" s="512"/>
      <c r="AE1" s="512"/>
      <c r="AF1" s="512"/>
      <c r="AG1" s="512"/>
      <c r="AH1" s="512"/>
      <c r="AI1" s="512"/>
      <c r="AJ1" s="512"/>
      <c r="AK1" s="512"/>
      <c r="AL1" s="512"/>
      <c r="AM1" s="512"/>
      <c r="AN1" s="512"/>
      <c r="AO1" s="512"/>
      <c r="AP1" s="512"/>
      <c r="AQ1" s="512"/>
      <c r="AR1" s="512"/>
      <c r="AS1" s="512"/>
      <c r="AT1" s="512"/>
      <c r="AU1" s="512"/>
      <c r="AV1" s="512"/>
      <c r="AW1" s="512"/>
      <c r="AX1" s="512"/>
      <c r="AY1" s="512"/>
      <c r="AZ1" s="512"/>
      <c r="BA1" s="512"/>
      <c r="BB1" s="595"/>
    </row>
    <row r="2" spans="1:54" ht="15" customHeight="1">
      <c r="A2" s="594" t="s">
        <v>283</v>
      </c>
      <c r="B2" s="512"/>
      <c r="C2" s="512"/>
      <c r="D2" s="512"/>
      <c r="E2" s="512"/>
      <c r="F2" s="512"/>
      <c r="G2" s="512"/>
      <c r="H2" s="512"/>
      <c r="I2" s="512"/>
      <c r="J2" s="512"/>
      <c r="K2" s="512"/>
      <c r="L2" s="512"/>
      <c r="M2" s="512"/>
      <c r="N2" s="512"/>
      <c r="O2" s="512"/>
      <c r="P2" s="512"/>
      <c r="Q2" s="512"/>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95"/>
    </row>
    <row r="3" spans="1:54" ht="15" customHeight="1">
      <c r="A3" s="592" t="s">
        <v>284</v>
      </c>
      <c r="B3" s="510"/>
      <c r="C3" s="593" t="s">
        <v>285</v>
      </c>
      <c r="D3" s="512"/>
      <c r="E3" s="512"/>
      <c r="F3" s="512"/>
      <c r="G3" s="512"/>
      <c r="H3" s="512"/>
      <c r="I3" s="512"/>
      <c r="J3" s="512"/>
      <c r="K3" s="512"/>
      <c r="L3" s="512"/>
      <c r="M3" s="512"/>
      <c r="N3" s="512"/>
      <c r="O3" s="512"/>
      <c r="P3" s="512"/>
      <c r="Q3" s="512"/>
      <c r="R3" s="512"/>
      <c r="S3" s="512"/>
      <c r="T3" s="512"/>
      <c r="U3" s="512"/>
      <c r="V3" s="512"/>
      <c r="W3" s="512"/>
      <c r="X3" s="512"/>
      <c r="Y3" s="512"/>
      <c r="Z3" s="512"/>
      <c r="AA3" s="512"/>
      <c r="AB3" s="512"/>
      <c r="AC3" s="512"/>
      <c r="AD3" s="512"/>
      <c r="AE3" s="512"/>
      <c r="AF3" s="512"/>
      <c r="AG3" s="512"/>
      <c r="AH3" s="512"/>
      <c r="AI3" s="512"/>
      <c r="AJ3" s="512"/>
      <c r="AK3" s="512"/>
      <c r="AL3" s="512"/>
      <c r="AM3" s="512"/>
      <c r="AN3" s="512"/>
      <c r="AO3" s="512"/>
      <c r="AP3" s="512"/>
      <c r="AQ3" s="512"/>
      <c r="AR3" s="512"/>
      <c r="AS3" s="512"/>
      <c r="AT3" s="512"/>
      <c r="AU3" s="512"/>
      <c r="AV3" s="512"/>
      <c r="AW3" s="512"/>
      <c r="AX3" s="512"/>
      <c r="AY3" s="512"/>
      <c r="AZ3" s="512"/>
      <c r="BA3" s="512"/>
      <c r="BB3" s="512"/>
    </row>
    <row r="4" spans="1:54" ht="15" customHeight="1">
      <c r="A4" s="592" t="s">
        <v>286</v>
      </c>
      <c r="B4" s="510"/>
      <c r="C4" s="593" t="s">
        <v>287</v>
      </c>
      <c r="D4" s="512"/>
      <c r="E4" s="512"/>
      <c r="F4" s="512"/>
      <c r="G4" s="512"/>
      <c r="H4" s="512"/>
      <c r="I4" s="512"/>
      <c r="J4" s="512"/>
      <c r="K4" s="512"/>
      <c r="L4" s="512"/>
      <c r="M4" s="512"/>
      <c r="N4" s="512"/>
      <c r="O4" s="512"/>
      <c r="P4" s="512"/>
      <c r="Q4" s="512"/>
      <c r="R4" s="512"/>
      <c r="S4" s="512"/>
      <c r="T4" s="512"/>
      <c r="U4" s="512"/>
      <c r="V4" s="512"/>
      <c r="W4" s="512"/>
      <c r="X4" s="512"/>
      <c r="Y4" s="512"/>
      <c r="Z4" s="512"/>
      <c r="AA4" s="512"/>
      <c r="AB4" s="512"/>
      <c r="AC4" s="512"/>
      <c r="AD4" s="512"/>
      <c r="AE4" s="512"/>
      <c r="AF4" s="512"/>
      <c r="AG4" s="512"/>
      <c r="AH4" s="512"/>
      <c r="AI4" s="512"/>
      <c r="AJ4" s="512"/>
      <c r="AK4" s="512"/>
      <c r="AL4" s="512"/>
      <c r="AM4" s="512"/>
      <c r="AN4" s="512"/>
      <c r="AO4" s="512"/>
      <c r="AP4" s="512"/>
      <c r="AQ4" s="512"/>
      <c r="AR4" s="512"/>
      <c r="AS4" s="512"/>
      <c r="AT4" s="512"/>
      <c r="AU4" s="512"/>
      <c r="AV4" s="512"/>
      <c r="AW4" s="512"/>
      <c r="AX4" s="512"/>
      <c r="AY4" s="512"/>
      <c r="AZ4" s="512"/>
      <c r="BA4" s="512"/>
      <c r="BB4" s="512"/>
    </row>
    <row r="5" spans="1:54" ht="15" customHeight="1">
      <c r="A5" s="589" t="s">
        <v>288</v>
      </c>
      <c r="B5" s="590"/>
      <c r="C5" s="593" t="s">
        <v>289</v>
      </c>
      <c r="D5" s="512"/>
      <c r="E5" s="512"/>
      <c r="F5" s="512"/>
      <c r="G5" s="512"/>
      <c r="H5" s="512"/>
      <c r="I5" s="512"/>
      <c r="J5" s="512"/>
      <c r="K5" s="512"/>
      <c r="L5" s="512"/>
      <c r="M5" s="512"/>
      <c r="N5" s="512"/>
      <c r="O5" s="512"/>
      <c r="P5" s="512"/>
      <c r="Q5" s="512"/>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row>
    <row r="6" spans="1:54" ht="15" customHeight="1">
      <c r="A6" s="594" t="s">
        <v>290</v>
      </c>
      <c r="B6" s="512"/>
      <c r="C6" s="512"/>
      <c r="D6" s="512"/>
      <c r="E6" s="512"/>
      <c r="F6" s="512"/>
      <c r="G6" s="512"/>
      <c r="H6" s="512"/>
      <c r="I6" s="512"/>
      <c r="J6" s="512"/>
      <c r="K6" s="512"/>
      <c r="L6" s="512"/>
      <c r="M6" s="512"/>
      <c r="N6" s="512"/>
      <c r="O6" s="512"/>
      <c r="P6" s="512"/>
      <c r="Q6" s="512"/>
      <c r="R6" s="512"/>
      <c r="S6" s="512"/>
      <c r="T6" s="512"/>
      <c r="U6" s="512"/>
      <c r="V6" s="512"/>
      <c r="W6" s="512"/>
      <c r="X6" s="512"/>
      <c r="Y6" s="512"/>
      <c r="Z6" s="512"/>
      <c r="AA6" s="512"/>
      <c r="AB6" s="512"/>
      <c r="AC6" s="512"/>
      <c r="AD6" s="512"/>
      <c r="AE6" s="512"/>
      <c r="AF6" s="512"/>
      <c r="AG6" s="512"/>
      <c r="AH6" s="512"/>
      <c r="AI6" s="512"/>
      <c r="AJ6" s="512"/>
      <c r="AK6" s="512"/>
      <c r="AL6" s="512"/>
      <c r="AM6" s="512"/>
      <c r="AN6" s="512"/>
      <c r="AO6" s="512"/>
      <c r="AP6" s="512"/>
      <c r="AQ6" s="512"/>
      <c r="AR6" s="512"/>
      <c r="AS6" s="512"/>
      <c r="AT6" s="512"/>
      <c r="AU6" s="512"/>
      <c r="AV6" s="512"/>
      <c r="AW6" s="512"/>
      <c r="AX6" s="512"/>
      <c r="AY6" s="512"/>
      <c r="AZ6" s="512"/>
      <c r="BA6" s="512"/>
      <c r="BB6" s="595"/>
    </row>
    <row r="7" spans="1:54" ht="15" customHeight="1">
      <c r="A7" s="596" t="s">
        <v>291</v>
      </c>
      <c r="B7" s="580"/>
      <c r="C7" s="580"/>
      <c r="D7" s="580"/>
      <c r="E7" s="580"/>
      <c r="F7" s="580"/>
      <c r="G7" s="580"/>
      <c r="H7" s="580"/>
      <c r="I7" s="580"/>
      <c r="J7" s="580"/>
      <c r="K7" s="580"/>
      <c r="L7" s="580"/>
      <c r="M7" s="580"/>
      <c r="N7" s="580"/>
      <c r="O7" s="580"/>
      <c r="P7" s="580"/>
      <c r="Q7" s="580"/>
      <c r="R7" s="580"/>
      <c r="S7" s="580"/>
      <c r="T7" s="580"/>
      <c r="U7" s="580"/>
      <c r="V7" s="580"/>
      <c r="W7" s="580"/>
      <c r="X7" s="580"/>
      <c r="Y7" s="580"/>
      <c r="Z7" s="580"/>
      <c r="AA7" s="580"/>
      <c r="AB7" s="580"/>
      <c r="AC7" s="580"/>
      <c r="AD7" s="580"/>
      <c r="AE7" s="580"/>
      <c r="AF7" s="580"/>
      <c r="AG7" s="580"/>
      <c r="AH7" s="580"/>
      <c r="AI7" s="580"/>
      <c r="AJ7" s="580"/>
      <c r="AK7" s="580"/>
      <c r="AL7" s="580"/>
      <c r="AM7" s="580"/>
      <c r="AN7" s="580"/>
      <c r="AO7" s="580"/>
      <c r="AP7" s="580"/>
      <c r="AQ7" s="580"/>
      <c r="AR7" s="580"/>
      <c r="AS7" s="580"/>
      <c r="AT7" s="580"/>
      <c r="AU7" s="580"/>
      <c r="AV7" s="580"/>
      <c r="AW7" s="580"/>
      <c r="AX7" s="580"/>
      <c r="AY7" s="580"/>
      <c r="AZ7" s="580"/>
      <c r="BA7" s="580"/>
      <c r="BB7" s="597"/>
    </row>
    <row r="8" spans="1:54">
      <c r="A8" s="598"/>
      <c r="B8" s="599"/>
      <c r="C8" s="599"/>
      <c r="D8" s="599"/>
      <c r="E8" s="599"/>
      <c r="F8" s="599"/>
      <c r="G8" s="599"/>
      <c r="H8" s="599"/>
      <c r="I8" s="599"/>
      <c r="J8" s="599"/>
      <c r="K8" s="599"/>
      <c r="L8" s="599"/>
      <c r="M8" s="599"/>
      <c r="N8" s="599"/>
      <c r="O8" s="599"/>
      <c r="P8" s="599"/>
      <c r="Q8" s="599"/>
      <c r="R8" s="599"/>
      <c r="S8" s="599"/>
      <c r="T8" s="599"/>
      <c r="U8" s="599"/>
      <c r="V8" s="599"/>
      <c r="W8" s="599"/>
      <c r="X8" s="599"/>
      <c r="Y8" s="599"/>
      <c r="Z8" s="599"/>
      <c r="AA8" s="599"/>
      <c r="AB8" s="599"/>
      <c r="AC8" s="599"/>
      <c r="AD8" s="599"/>
      <c r="AE8" s="599"/>
      <c r="AF8" s="599"/>
      <c r="AG8" s="599"/>
      <c r="AH8" s="599"/>
      <c r="AI8" s="599"/>
      <c r="AJ8" s="599"/>
      <c r="AK8" s="599"/>
      <c r="AL8" s="599"/>
      <c r="AM8" s="599"/>
      <c r="AN8" s="599"/>
      <c r="AO8" s="599"/>
      <c r="AP8" s="599"/>
      <c r="AQ8" s="599"/>
      <c r="AR8" s="599"/>
      <c r="AS8" s="599"/>
      <c r="AT8" s="599"/>
      <c r="AU8" s="599"/>
      <c r="AV8" s="599"/>
      <c r="AW8" s="599"/>
      <c r="AX8" s="599"/>
      <c r="AY8" s="599"/>
      <c r="AZ8" s="599"/>
      <c r="BA8" s="599"/>
      <c r="BB8" s="600"/>
    </row>
    <row r="9" spans="1:54" ht="15" customHeight="1">
      <c r="A9" s="601" t="s">
        <v>292</v>
      </c>
      <c r="B9" s="507"/>
      <c r="C9" s="507"/>
      <c r="D9" s="508"/>
      <c r="E9" s="63"/>
      <c r="F9" s="64"/>
      <c r="G9" s="64"/>
      <c r="H9" s="64"/>
      <c r="I9" s="64"/>
      <c r="J9" s="64"/>
      <c r="K9" s="64"/>
      <c r="L9" s="64"/>
      <c r="M9" s="64"/>
      <c r="N9" s="64"/>
      <c r="O9" s="64"/>
      <c r="P9" s="64"/>
      <c r="Q9" s="64"/>
      <c r="R9" s="64"/>
      <c r="S9" s="64"/>
      <c r="T9" s="64"/>
      <c r="U9" s="64"/>
      <c r="V9" s="64"/>
      <c r="W9" s="64"/>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6"/>
    </row>
    <row r="10" spans="1:54">
      <c r="A10" s="67" t="s">
        <v>293</v>
      </c>
      <c r="B10" s="588" t="s">
        <v>294</v>
      </c>
      <c r="C10" s="512"/>
      <c r="D10" s="510"/>
      <c r="E10" s="63"/>
      <c r="F10" s="64"/>
      <c r="G10" s="64"/>
      <c r="H10" s="64"/>
      <c r="I10" s="64"/>
      <c r="J10" s="64"/>
      <c r="K10" s="64"/>
      <c r="L10" s="64"/>
      <c r="M10" s="64"/>
      <c r="N10" s="64"/>
      <c r="O10" s="64"/>
      <c r="P10" s="64"/>
      <c r="Q10" s="64"/>
      <c r="R10" s="64"/>
      <c r="S10" s="64"/>
      <c r="T10" s="64"/>
      <c r="U10" s="64"/>
      <c r="V10" s="64"/>
      <c r="W10" s="64"/>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6"/>
    </row>
    <row r="11" spans="1:54">
      <c r="A11" s="67" t="s">
        <v>295</v>
      </c>
      <c r="B11" s="588" t="s">
        <v>296</v>
      </c>
      <c r="C11" s="512"/>
      <c r="D11" s="510"/>
      <c r="E11" s="63"/>
      <c r="F11" s="64"/>
      <c r="G11" s="64"/>
      <c r="H11" s="64"/>
      <c r="I11" s="64"/>
      <c r="J11" s="64"/>
      <c r="K11" s="64"/>
      <c r="L11" s="64"/>
      <c r="M11" s="64"/>
      <c r="N11" s="64"/>
      <c r="O11" s="64"/>
      <c r="P11" s="64"/>
      <c r="Q11" s="64"/>
      <c r="R11" s="64"/>
      <c r="S11" s="64"/>
      <c r="T11" s="64"/>
      <c r="U11" s="64"/>
      <c r="V11" s="64"/>
      <c r="W11" s="64"/>
      <c r="X11" s="64"/>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6"/>
    </row>
    <row r="12" spans="1:54" ht="20.25" customHeight="1">
      <c r="A12" s="584" t="s">
        <v>297</v>
      </c>
      <c r="B12" s="570" t="s">
        <v>298</v>
      </c>
      <c r="C12" s="583" t="s">
        <v>299</v>
      </c>
      <c r="D12" s="510"/>
      <c r="E12" s="63"/>
      <c r="F12" s="64"/>
      <c r="G12" s="64"/>
      <c r="H12" s="64"/>
      <c r="I12" s="64"/>
      <c r="J12" s="64"/>
      <c r="K12" s="64"/>
      <c r="L12" s="64"/>
      <c r="M12" s="64"/>
      <c r="N12" s="64"/>
      <c r="O12" s="64"/>
      <c r="P12" s="64"/>
      <c r="Q12" s="64"/>
      <c r="R12" s="64"/>
      <c r="S12" s="64"/>
      <c r="T12" s="64"/>
      <c r="U12" s="64"/>
      <c r="V12" s="64"/>
      <c r="W12" s="64"/>
      <c r="X12" s="64"/>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6"/>
    </row>
    <row r="13" spans="1:54" ht="20.25" customHeight="1">
      <c r="A13" s="524"/>
      <c r="B13" s="525"/>
      <c r="C13" s="69" t="s">
        <v>300</v>
      </c>
      <c r="D13" s="69" t="s">
        <v>301</v>
      </c>
      <c r="E13" s="70"/>
      <c r="F13" s="64"/>
      <c r="G13" s="64"/>
      <c r="H13" s="64"/>
      <c r="I13" s="64"/>
      <c r="J13" s="64"/>
      <c r="K13" s="64"/>
      <c r="L13" s="64"/>
      <c r="M13" s="64"/>
      <c r="N13" s="64"/>
      <c r="O13" s="64"/>
      <c r="P13" s="64"/>
      <c r="Q13" s="64"/>
      <c r="R13" s="64"/>
      <c r="S13" s="64"/>
      <c r="T13" s="64"/>
      <c r="U13" s="64"/>
      <c r="V13" s="64"/>
      <c r="W13" s="64"/>
      <c r="X13" s="64"/>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6"/>
    </row>
    <row r="14" spans="1:54">
      <c r="A14" s="524"/>
      <c r="B14" s="71" t="s">
        <v>302</v>
      </c>
      <c r="C14" s="556">
        <v>1</v>
      </c>
      <c r="D14" s="510"/>
      <c r="E14" s="72"/>
      <c r="F14" s="72"/>
      <c r="G14" s="72"/>
      <c r="H14" s="72"/>
      <c r="I14" s="72"/>
      <c r="J14" s="72"/>
      <c r="K14" s="72"/>
      <c r="L14" s="72"/>
      <c r="M14" s="72"/>
      <c r="N14" s="72"/>
      <c r="O14" s="72"/>
      <c r="P14" s="72"/>
      <c r="Q14" s="72"/>
      <c r="R14" s="72"/>
      <c r="S14" s="72"/>
      <c r="T14" s="72"/>
      <c r="U14" s="72"/>
      <c r="V14" s="72"/>
      <c r="W14" s="72"/>
      <c r="X14" s="72"/>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6"/>
    </row>
    <row r="15" spans="1:54">
      <c r="A15" s="524"/>
      <c r="B15" s="71" t="s">
        <v>303</v>
      </c>
      <c r="C15" s="556">
        <v>0</v>
      </c>
      <c r="D15" s="510"/>
      <c r="E15" s="72"/>
      <c r="F15" s="72"/>
      <c r="G15" s="72"/>
      <c r="H15" s="72"/>
      <c r="I15" s="72"/>
      <c r="J15" s="72"/>
      <c r="K15" s="72"/>
      <c r="L15" s="72"/>
      <c r="M15" s="72"/>
      <c r="N15" s="72"/>
      <c r="O15" s="72"/>
      <c r="P15" s="72"/>
      <c r="Q15" s="72"/>
      <c r="R15" s="72"/>
      <c r="S15" s="72"/>
      <c r="T15" s="72"/>
      <c r="U15" s="72"/>
      <c r="V15" s="72"/>
      <c r="W15" s="72"/>
      <c r="X15" s="72"/>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6"/>
    </row>
    <row r="16" spans="1:54">
      <c r="A16" s="524"/>
      <c r="B16" s="71" t="s">
        <v>304</v>
      </c>
      <c r="C16" s="556">
        <v>0</v>
      </c>
      <c r="D16" s="510"/>
      <c r="E16" s="72"/>
      <c r="F16" s="72"/>
      <c r="G16" s="72"/>
      <c r="H16" s="72"/>
      <c r="I16" s="72"/>
      <c r="J16" s="72"/>
      <c r="K16" s="72"/>
      <c r="L16" s="72"/>
      <c r="M16" s="72"/>
      <c r="N16" s="72"/>
      <c r="O16" s="72"/>
      <c r="P16" s="72"/>
      <c r="Q16" s="72"/>
      <c r="R16" s="72"/>
      <c r="S16" s="72"/>
      <c r="T16" s="72"/>
      <c r="U16" s="72"/>
      <c r="V16" s="72"/>
      <c r="W16" s="72"/>
      <c r="X16" s="72"/>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6"/>
    </row>
    <row r="17" spans="1:51">
      <c r="A17" s="524"/>
      <c r="B17" s="71" t="s">
        <v>305</v>
      </c>
      <c r="C17" s="556">
        <v>0</v>
      </c>
      <c r="D17" s="510"/>
      <c r="E17" s="72"/>
      <c r="F17" s="72"/>
      <c r="G17" s="72"/>
      <c r="H17" s="72"/>
      <c r="I17" s="72"/>
      <c r="J17" s="72"/>
      <c r="K17" s="72"/>
      <c r="L17" s="72"/>
      <c r="M17" s="72"/>
      <c r="N17" s="72"/>
      <c r="O17" s="72"/>
      <c r="P17" s="72"/>
      <c r="Q17" s="72"/>
      <c r="R17" s="72"/>
      <c r="S17" s="72"/>
      <c r="T17" s="72"/>
      <c r="U17" s="72"/>
      <c r="V17" s="72"/>
      <c r="W17" s="72"/>
      <c r="X17" s="72"/>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6"/>
    </row>
    <row r="18" spans="1:51">
      <c r="A18" s="524"/>
      <c r="B18" s="71" t="s">
        <v>306</v>
      </c>
      <c r="C18" s="579">
        <v>0</v>
      </c>
      <c r="D18" s="590"/>
      <c r="E18" s="72"/>
      <c r="F18" s="72"/>
      <c r="G18" s="72"/>
      <c r="H18" s="72"/>
      <c r="I18" s="72"/>
      <c r="J18" s="72"/>
      <c r="K18" s="72"/>
      <c r="L18" s="72"/>
      <c r="M18" s="72"/>
      <c r="N18" s="72"/>
      <c r="O18" s="72"/>
      <c r="P18" s="72"/>
      <c r="Q18" s="72"/>
      <c r="R18" s="72"/>
      <c r="S18" s="72"/>
      <c r="T18" s="72"/>
      <c r="U18" s="72"/>
      <c r="V18" s="72"/>
      <c r="W18" s="72"/>
      <c r="X18" s="72"/>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6"/>
    </row>
    <row r="19" spans="1:51">
      <c r="A19" s="525"/>
      <c r="B19" s="73" t="s">
        <v>307</v>
      </c>
      <c r="C19" s="74" t="s">
        <v>308</v>
      </c>
      <c r="D19" s="75"/>
      <c r="E19" s="75"/>
      <c r="F19" s="75"/>
      <c r="G19" s="75"/>
      <c r="H19" s="75"/>
      <c r="I19" s="75"/>
      <c r="J19" s="75"/>
      <c r="K19" s="75"/>
      <c r="L19" s="75"/>
      <c r="M19" s="75"/>
      <c r="N19" s="75"/>
      <c r="O19" s="75"/>
      <c r="P19" s="75"/>
      <c r="Q19" s="75"/>
      <c r="R19" s="75"/>
      <c r="S19" s="75"/>
      <c r="T19" s="75"/>
      <c r="U19" s="75"/>
      <c r="V19" s="75"/>
      <c r="W19" s="75"/>
      <c r="X19" s="7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6"/>
    </row>
    <row r="20" spans="1:51" ht="38.25" customHeight="1">
      <c r="A20" s="584" t="s">
        <v>309</v>
      </c>
      <c r="B20" s="76" t="s">
        <v>310</v>
      </c>
      <c r="C20" s="591"/>
      <c r="D20" s="512"/>
      <c r="E20" s="512"/>
      <c r="F20" s="512"/>
      <c r="G20" s="512"/>
      <c r="H20" s="512"/>
      <c r="I20" s="512"/>
      <c r="J20" s="510"/>
      <c r="K20" s="72"/>
      <c r="L20" s="72"/>
      <c r="M20" s="72"/>
      <c r="N20" s="72"/>
      <c r="O20" s="72"/>
      <c r="P20" s="72"/>
      <c r="Q20" s="72"/>
      <c r="R20" s="72"/>
      <c r="S20" s="72"/>
      <c r="T20" s="72"/>
      <c r="U20" s="72"/>
      <c r="V20" s="72"/>
      <c r="W20" s="72"/>
      <c r="X20" s="72"/>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6"/>
    </row>
    <row r="21" spans="1:51" ht="15.75" customHeight="1">
      <c r="A21" s="525"/>
      <c r="B21" s="77" t="s">
        <v>307</v>
      </c>
      <c r="C21" s="74"/>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65"/>
      <c r="AE21" s="65"/>
      <c r="AF21" s="65"/>
      <c r="AG21" s="65"/>
      <c r="AH21" s="65"/>
      <c r="AI21" s="65"/>
      <c r="AJ21" s="65"/>
      <c r="AK21" s="65"/>
      <c r="AL21" s="65"/>
      <c r="AM21" s="65"/>
      <c r="AN21" s="65"/>
      <c r="AO21" s="65"/>
      <c r="AP21" s="65"/>
      <c r="AQ21" s="65"/>
      <c r="AR21" s="65"/>
      <c r="AS21" s="65"/>
      <c r="AT21" s="65"/>
      <c r="AU21" s="65"/>
      <c r="AV21" s="65"/>
      <c r="AW21" s="65"/>
      <c r="AX21" s="65"/>
      <c r="AY21" s="66"/>
    </row>
    <row r="22" spans="1:51" ht="25.5" customHeight="1">
      <c r="A22" s="584" t="s">
        <v>311</v>
      </c>
      <c r="B22" s="78" t="s">
        <v>312</v>
      </c>
      <c r="C22" s="591">
        <v>0</v>
      </c>
      <c r="D22" s="512"/>
      <c r="E22" s="512"/>
      <c r="F22" s="512"/>
      <c r="G22" s="512"/>
      <c r="H22" s="512"/>
      <c r="I22" s="512"/>
      <c r="J22" s="510"/>
      <c r="K22" s="72"/>
      <c r="L22" s="72"/>
      <c r="M22" s="72"/>
      <c r="N22" s="72"/>
      <c r="O22" s="72"/>
      <c r="P22" s="72"/>
      <c r="Q22" s="72"/>
      <c r="R22" s="72"/>
      <c r="S22" s="72"/>
      <c r="T22" s="72"/>
      <c r="U22" s="72"/>
      <c r="V22" s="72"/>
      <c r="W22" s="72"/>
      <c r="X22" s="72"/>
      <c r="Y22" s="72"/>
      <c r="Z22" s="72"/>
      <c r="AA22" s="72"/>
      <c r="AB22" s="72"/>
      <c r="AC22" s="72"/>
      <c r="AD22" s="65"/>
      <c r="AE22" s="65"/>
      <c r="AF22" s="65"/>
      <c r="AG22" s="65"/>
      <c r="AH22" s="65"/>
      <c r="AI22" s="65"/>
      <c r="AJ22" s="65"/>
      <c r="AK22" s="65"/>
      <c r="AL22" s="65"/>
      <c r="AM22" s="65"/>
      <c r="AN22" s="65"/>
      <c r="AO22" s="65"/>
      <c r="AP22" s="65"/>
      <c r="AQ22" s="65"/>
      <c r="AR22" s="65"/>
      <c r="AS22" s="65"/>
      <c r="AT22" s="65"/>
      <c r="AU22" s="65"/>
      <c r="AV22" s="65"/>
      <c r="AW22" s="65"/>
      <c r="AX22" s="65"/>
      <c r="AY22" s="66"/>
    </row>
    <row r="23" spans="1:51" ht="15.75" customHeight="1">
      <c r="A23" s="525"/>
      <c r="B23" s="77" t="s">
        <v>307</v>
      </c>
      <c r="C23" s="74" t="s">
        <v>313</v>
      </c>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65"/>
      <c r="AE23" s="65"/>
      <c r="AF23" s="65"/>
      <c r="AG23" s="65"/>
      <c r="AH23" s="65"/>
      <c r="AI23" s="65"/>
      <c r="AJ23" s="65"/>
      <c r="AK23" s="65"/>
      <c r="AL23" s="65"/>
      <c r="AM23" s="65"/>
      <c r="AN23" s="65"/>
      <c r="AO23" s="65"/>
      <c r="AP23" s="65"/>
      <c r="AQ23" s="65"/>
      <c r="AR23" s="65"/>
      <c r="AS23" s="65"/>
      <c r="AT23" s="65"/>
      <c r="AU23" s="65"/>
      <c r="AV23" s="65"/>
      <c r="AW23" s="65"/>
      <c r="AX23" s="65"/>
      <c r="AY23" s="66"/>
    </row>
    <row r="24" spans="1:51" ht="15" customHeight="1">
      <c r="A24" s="584" t="s">
        <v>314</v>
      </c>
      <c r="B24" s="570" t="s">
        <v>315</v>
      </c>
      <c r="C24" s="583" t="s">
        <v>316</v>
      </c>
      <c r="D24" s="512"/>
      <c r="E24" s="512"/>
      <c r="F24" s="510"/>
      <c r="G24" s="583" t="s">
        <v>317</v>
      </c>
      <c r="H24" s="512"/>
      <c r="I24" s="512"/>
      <c r="J24" s="510"/>
      <c r="K24" s="64"/>
      <c r="L24" s="64"/>
      <c r="M24" s="64"/>
      <c r="N24" s="64"/>
      <c r="O24" s="64"/>
      <c r="P24" s="64"/>
      <c r="Q24" s="64"/>
      <c r="R24" s="64"/>
      <c r="S24" s="64"/>
      <c r="T24" s="64"/>
      <c r="U24" s="64"/>
      <c r="V24" s="64"/>
      <c r="W24" s="64"/>
      <c r="X24" s="64"/>
      <c r="Y24" s="64"/>
      <c r="Z24" s="64"/>
      <c r="AA24" s="64"/>
      <c r="AB24" s="64"/>
      <c r="AC24" s="64"/>
      <c r="AD24" s="65"/>
      <c r="AE24" s="65"/>
      <c r="AF24" s="65"/>
      <c r="AG24" s="65"/>
      <c r="AH24" s="65"/>
      <c r="AI24" s="65"/>
      <c r="AJ24" s="65"/>
      <c r="AK24" s="65"/>
      <c r="AL24" s="65"/>
      <c r="AM24" s="65"/>
      <c r="AN24" s="65"/>
      <c r="AO24" s="65"/>
      <c r="AP24" s="65"/>
      <c r="AQ24" s="65"/>
      <c r="AR24" s="65"/>
      <c r="AS24" s="65"/>
      <c r="AT24" s="65"/>
      <c r="AU24" s="65"/>
      <c r="AV24" s="65"/>
      <c r="AW24" s="65"/>
      <c r="AX24" s="65"/>
      <c r="AY24" s="66"/>
    </row>
    <row r="25" spans="1:51" ht="15" customHeight="1">
      <c r="A25" s="524"/>
      <c r="B25" s="525"/>
      <c r="C25" s="583" t="s">
        <v>300</v>
      </c>
      <c r="D25" s="510"/>
      <c r="E25" s="583" t="s">
        <v>301</v>
      </c>
      <c r="F25" s="510"/>
      <c r="G25" s="583" t="s">
        <v>300</v>
      </c>
      <c r="H25" s="510"/>
      <c r="I25" s="583" t="s">
        <v>301</v>
      </c>
      <c r="J25" s="510"/>
      <c r="K25" s="64"/>
      <c r="L25" s="64"/>
      <c r="M25" s="64"/>
      <c r="N25" s="64"/>
      <c r="O25" s="64"/>
      <c r="P25" s="64"/>
      <c r="Q25" s="64"/>
      <c r="R25" s="64"/>
      <c r="S25" s="64"/>
      <c r="T25" s="64"/>
      <c r="U25" s="64"/>
      <c r="V25" s="64"/>
      <c r="W25" s="64"/>
      <c r="X25" s="64"/>
      <c r="Y25" s="64"/>
      <c r="Z25" s="64"/>
      <c r="AA25" s="64"/>
      <c r="AB25" s="70"/>
      <c r="AC25" s="64"/>
      <c r="AD25" s="65"/>
      <c r="AE25" s="65"/>
      <c r="AF25" s="65"/>
      <c r="AG25" s="65"/>
      <c r="AH25" s="65"/>
      <c r="AI25" s="65"/>
      <c r="AJ25" s="65"/>
      <c r="AK25" s="65"/>
      <c r="AL25" s="65"/>
      <c r="AM25" s="65"/>
      <c r="AN25" s="65"/>
      <c r="AO25" s="65"/>
      <c r="AP25" s="65"/>
      <c r="AQ25" s="65"/>
      <c r="AR25" s="65"/>
      <c r="AS25" s="65"/>
      <c r="AT25" s="65"/>
      <c r="AU25" s="65"/>
      <c r="AV25" s="65"/>
      <c r="AW25" s="65"/>
      <c r="AX25" s="65"/>
      <c r="AY25" s="66"/>
    </row>
    <row r="26" spans="1:51" ht="15.75" customHeight="1">
      <c r="A26" s="524"/>
      <c r="B26" s="71" t="s">
        <v>318</v>
      </c>
      <c r="C26" s="556">
        <v>1</v>
      </c>
      <c r="D26" s="512"/>
      <c r="E26" s="512"/>
      <c r="F26" s="510"/>
      <c r="G26" s="556">
        <v>1</v>
      </c>
      <c r="H26" s="512"/>
      <c r="I26" s="512"/>
      <c r="J26" s="510"/>
      <c r="K26" s="72"/>
      <c r="L26" s="72"/>
      <c r="M26" s="72"/>
      <c r="N26" s="72"/>
      <c r="O26" s="72"/>
      <c r="P26" s="72"/>
      <c r="Q26" s="72"/>
      <c r="R26" s="72"/>
      <c r="S26" s="72"/>
      <c r="T26" s="72"/>
      <c r="U26" s="72"/>
      <c r="V26" s="72"/>
      <c r="W26" s="72"/>
      <c r="X26" s="72"/>
      <c r="Y26" s="72"/>
      <c r="Z26" s="72"/>
      <c r="AA26" s="72"/>
      <c r="AB26" s="72"/>
      <c r="AC26" s="72"/>
      <c r="AD26" s="65"/>
      <c r="AE26" s="65"/>
      <c r="AF26" s="65"/>
      <c r="AG26" s="65"/>
      <c r="AH26" s="65"/>
      <c r="AI26" s="65"/>
      <c r="AJ26" s="65"/>
      <c r="AK26" s="65"/>
      <c r="AL26" s="65"/>
      <c r="AM26" s="65"/>
      <c r="AN26" s="65"/>
      <c r="AO26" s="65"/>
      <c r="AP26" s="65"/>
      <c r="AQ26" s="65"/>
      <c r="AR26" s="65"/>
      <c r="AS26" s="65"/>
      <c r="AT26" s="65"/>
      <c r="AU26" s="65"/>
      <c r="AV26" s="65"/>
      <c r="AW26" s="65"/>
      <c r="AX26" s="65"/>
      <c r="AY26" s="66"/>
    </row>
    <row r="27" spans="1:51" ht="15.75" customHeight="1">
      <c r="A27" s="524"/>
      <c r="B27" s="73" t="s">
        <v>307</v>
      </c>
      <c r="C27" s="74"/>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65"/>
      <c r="AE27" s="65"/>
      <c r="AF27" s="65"/>
      <c r="AG27" s="65"/>
      <c r="AH27" s="65"/>
      <c r="AI27" s="65"/>
      <c r="AJ27" s="65"/>
      <c r="AK27" s="65"/>
      <c r="AL27" s="65"/>
      <c r="AM27" s="65"/>
      <c r="AN27" s="65"/>
      <c r="AO27" s="65"/>
      <c r="AP27" s="65"/>
      <c r="AQ27" s="65"/>
      <c r="AR27" s="65"/>
      <c r="AS27" s="65"/>
      <c r="AT27" s="65"/>
      <c r="AU27" s="65"/>
      <c r="AV27" s="65"/>
      <c r="AW27" s="65"/>
      <c r="AX27" s="65"/>
      <c r="AY27" s="66"/>
    </row>
    <row r="28" spans="1:51" ht="15.75" customHeight="1">
      <c r="A28" s="524"/>
      <c r="B28" s="71" t="s">
        <v>319</v>
      </c>
      <c r="C28" s="556">
        <v>0</v>
      </c>
      <c r="D28" s="512"/>
      <c r="E28" s="512"/>
      <c r="F28" s="510"/>
      <c r="G28" s="556">
        <v>1</v>
      </c>
      <c r="H28" s="512"/>
      <c r="I28" s="512"/>
      <c r="J28" s="510"/>
      <c r="K28" s="72"/>
      <c r="L28" s="72"/>
      <c r="M28" s="72"/>
      <c r="N28" s="72"/>
      <c r="O28" s="72"/>
      <c r="P28" s="72"/>
      <c r="Q28" s="72"/>
      <c r="R28" s="72"/>
      <c r="S28" s="72"/>
      <c r="T28" s="72"/>
      <c r="U28" s="72"/>
      <c r="V28" s="72"/>
      <c r="W28" s="72"/>
      <c r="X28" s="72"/>
      <c r="Y28" s="72"/>
      <c r="Z28" s="72"/>
      <c r="AA28" s="72"/>
      <c r="AB28" s="72"/>
      <c r="AC28" s="72"/>
      <c r="AD28" s="65"/>
      <c r="AE28" s="65"/>
      <c r="AF28" s="65"/>
      <c r="AG28" s="65"/>
      <c r="AH28" s="65"/>
      <c r="AI28" s="65"/>
      <c r="AJ28" s="65"/>
      <c r="AK28" s="65"/>
      <c r="AL28" s="65"/>
      <c r="AM28" s="65"/>
      <c r="AN28" s="65"/>
      <c r="AO28" s="65"/>
      <c r="AP28" s="65"/>
      <c r="AQ28" s="65"/>
      <c r="AR28" s="65"/>
      <c r="AS28" s="65"/>
      <c r="AT28" s="65"/>
      <c r="AU28" s="65"/>
      <c r="AV28" s="65"/>
      <c r="AW28" s="65"/>
      <c r="AX28" s="65"/>
      <c r="AY28" s="66"/>
    </row>
    <row r="29" spans="1:51" ht="15.75" customHeight="1">
      <c r="A29" s="524"/>
      <c r="B29" s="73" t="s">
        <v>307</v>
      </c>
      <c r="C29" s="74"/>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65"/>
      <c r="AE29" s="65"/>
      <c r="AF29" s="65"/>
      <c r="AG29" s="65"/>
      <c r="AH29" s="65"/>
      <c r="AI29" s="65"/>
      <c r="AJ29" s="65"/>
      <c r="AK29" s="65"/>
      <c r="AL29" s="65"/>
      <c r="AM29" s="65"/>
      <c r="AN29" s="65"/>
      <c r="AO29" s="65"/>
      <c r="AP29" s="65"/>
      <c r="AQ29" s="65"/>
      <c r="AR29" s="65"/>
      <c r="AS29" s="65"/>
      <c r="AT29" s="65"/>
      <c r="AU29" s="65"/>
      <c r="AV29" s="65"/>
      <c r="AW29" s="65"/>
      <c r="AX29" s="65"/>
      <c r="AY29" s="66"/>
    </row>
    <row r="30" spans="1:51" ht="15.75" customHeight="1">
      <c r="A30" s="524"/>
      <c r="B30" s="71" t="s">
        <v>320</v>
      </c>
      <c r="C30" s="556">
        <v>0</v>
      </c>
      <c r="D30" s="512"/>
      <c r="E30" s="512"/>
      <c r="F30" s="510"/>
      <c r="G30" s="556">
        <v>1</v>
      </c>
      <c r="H30" s="512"/>
      <c r="I30" s="512"/>
      <c r="J30" s="510"/>
      <c r="K30" s="72"/>
      <c r="L30" s="72"/>
      <c r="M30" s="72"/>
      <c r="N30" s="72"/>
      <c r="O30" s="72"/>
      <c r="P30" s="72"/>
      <c r="Q30" s="72"/>
      <c r="R30" s="72"/>
      <c r="S30" s="72"/>
      <c r="T30" s="72"/>
      <c r="U30" s="72"/>
      <c r="V30" s="72"/>
      <c r="W30" s="72"/>
      <c r="X30" s="72"/>
      <c r="Y30" s="72"/>
      <c r="Z30" s="72"/>
      <c r="AA30" s="72"/>
      <c r="AB30" s="72"/>
      <c r="AC30" s="72"/>
      <c r="AD30" s="65"/>
      <c r="AE30" s="65"/>
      <c r="AF30" s="65"/>
      <c r="AG30" s="65"/>
      <c r="AH30" s="65"/>
      <c r="AI30" s="65"/>
      <c r="AJ30" s="65"/>
      <c r="AK30" s="65"/>
      <c r="AL30" s="65"/>
      <c r="AM30" s="65"/>
      <c r="AN30" s="65"/>
      <c r="AO30" s="65"/>
      <c r="AP30" s="65"/>
      <c r="AQ30" s="65"/>
      <c r="AR30" s="65"/>
      <c r="AS30" s="65"/>
      <c r="AT30" s="65"/>
      <c r="AU30" s="65"/>
      <c r="AV30" s="65"/>
      <c r="AW30" s="65"/>
      <c r="AX30" s="65"/>
      <c r="AY30" s="66"/>
    </row>
    <row r="31" spans="1:51" ht="15.75" customHeight="1">
      <c r="A31" s="524"/>
      <c r="B31" s="73" t="s">
        <v>307</v>
      </c>
      <c r="C31" s="74"/>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65"/>
      <c r="AE31" s="65"/>
      <c r="AF31" s="65"/>
      <c r="AG31" s="65"/>
      <c r="AH31" s="65"/>
      <c r="AI31" s="65"/>
      <c r="AJ31" s="65"/>
      <c r="AK31" s="65"/>
      <c r="AL31" s="65"/>
      <c r="AM31" s="65"/>
      <c r="AN31" s="65"/>
      <c r="AO31" s="65"/>
      <c r="AP31" s="65"/>
      <c r="AQ31" s="65"/>
      <c r="AR31" s="65"/>
      <c r="AS31" s="65"/>
      <c r="AT31" s="65"/>
      <c r="AU31" s="65"/>
      <c r="AV31" s="65"/>
      <c r="AW31" s="65"/>
      <c r="AX31" s="65"/>
      <c r="AY31" s="66"/>
    </row>
    <row r="32" spans="1:51" ht="15.75" customHeight="1">
      <c r="A32" s="524"/>
      <c r="B32" s="71" t="s">
        <v>321</v>
      </c>
      <c r="C32" s="556">
        <v>0</v>
      </c>
      <c r="D32" s="512"/>
      <c r="E32" s="512"/>
      <c r="F32" s="510"/>
      <c r="G32" s="556">
        <v>1</v>
      </c>
      <c r="H32" s="512"/>
      <c r="I32" s="512"/>
      <c r="J32" s="510"/>
      <c r="K32" s="72"/>
      <c r="L32" s="72"/>
      <c r="M32" s="72"/>
      <c r="N32" s="72"/>
      <c r="O32" s="72"/>
      <c r="P32" s="72"/>
      <c r="Q32" s="72"/>
      <c r="R32" s="72"/>
      <c r="S32" s="72"/>
      <c r="T32" s="72"/>
      <c r="U32" s="72"/>
      <c r="V32" s="72"/>
      <c r="W32" s="72"/>
      <c r="X32" s="72"/>
      <c r="Y32" s="72"/>
      <c r="Z32" s="72"/>
      <c r="AA32" s="72"/>
      <c r="AB32" s="72"/>
      <c r="AC32" s="72"/>
      <c r="AD32" s="65"/>
      <c r="AE32" s="65"/>
      <c r="AF32" s="65"/>
      <c r="AG32" s="65"/>
      <c r="AH32" s="65"/>
      <c r="AI32" s="65"/>
      <c r="AJ32" s="65"/>
      <c r="AK32" s="65"/>
      <c r="AL32" s="65"/>
      <c r="AM32" s="65"/>
      <c r="AN32" s="65"/>
      <c r="AO32" s="65"/>
      <c r="AP32" s="65"/>
      <c r="AQ32" s="65"/>
      <c r="AR32" s="65"/>
      <c r="AS32" s="65"/>
      <c r="AT32" s="65"/>
      <c r="AU32" s="65"/>
      <c r="AV32" s="65"/>
      <c r="AW32" s="65"/>
      <c r="AX32" s="65"/>
      <c r="AY32" s="66"/>
    </row>
    <row r="33" spans="1:51" ht="15.75" customHeight="1">
      <c r="A33" s="524"/>
      <c r="B33" s="73" t="s">
        <v>307</v>
      </c>
      <c r="C33" s="74" t="s">
        <v>322</v>
      </c>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65"/>
      <c r="AE33" s="65"/>
      <c r="AF33" s="65"/>
      <c r="AG33" s="65"/>
      <c r="AH33" s="65"/>
      <c r="AI33" s="65"/>
      <c r="AJ33" s="65"/>
      <c r="AK33" s="65"/>
      <c r="AL33" s="65"/>
      <c r="AM33" s="65"/>
      <c r="AN33" s="65"/>
      <c r="AO33" s="65"/>
      <c r="AP33" s="65"/>
      <c r="AQ33" s="65"/>
      <c r="AR33" s="65"/>
      <c r="AS33" s="65"/>
      <c r="AT33" s="65"/>
      <c r="AU33" s="65"/>
      <c r="AV33" s="65"/>
      <c r="AW33" s="65"/>
      <c r="AX33" s="65"/>
      <c r="AY33" s="66"/>
    </row>
    <row r="34" spans="1:51" ht="15.75" customHeight="1">
      <c r="A34" s="524"/>
      <c r="B34" s="71" t="s">
        <v>323</v>
      </c>
      <c r="C34" s="556">
        <v>1</v>
      </c>
      <c r="D34" s="512"/>
      <c r="E34" s="512"/>
      <c r="F34" s="510"/>
      <c r="G34" s="556">
        <v>1</v>
      </c>
      <c r="H34" s="512"/>
      <c r="I34" s="512"/>
      <c r="J34" s="510"/>
      <c r="K34" s="72"/>
      <c r="L34" s="72"/>
      <c r="M34" s="72"/>
      <c r="N34" s="72"/>
      <c r="O34" s="72"/>
      <c r="P34" s="72"/>
      <c r="Q34" s="72"/>
      <c r="R34" s="72"/>
      <c r="S34" s="72"/>
      <c r="T34" s="72"/>
      <c r="U34" s="72"/>
      <c r="V34" s="72"/>
      <c r="W34" s="72"/>
      <c r="X34" s="72"/>
      <c r="Y34" s="72"/>
      <c r="Z34" s="72"/>
      <c r="AA34" s="72"/>
      <c r="AB34" s="72"/>
      <c r="AC34" s="72"/>
      <c r="AD34" s="65"/>
      <c r="AE34" s="65"/>
      <c r="AF34" s="65"/>
      <c r="AG34" s="65"/>
      <c r="AH34" s="65"/>
      <c r="AI34" s="65"/>
      <c r="AJ34" s="65"/>
      <c r="AK34" s="65"/>
      <c r="AL34" s="65"/>
      <c r="AM34" s="65"/>
      <c r="AN34" s="65"/>
      <c r="AO34" s="65"/>
      <c r="AP34" s="65"/>
      <c r="AQ34" s="65"/>
      <c r="AR34" s="65"/>
      <c r="AS34" s="65"/>
      <c r="AT34" s="65"/>
      <c r="AU34" s="65"/>
      <c r="AV34" s="65"/>
      <c r="AW34" s="65"/>
      <c r="AX34" s="65"/>
      <c r="AY34" s="66"/>
    </row>
    <row r="35" spans="1:51" ht="15.75" customHeight="1">
      <c r="A35" s="524"/>
      <c r="B35" s="73" t="s">
        <v>307</v>
      </c>
      <c r="C35" s="74" t="s">
        <v>324</v>
      </c>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65"/>
      <c r="AE35" s="65"/>
      <c r="AF35" s="65"/>
      <c r="AG35" s="65"/>
      <c r="AH35" s="65"/>
      <c r="AI35" s="65"/>
      <c r="AJ35" s="65"/>
      <c r="AK35" s="65"/>
      <c r="AL35" s="65"/>
      <c r="AM35" s="65"/>
      <c r="AN35" s="65"/>
      <c r="AO35" s="65"/>
      <c r="AP35" s="65"/>
      <c r="AQ35" s="65"/>
      <c r="AR35" s="65"/>
      <c r="AS35" s="65"/>
      <c r="AT35" s="65"/>
      <c r="AU35" s="65"/>
      <c r="AV35" s="65"/>
      <c r="AW35" s="65"/>
      <c r="AX35" s="65"/>
      <c r="AY35" s="66"/>
    </row>
    <row r="36" spans="1:51" ht="15.75" customHeight="1">
      <c r="A36" s="524"/>
      <c r="B36" s="71" t="s">
        <v>325</v>
      </c>
      <c r="C36" s="556">
        <v>1</v>
      </c>
      <c r="D36" s="512"/>
      <c r="E36" s="512"/>
      <c r="F36" s="510"/>
      <c r="G36" s="556">
        <v>1</v>
      </c>
      <c r="H36" s="512"/>
      <c r="I36" s="512"/>
      <c r="J36" s="510"/>
      <c r="K36" s="72"/>
      <c r="L36" s="72"/>
      <c r="M36" s="72"/>
      <c r="N36" s="72"/>
      <c r="O36" s="72"/>
      <c r="P36" s="72"/>
      <c r="Q36" s="72"/>
      <c r="R36" s="72"/>
      <c r="S36" s="72"/>
      <c r="T36" s="72"/>
      <c r="U36" s="72"/>
      <c r="V36" s="72"/>
      <c r="W36" s="72"/>
      <c r="X36" s="72"/>
      <c r="Y36" s="72"/>
      <c r="Z36" s="72"/>
      <c r="AA36" s="72"/>
      <c r="AB36" s="72"/>
      <c r="AC36" s="72"/>
      <c r="AD36" s="65"/>
      <c r="AE36" s="65"/>
      <c r="AF36" s="65"/>
      <c r="AG36" s="65"/>
      <c r="AH36" s="65"/>
      <c r="AI36" s="65"/>
      <c r="AJ36" s="65"/>
      <c r="AK36" s="65"/>
      <c r="AL36" s="65"/>
      <c r="AM36" s="65"/>
      <c r="AN36" s="65"/>
      <c r="AO36" s="65"/>
      <c r="AP36" s="65"/>
      <c r="AQ36" s="65"/>
      <c r="AR36" s="65"/>
      <c r="AS36" s="65"/>
      <c r="AT36" s="65"/>
      <c r="AU36" s="65"/>
      <c r="AV36" s="65"/>
      <c r="AW36" s="65"/>
      <c r="AX36" s="65"/>
      <c r="AY36" s="66"/>
    </row>
    <row r="37" spans="1:51" ht="15.75" customHeight="1">
      <c r="A37" s="524"/>
      <c r="B37" s="73" t="s">
        <v>307</v>
      </c>
      <c r="C37" s="74" t="s">
        <v>326</v>
      </c>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65"/>
      <c r="AE37" s="65"/>
      <c r="AF37" s="65"/>
      <c r="AG37" s="65"/>
      <c r="AH37" s="65"/>
      <c r="AI37" s="65"/>
      <c r="AJ37" s="65"/>
      <c r="AK37" s="65"/>
      <c r="AL37" s="65"/>
      <c r="AM37" s="65"/>
      <c r="AN37" s="65"/>
      <c r="AO37" s="65"/>
      <c r="AP37" s="65"/>
      <c r="AQ37" s="65"/>
      <c r="AR37" s="65"/>
      <c r="AS37" s="65"/>
      <c r="AT37" s="65"/>
      <c r="AU37" s="65"/>
      <c r="AV37" s="65"/>
      <c r="AW37" s="65"/>
      <c r="AX37" s="65"/>
      <c r="AY37" s="66"/>
    </row>
    <row r="38" spans="1:51" ht="15.75" customHeight="1">
      <c r="A38" s="524"/>
      <c r="B38" s="71" t="s">
        <v>327</v>
      </c>
      <c r="C38" s="556">
        <v>1</v>
      </c>
      <c r="D38" s="512"/>
      <c r="E38" s="512"/>
      <c r="F38" s="510"/>
      <c r="G38" s="556">
        <v>1</v>
      </c>
      <c r="H38" s="512"/>
      <c r="I38" s="512"/>
      <c r="J38" s="510"/>
      <c r="K38" s="72"/>
      <c r="L38" s="72"/>
      <c r="M38" s="72"/>
      <c r="N38" s="72"/>
      <c r="O38" s="72"/>
      <c r="P38" s="72"/>
      <c r="Q38" s="72"/>
      <c r="R38" s="72"/>
      <c r="S38" s="72"/>
      <c r="T38" s="72"/>
      <c r="U38" s="72"/>
      <c r="V38" s="72"/>
      <c r="W38" s="72"/>
      <c r="X38" s="72"/>
      <c r="Y38" s="72"/>
      <c r="Z38" s="72"/>
      <c r="AA38" s="72"/>
      <c r="AB38" s="72"/>
      <c r="AC38" s="72"/>
      <c r="AD38" s="65"/>
      <c r="AE38" s="65"/>
      <c r="AF38" s="65"/>
      <c r="AG38" s="65"/>
      <c r="AH38" s="65"/>
      <c r="AI38" s="65"/>
      <c r="AJ38" s="65"/>
      <c r="AK38" s="65"/>
      <c r="AL38" s="65"/>
      <c r="AM38" s="65"/>
      <c r="AN38" s="65"/>
      <c r="AO38" s="65"/>
      <c r="AP38" s="65"/>
      <c r="AQ38" s="65"/>
      <c r="AR38" s="65"/>
      <c r="AS38" s="65"/>
      <c r="AT38" s="65"/>
      <c r="AU38" s="65"/>
      <c r="AV38" s="65"/>
      <c r="AW38" s="65"/>
      <c r="AX38" s="65"/>
      <c r="AY38" s="66"/>
    </row>
    <row r="39" spans="1:51" ht="15.75" customHeight="1">
      <c r="A39" s="524"/>
      <c r="B39" s="73" t="s">
        <v>307</v>
      </c>
      <c r="C39" s="74" t="s">
        <v>328</v>
      </c>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65"/>
      <c r="AE39" s="65"/>
      <c r="AF39" s="65"/>
      <c r="AG39" s="65"/>
      <c r="AH39" s="65"/>
      <c r="AI39" s="65"/>
      <c r="AJ39" s="65"/>
      <c r="AK39" s="65"/>
      <c r="AL39" s="65"/>
      <c r="AM39" s="65"/>
      <c r="AN39" s="65"/>
      <c r="AO39" s="65"/>
      <c r="AP39" s="65"/>
      <c r="AQ39" s="65"/>
      <c r="AR39" s="65"/>
      <c r="AS39" s="65"/>
      <c r="AT39" s="65"/>
      <c r="AU39" s="65"/>
      <c r="AV39" s="65"/>
      <c r="AW39" s="65"/>
      <c r="AX39" s="65"/>
      <c r="AY39" s="66"/>
    </row>
    <row r="40" spans="1:51" ht="15.75" customHeight="1">
      <c r="A40" s="524"/>
      <c r="B40" s="71" t="s">
        <v>329</v>
      </c>
      <c r="C40" s="556">
        <v>0</v>
      </c>
      <c r="D40" s="512"/>
      <c r="E40" s="512"/>
      <c r="F40" s="510"/>
      <c r="G40" s="556">
        <v>1</v>
      </c>
      <c r="H40" s="512"/>
      <c r="I40" s="512"/>
      <c r="J40" s="510"/>
      <c r="K40" s="72"/>
      <c r="L40" s="72"/>
      <c r="M40" s="72"/>
      <c r="N40" s="72"/>
      <c r="O40" s="72"/>
      <c r="P40" s="72"/>
      <c r="Q40" s="72"/>
      <c r="R40" s="72"/>
      <c r="S40" s="72"/>
      <c r="T40" s="72"/>
      <c r="U40" s="72"/>
      <c r="V40" s="72"/>
      <c r="W40" s="72"/>
      <c r="X40" s="72"/>
      <c r="Y40" s="72"/>
      <c r="Z40" s="72"/>
      <c r="AA40" s="72"/>
      <c r="AB40" s="72"/>
      <c r="AC40" s="72"/>
      <c r="AD40" s="65"/>
      <c r="AE40" s="65"/>
      <c r="AF40" s="65"/>
      <c r="AG40" s="65"/>
      <c r="AH40" s="65"/>
      <c r="AI40" s="65"/>
      <c r="AJ40" s="65"/>
      <c r="AK40" s="65"/>
      <c r="AL40" s="65"/>
      <c r="AM40" s="65"/>
      <c r="AN40" s="65"/>
      <c r="AO40" s="65"/>
      <c r="AP40" s="65"/>
      <c r="AQ40" s="65"/>
      <c r="AR40" s="65"/>
      <c r="AS40" s="65"/>
      <c r="AT40" s="65"/>
      <c r="AU40" s="65"/>
      <c r="AV40" s="65"/>
      <c r="AW40" s="65"/>
      <c r="AX40" s="65"/>
      <c r="AY40" s="66"/>
    </row>
    <row r="41" spans="1:51" ht="15.75" customHeight="1">
      <c r="A41" s="524"/>
      <c r="B41" s="73" t="s">
        <v>307</v>
      </c>
      <c r="C41" s="74" t="s">
        <v>330</v>
      </c>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65"/>
      <c r="AE41" s="65"/>
      <c r="AF41" s="65"/>
      <c r="AG41" s="65"/>
      <c r="AH41" s="65"/>
      <c r="AI41" s="65"/>
      <c r="AJ41" s="65"/>
      <c r="AK41" s="65"/>
      <c r="AL41" s="65"/>
      <c r="AM41" s="65"/>
      <c r="AN41" s="65"/>
      <c r="AO41" s="65"/>
      <c r="AP41" s="65"/>
      <c r="AQ41" s="65"/>
      <c r="AR41" s="65"/>
      <c r="AS41" s="65"/>
      <c r="AT41" s="65"/>
      <c r="AU41" s="65"/>
      <c r="AV41" s="65"/>
      <c r="AW41" s="65"/>
      <c r="AX41" s="65"/>
      <c r="AY41" s="66"/>
    </row>
    <row r="42" spans="1:51" ht="15.75" customHeight="1">
      <c r="A42" s="524"/>
      <c r="B42" s="71" t="s">
        <v>331</v>
      </c>
      <c r="C42" s="556">
        <v>0</v>
      </c>
      <c r="D42" s="512"/>
      <c r="E42" s="512"/>
      <c r="F42" s="510"/>
      <c r="G42" s="556">
        <v>1</v>
      </c>
      <c r="H42" s="512"/>
      <c r="I42" s="512"/>
      <c r="J42" s="510"/>
      <c r="K42" s="72"/>
      <c r="L42" s="72"/>
      <c r="M42" s="72"/>
      <c r="N42" s="72"/>
      <c r="O42" s="72"/>
      <c r="P42" s="72"/>
      <c r="Q42" s="72"/>
      <c r="R42" s="72"/>
      <c r="S42" s="72"/>
      <c r="T42" s="72"/>
      <c r="U42" s="72"/>
      <c r="V42" s="72"/>
      <c r="W42" s="72"/>
      <c r="X42" s="72"/>
      <c r="Y42" s="72"/>
      <c r="Z42" s="72"/>
      <c r="AA42" s="72"/>
      <c r="AB42" s="72"/>
      <c r="AC42" s="72"/>
      <c r="AD42" s="65"/>
      <c r="AE42" s="65"/>
      <c r="AF42" s="65"/>
      <c r="AG42" s="65"/>
      <c r="AH42" s="65"/>
      <c r="AI42" s="65"/>
      <c r="AJ42" s="65"/>
      <c r="AK42" s="65"/>
      <c r="AL42" s="65"/>
      <c r="AM42" s="65"/>
      <c r="AN42" s="65"/>
      <c r="AO42" s="65"/>
      <c r="AP42" s="65"/>
      <c r="AQ42" s="65"/>
      <c r="AR42" s="65"/>
      <c r="AS42" s="65"/>
      <c r="AT42" s="65"/>
      <c r="AU42" s="65"/>
      <c r="AV42" s="65"/>
      <c r="AW42" s="65"/>
      <c r="AX42" s="65"/>
      <c r="AY42" s="66"/>
    </row>
    <row r="43" spans="1:51" ht="15.75" customHeight="1">
      <c r="A43" s="524"/>
      <c r="B43" s="73" t="s">
        <v>307</v>
      </c>
      <c r="C43" s="74" t="s">
        <v>332</v>
      </c>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65"/>
      <c r="AE43" s="65"/>
      <c r="AF43" s="65"/>
      <c r="AG43" s="65"/>
      <c r="AH43" s="65"/>
      <c r="AI43" s="65"/>
      <c r="AJ43" s="65"/>
      <c r="AK43" s="65"/>
      <c r="AL43" s="65"/>
      <c r="AM43" s="65"/>
      <c r="AN43" s="65"/>
      <c r="AO43" s="65"/>
      <c r="AP43" s="65"/>
      <c r="AQ43" s="65"/>
      <c r="AR43" s="65"/>
      <c r="AS43" s="65"/>
      <c r="AT43" s="65"/>
      <c r="AU43" s="65"/>
      <c r="AV43" s="65"/>
      <c r="AW43" s="65"/>
      <c r="AX43" s="65"/>
      <c r="AY43" s="66"/>
    </row>
    <row r="44" spans="1:51" ht="15.75" customHeight="1">
      <c r="A44" s="524"/>
      <c r="B44" s="71" t="s">
        <v>333</v>
      </c>
      <c r="C44" s="556">
        <v>0</v>
      </c>
      <c r="D44" s="512"/>
      <c r="E44" s="512"/>
      <c r="F44" s="510"/>
      <c r="G44" s="556">
        <v>1</v>
      </c>
      <c r="H44" s="512"/>
      <c r="I44" s="512"/>
      <c r="J44" s="510"/>
      <c r="K44" s="72"/>
      <c r="L44" s="72"/>
      <c r="M44" s="72"/>
      <c r="N44" s="72"/>
      <c r="O44" s="72"/>
      <c r="P44" s="72"/>
      <c r="Q44" s="72"/>
      <c r="R44" s="72"/>
      <c r="S44" s="72"/>
      <c r="T44" s="72"/>
      <c r="U44" s="72"/>
      <c r="V44" s="72"/>
      <c r="W44" s="72"/>
      <c r="X44" s="72"/>
      <c r="Y44" s="72"/>
      <c r="Z44" s="72"/>
      <c r="AA44" s="72"/>
      <c r="AB44" s="72"/>
      <c r="AC44" s="72"/>
      <c r="AD44" s="65"/>
      <c r="AE44" s="65"/>
      <c r="AF44" s="65"/>
      <c r="AG44" s="65"/>
      <c r="AH44" s="65"/>
      <c r="AI44" s="65"/>
      <c r="AJ44" s="65"/>
      <c r="AK44" s="65"/>
      <c r="AL44" s="65"/>
      <c r="AM44" s="65"/>
      <c r="AN44" s="65"/>
      <c r="AO44" s="65"/>
      <c r="AP44" s="65"/>
      <c r="AQ44" s="65"/>
      <c r="AR44" s="65"/>
      <c r="AS44" s="65"/>
      <c r="AT44" s="65"/>
      <c r="AU44" s="65"/>
      <c r="AV44" s="65"/>
      <c r="AW44" s="65"/>
      <c r="AX44" s="65"/>
      <c r="AY44" s="66"/>
    </row>
    <row r="45" spans="1:51" ht="15.75" customHeight="1">
      <c r="A45" s="524"/>
      <c r="B45" s="73" t="s">
        <v>307</v>
      </c>
      <c r="C45" s="74"/>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65"/>
      <c r="AE45" s="65"/>
      <c r="AF45" s="65"/>
      <c r="AG45" s="65"/>
      <c r="AH45" s="65"/>
      <c r="AI45" s="65"/>
      <c r="AJ45" s="65"/>
      <c r="AK45" s="65"/>
      <c r="AL45" s="65"/>
      <c r="AM45" s="65"/>
      <c r="AN45" s="65"/>
      <c r="AO45" s="65"/>
      <c r="AP45" s="65"/>
      <c r="AQ45" s="65"/>
      <c r="AR45" s="65"/>
      <c r="AS45" s="65"/>
      <c r="AT45" s="65"/>
      <c r="AU45" s="65"/>
      <c r="AV45" s="65"/>
      <c r="AW45" s="65"/>
      <c r="AX45" s="65"/>
      <c r="AY45" s="66"/>
    </row>
    <row r="46" spans="1:51" ht="15.75" customHeight="1">
      <c r="A46" s="524"/>
      <c r="B46" s="71" t="s">
        <v>334</v>
      </c>
      <c r="C46" s="556">
        <v>1</v>
      </c>
      <c r="D46" s="512"/>
      <c r="E46" s="512"/>
      <c r="F46" s="510"/>
      <c r="G46" s="556">
        <v>1</v>
      </c>
      <c r="H46" s="512"/>
      <c r="I46" s="512"/>
      <c r="J46" s="510"/>
      <c r="K46" s="72"/>
      <c r="L46" s="72"/>
      <c r="M46" s="72"/>
      <c r="N46" s="72"/>
      <c r="O46" s="72"/>
      <c r="P46" s="72"/>
      <c r="Q46" s="72"/>
      <c r="R46" s="72"/>
      <c r="S46" s="72"/>
      <c r="T46" s="72"/>
      <c r="U46" s="72"/>
      <c r="V46" s="72"/>
      <c r="W46" s="72"/>
      <c r="X46" s="72"/>
      <c r="Y46" s="72"/>
      <c r="Z46" s="72"/>
      <c r="AA46" s="72"/>
      <c r="AB46" s="72"/>
      <c r="AC46" s="72"/>
      <c r="AD46" s="65"/>
      <c r="AE46" s="65"/>
      <c r="AF46" s="65"/>
      <c r="AG46" s="65"/>
      <c r="AH46" s="65"/>
      <c r="AI46" s="65"/>
      <c r="AJ46" s="65"/>
      <c r="AK46" s="65"/>
      <c r="AL46" s="65"/>
      <c r="AM46" s="65"/>
      <c r="AN46" s="65"/>
      <c r="AO46" s="65"/>
      <c r="AP46" s="65"/>
      <c r="AQ46" s="65"/>
      <c r="AR46" s="65"/>
      <c r="AS46" s="65"/>
      <c r="AT46" s="65"/>
      <c r="AU46" s="65"/>
      <c r="AV46" s="65"/>
      <c r="AW46" s="65"/>
      <c r="AX46" s="65"/>
      <c r="AY46" s="66"/>
    </row>
    <row r="47" spans="1:51" ht="15.75" customHeight="1">
      <c r="A47" s="524"/>
      <c r="B47" s="73" t="s">
        <v>307</v>
      </c>
      <c r="C47" s="74" t="s">
        <v>335</v>
      </c>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65"/>
      <c r="AE47" s="65"/>
      <c r="AF47" s="65"/>
      <c r="AG47" s="65"/>
      <c r="AH47" s="65"/>
      <c r="AI47" s="65"/>
      <c r="AJ47" s="65"/>
      <c r="AK47" s="65"/>
      <c r="AL47" s="65"/>
      <c r="AM47" s="65"/>
      <c r="AN47" s="65"/>
      <c r="AO47" s="65"/>
      <c r="AP47" s="65"/>
      <c r="AQ47" s="65"/>
      <c r="AR47" s="65"/>
      <c r="AS47" s="65"/>
      <c r="AT47" s="65"/>
      <c r="AU47" s="65"/>
      <c r="AV47" s="65"/>
      <c r="AW47" s="65"/>
      <c r="AX47" s="65"/>
      <c r="AY47" s="66"/>
    </row>
    <row r="48" spans="1:51" ht="15.75" customHeight="1">
      <c r="A48" s="524"/>
      <c r="B48" s="71" t="s">
        <v>336</v>
      </c>
      <c r="C48" s="556">
        <v>0</v>
      </c>
      <c r="D48" s="512"/>
      <c r="E48" s="512"/>
      <c r="F48" s="510"/>
      <c r="G48" s="556">
        <v>0</v>
      </c>
      <c r="H48" s="512"/>
      <c r="I48" s="512"/>
      <c r="J48" s="510"/>
      <c r="K48" s="72"/>
      <c r="L48" s="72"/>
      <c r="M48" s="72"/>
      <c r="N48" s="72"/>
      <c r="O48" s="72"/>
      <c r="P48" s="72"/>
      <c r="Q48" s="72"/>
      <c r="R48" s="72"/>
      <c r="S48" s="72"/>
      <c r="T48" s="72"/>
      <c r="U48" s="72"/>
      <c r="V48" s="72"/>
      <c r="W48" s="72"/>
      <c r="X48" s="72"/>
      <c r="Y48" s="72"/>
      <c r="Z48" s="72"/>
      <c r="AA48" s="72"/>
      <c r="AB48" s="72"/>
      <c r="AC48" s="72"/>
      <c r="AD48" s="65"/>
      <c r="AE48" s="65"/>
      <c r="AF48" s="65"/>
      <c r="AG48" s="65"/>
      <c r="AH48" s="65"/>
      <c r="AI48" s="65"/>
      <c r="AJ48" s="65"/>
      <c r="AK48" s="65"/>
      <c r="AL48" s="65"/>
      <c r="AM48" s="65"/>
      <c r="AN48" s="65"/>
      <c r="AO48" s="65"/>
      <c r="AP48" s="65"/>
      <c r="AQ48" s="65"/>
      <c r="AR48" s="65"/>
      <c r="AS48" s="65"/>
      <c r="AT48" s="65"/>
      <c r="AU48" s="65"/>
      <c r="AV48" s="65"/>
      <c r="AW48" s="65"/>
      <c r="AX48" s="65"/>
      <c r="AY48" s="66"/>
    </row>
    <row r="49" spans="1:51" ht="15.75" customHeight="1">
      <c r="A49" s="524"/>
      <c r="B49" s="73" t="s">
        <v>307</v>
      </c>
      <c r="C49" s="74"/>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65"/>
      <c r="AE49" s="65"/>
      <c r="AF49" s="65"/>
      <c r="AG49" s="65"/>
      <c r="AH49" s="65"/>
      <c r="AI49" s="65"/>
      <c r="AJ49" s="65"/>
      <c r="AK49" s="65"/>
      <c r="AL49" s="65"/>
      <c r="AM49" s="65"/>
      <c r="AN49" s="65"/>
      <c r="AO49" s="65"/>
      <c r="AP49" s="65"/>
      <c r="AQ49" s="65"/>
      <c r="AR49" s="65"/>
      <c r="AS49" s="65"/>
      <c r="AT49" s="65"/>
      <c r="AU49" s="65"/>
      <c r="AV49" s="65"/>
      <c r="AW49" s="65"/>
      <c r="AX49" s="65"/>
      <c r="AY49" s="66"/>
    </row>
    <row r="50" spans="1:51" ht="15.75" customHeight="1">
      <c r="A50" s="524"/>
      <c r="B50" s="71" t="s">
        <v>337</v>
      </c>
      <c r="C50" s="556">
        <v>1</v>
      </c>
      <c r="D50" s="512"/>
      <c r="E50" s="512"/>
      <c r="F50" s="510"/>
      <c r="G50" s="556">
        <v>1</v>
      </c>
      <c r="H50" s="512"/>
      <c r="I50" s="512"/>
      <c r="J50" s="510"/>
      <c r="K50" s="72"/>
      <c r="L50" s="72"/>
      <c r="M50" s="72"/>
      <c r="N50" s="72"/>
      <c r="O50" s="72"/>
      <c r="P50" s="72"/>
      <c r="Q50" s="72"/>
      <c r="R50" s="72"/>
      <c r="S50" s="72"/>
      <c r="T50" s="72"/>
      <c r="U50" s="72"/>
      <c r="V50" s="72"/>
      <c r="W50" s="72"/>
      <c r="X50" s="72"/>
      <c r="Y50" s="72"/>
      <c r="Z50" s="72"/>
      <c r="AA50" s="72"/>
      <c r="AB50" s="72"/>
      <c r="AC50" s="72"/>
      <c r="AD50" s="65"/>
      <c r="AE50" s="65"/>
      <c r="AF50" s="65"/>
      <c r="AG50" s="65"/>
      <c r="AH50" s="65"/>
      <c r="AI50" s="65"/>
      <c r="AJ50" s="65"/>
      <c r="AK50" s="65"/>
      <c r="AL50" s="65"/>
      <c r="AM50" s="65"/>
      <c r="AN50" s="65"/>
      <c r="AO50" s="65"/>
      <c r="AP50" s="65"/>
      <c r="AQ50" s="65"/>
      <c r="AR50" s="65"/>
      <c r="AS50" s="65"/>
      <c r="AT50" s="65"/>
      <c r="AU50" s="65"/>
      <c r="AV50" s="65"/>
      <c r="AW50" s="65"/>
      <c r="AX50" s="65"/>
      <c r="AY50" s="66"/>
    </row>
    <row r="51" spans="1:51" ht="15.75" customHeight="1">
      <c r="A51" s="524"/>
      <c r="B51" s="73" t="s">
        <v>307</v>
      </c>
      <c r="C51" s="74" t="s">
        <v>338</v>
      </c>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65"/>
      <c r="AE51" s="65"/>
      <c r="AF51" s="65"/>
      <c r="AG51" s="65"/>
      <c r="AH51" s="65"/>
      <c r="AI51" s="65"/>
      <c r="AJ51" s="65"/>
      <c r="AK51" s="65"/>
      <c r="AL51" s="65"/>
      <c r="AM51" s="65"/>
      <c r="AN51" s="65"/>
      <c r="AO51" s="65"/>
      <c r="AP51" s="65"/>
      <c r="AQ51" s="65"/>
      <c r="AR51" s="65"/>
      <c r="AS51" s="65"/>
      <c r="AT51" s="65"/>
      <c r="AU51" s="65"/>
      <c r="AV51" s="65"/>
      <c r="AW51" s="65"/>
      <c r="AX51" s="65"/>
      <c r="AY51" s="66"/>
    </row>
    <row r="52" spans="1:51" ht="15.75" customHeight="1">
      <c r="A52" s="524"/>
      <c r="B52" s="71" t="s">
        <v>339</v>
      </c>
      <c r="C52" s="556">
        <v>1</v>
      </c>
      <c r="D52" s="512"/>
      <c r="E52" s="512"/>
      <c r="F52" s="510"/>
      <c r="G52" s="556">
        <v>1</v>
      </c>
      <c r="H52" s="512"/>
      <c r="I52" s="512"/>
      <c r="J52" s="510"/>
      <c r="K52" s="72"/>
      <c r="L52" s="72"/>
      <c r="M52" s="72"/>
      <c r="N52" s="72"/>
      <c r="O52" s="72"/>
      <c r="P52" s="72"/>
      <c r="Q52" s="72"/>
      <c r="R52" s="72"/>
      <c r="S52" s="72"/>
      <c r="T52" s="72"/>
      <c r="U52" s="72"/>
      <c r="V52" s="72"/>
      <c r="W52" s="72"/>
      <c r="X52" s="72"/>
      <c r="Y52" s="72"/>
      <c r="Z52" s="72"/>
      <c r="AA52" s="72"/>
      <c r="AB52" s="72"/>
      <c r="AC52" s="72"/>
      <c r="AD52" s="65"/>
      <c r="AE52" s="65"/>
      <c r="AF52" s="65"/>
      <c r="AG52" s="65"/>
      <c r="AH52" s="65"/>
      <c r="AI52" s="65"/>
      <c r="AJ52" s="65"/>
      <c r="AK52" s="65"/>
      <c r="AL52" s="65"/>
      <c r="AM52" s="65"/>
      <c r="AN52" s="65"/>
      <c r="AO52" s="65"/>
      <c r="AP52" s="65"/>
      <c r="AQ52" s="65"/>
      <c r="AR52" s="65"/>
      <c r="AS52" s="65"/>
      <c r="AT52" s="65"/>
      <c r="AU52" s="65"/>
      <c r="AV52" s="65"/>
      <c r="AW52" s="65"/>
      <c r="AX52" s="65"/>
      <c r="AY52" s="66"/>
    </row>
    <row r="53" spans="1:51" ht="15.75" customHeight="1">
      <c r="A53" s="524"/>
      <c r="B53" s="73" t="s">
        <v>307</v>
      </c>
      <c r="C53" s="74" t="s">
        <v>340</v>
      </c>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65"/>
      <c r="AE53" s="65"/>
      <c r="AF53" s="65"/>
      <c r="AG53" s="65"/>
      <c r="AH53" s="65"/>
      <c r="AI53" s="65"/>
      <c r="AJ53" s="65"/>
      <c r="AK53" s="65"/>
      <c r="AL53" s="65"/>
      <c r="AM53" s="65"/>
      <c r="AN53" s="65"/>
      <c r="AO53" s="65"/>
      <c r="AP53" s="65"/>
      <c r="AQ53" s="65"/>
      <c r="AR53" s="65"/>
      <c r="AS53" s="65"/>
      <c r="AT53" s="65"/>
      <c r="AU53" s="65"/>
      <c r="AV53" s="65"/>
      <c r="AW53" s="65"/>
      <c r="AX53" s="65"/>
      <c r="AY53" s="66"/>
    </row>
    <row r="54" spans="1:51" ht="15.75" customHeight="1">
      <c r="A54" s="524"/>
      <c r="B54" s="71" t="s">
        <v>341</v>
      </c>
      <c r="C54" s="556">
        <v>1</v>
      </c>
      <c r="D54" s="512"/>
      <c r="E54" s="512"/>
      <c r="F54" s="510"/>
      <c r="G54" s="556">
        <v>1</v>
      </c>
      <c r="H54" s="512"/>
      <c r="I54" s="512"/>
      <c r="J54" s="510"/>
      <c r="K54" s="79"/>
      <c r="L54" s="80"/>
      <c r="M54" s="80"/>
      <c r="N54" s="80"/>
      <c r="O54" s="80"/>
      <c r="P54" s="80"/>
      <c r="Q54" s="80"/>
      <c r="R54" s="80"/>
      <c r="S54" s="80"/>
      <c r="T54" s="80"/>
      <c r="U54" s="80"/>
      <c r="V54" s="80"/>
      <c r="W54" s="80"/>
      <c r="X54" s="80"/>
      <c r="Y54" s="80"/>
      <c r="Z54" s="80"/>
      <c r="AA54" s="80"/>
      <c r="AB54" s="80"/>
      <c r="AC54" s="80"/>
      <c r="AD54" s="65"/>
      <c r="AE54" s="65"/>
      <c r="AF54" s="65"/>
      <c r="AG54" s="65"/>
      <c r="AH54" s="65"/>
      <c r="AI54" s="65"/>
      <c r="AJ54" s="65"/>
      <c r="AK54" s="65"/>
      <c r="AL54" s="65"/>
      <c r="AM54" s="65"/>
      <c r="AN54" s="65"/>
      <c r="AO54" s="65"/>
      <c r="AP54" s="65"/>
      <c r="AQ54" s="65"/>
      <c r="AR54" s="65"/>
      <c r="AS54" s="65"/>
      <c r="AT54" s="65"/>
      <c r="AU54" s="65"/>
      <c r="AV54" s="65"/>
      <c r="AW54" s="65"/>
      <c r="AX54" s="65"/>
      <c r="AY54" s="66"/>
    </row>
    <row r="55" spans="1:51" ht="15.75" customHeight="1">
      <c r="A55" s="524"/>
      <c r="B55" s="73" t="s">
        <v>307</v>
      </c>
      <c r="C55" s="74" t="s">
        <v>342</v>
      </c>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65"/>
      <c r="AE55" s="65"/>
      <c r="AF55" s="65"/>
      <c r="AG55" s="65"/>
      <c r="AH55" s="65"/>
      <c r="AI55" s="65"/>
      <c r="AJ55" s="65"/>
      <c r="AK55" s="65"/>
      <c r="AL55" s="65"/>
      <c r="AM55" s="65"/>
      <c r="AN55" s="65"/>
      <c r="AO55" s="65"/>
      <c r="AP55" s="65"/>
      <c r="AQ55" s="65"/>
      <c r="AR55" s="65"/>
      <c r="AS55" s="65"/>
      <c r="AT55" s="65"/>
      <c r="AU55" s="65"/>
      <c r="AV55" s="65"/>
      <c r="AW55" s="65"/>
      <c r="AX55" s="65"/>
      <c r="AY55" s="66"/>
    </row>
    <row r="56" spans="1:51" ht="15.75" customHeight="1">
      <c r="A56" s="524"/>
      <c r="B56" s="71" t="s">
        <v>343</v>
      </c>
      <c r="C56" s="556"/>
      <c r="D56" s="512"/>
      <c r="E56" s="512"/>
      <c r="F56" s="510"/>
      <c r="G56" s="556"/>
      <c r="H56" s="512"/>
      <c r="I56" s="512"/>
      <c r="J56" s="510"/>
      <c r="K56" s="79"/>
      <c r="L56" s="80"/>
      <c r="M56" s="80"/>
      <c r="N56" s="80"/>
      <c r="O56" s="80"/>
      <c r="P56" s="80"/>
      <c r="Q56" s="80"/>
      <c r="R56" s="80"/>
      <c r="S56" s="80"/>
      <c r="T56" s="80"/>
      <c r="U56" s="80"/>
      <c r="V56" s="80"/>
      <c r="W56" s="80"/>
      <c r="X56" s="80"/>
      <c r="Y56" s="80"/>
      <c r="Z56" s="80"/>
      <c r="AA56" s="80"/>
      <c r="AB56" s="80"/>
      <c r="AC56" s="80"/>
      <c r="AD56" s="65"/>
      <c r="AE56" s="65"/>
      <c r="AF56" s="65"/>
      <c r="AG56" s="65"/>
      <c r="AH56" s="65"/>
      <c r="AI56" s="65"/>
      <c r="AJ56" s="65"/>
      <c r="AK56" s="65"/>
      <c r="AL56" s="65"/>
      <c r="AM56" s="65"/>
      <c r="AN56" s="65"/>
      <c r="AO56" s="65"/>
      <c r="AP56" s="65"/>
      <c r="AQ56" s="65"/>
      <c r="AR56" s="65"/>
      <c r="AS56" s="65"/>
      <c r="AT56" s="65"/>
      <c r="AU56" s="65"/>
      <c r="AV56" s="65"/>
      <c r="AW56" s="65"/>
      <c r="AX56" s="65"/>
      <c r="AY56" s="66"/>
    </row>
    <row r="57" spans="1:51" ht="15.75" customHeight="1">
      <c r="A57" s="524"/>
      <c r="B57" s="73" t="s">
        <v>307</v>
      </c>
      <c r="C57" s="74"/>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65"/>
      <c r="AE57" s="65"/>
      <c r="AF57" s="65"/>
      <c r="AG57" s="65"/>
      <c r="AH57" s="65"/>
      <c r="AI57" s="65"/>
      <c r="AJ57" s="65"/>
      <c r="AK57" s="65"/>
      <c r="AL57" s="65"/>
      <c r="AM57" s="65"/>
      <c r="AN57" s="65"/>
      <c r="AO57" s="65"/>
      <c r="AP57" s="65"/>
      <c r="AQ57" s="65"/>
      <c r="AR57" s="65"/>
      <c r="AS57" s="65"/>
      <c r="AT57" s="65"/>
      <c r="AU57" s="65"/>
      <c r="AV57" s="65"/>
      <c r="AW57" s="65"/>
      <c r="AX57" s="65"/>
      <c r="AY57" s="66"/>
    </row>
    <row r="58" spans="1:51" ht="15.75" customHeight="1">
      <c r="A58" s="524"/>
      <c r="B58" s="71" t="s">
        <v>344</v>
      </c>
      <c r="C58" s="556"/>
      <c r="D58" s="512"/>
      <c r="E58" s="512"/>
      <c r="F58" s="510"/>
      <c r="G58" s="556"/>
      <c r="H58" s="512"/>
      <c r="I58" s="512"/>
      <c r="J58" s="510"/>
      <c r="K58" s="79"/>
      <c r="L58" s="80"/>
      <c r="M58" s="80"/>
      <c r="N58" s="80"/>
      <c r="O58" s="80"/>
      <c r="P58" s="80"/>
      <c r="Q58" s="80"/>
      <c r="R58" s="80"/>
      <c r="S58" s="80"/>
      <c r="T58" s="80"/>
      <c r="U58" s="80"/>
      <c r="V58" s="80"/>
      <c r="W58" s="80"/>
      <c r="X58" s="80"/>
      <c r="Y58" s="80"/>
      <c r="Z58" s="80"/>
      <c r="AA58" s="80"/>
      <c r="AB58" s="80"/>
      <c r="AC58" s="80"/>
      <c r="AD58" s="65"/>
      <c r="AE58" s="65"/>
      <c r="AF58" s="65"/>
      <c r="AG58" s="65"/>
      <c r="AH58" s="65"/>
      <c r="AI58" s="65"/>
      <c r="AJ58" s="65"/>
      <c r="AK58" s="65"/>
      <c r="AL58" s="65"/>
      <c r="AM58" s="65"/>
      <c r="AN58" s="65"/>
      <c r="AO58" s="65"/>
      <c r="AP58" s="65"/>
      <c r="AQ58" s="65"/>
      <c r="AR58" s="65"/>
      <c r="AS58" s="65"/>
      <c r="AT58" s="65"/>
      <c r="AU58" s="65"/>
      <c r="AV58" s="65"/>
      <c r="AW58" s="65"/>
      <c r="AX58" s="65"/>
      <c r="AY58" s="66"/>
    </row>
    <row r="59" spans="1:51" ht="15.75" customHeight="1">
      <c r="A59" s="525"/>
      <c r="B59" s="73" t="s">
        <v>307</v>
      </c>
      <c r="C59" s="74"/>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65"/>
      <c r="AE59" s="65"/>
      <c r="AF59" s="65"/>
      <c r="AG59" s="65"/>
      <c r="AH59" s="65"/>
      <c r="AI59" s="65"/>
      <c r="AJ59" s="65"/>
      <c r="AK59" s="65"/>
      <c r="AL59" s="65"/>
      <c r="AM59" s="65"/>
      <c r="AN59" s="65"/>
      <c r="AO59" s="65"/>
      <c r="AP59" s="65"/>
      <c r="AQ59" s="65"/>
      <c r="AR59" s="65"/>
      <c r="AS59" s="65"/>
      <c r="AT59" s="65"/>
      <c r="AU59" s="65"/>
      <c r="AV59" s="65"/>
      <c r="AW59" s="65"/>
      <c r="AX59" s="65"/>
      <c r="AY59" s="66"/>
    </row>
    <row r="60" spans="1:51" ht="15" customHeight="1">
      <c r="A60" s="584" t="s">
        <v>345</v>
      </c>
      <c r="B60" s="587" t="s">
        <v>346</v>
      </c>
      <c r="C60" s="571" t="s">
        <v>299</v>
      </c>
      <c r="D60" s="508"/>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65"/>
      <c r="AE60" s="65"/>
      <c r="AF60" s="65"/>
      <c r="AG60" s="65"/>
      <c r="AH60" s="65"/>
      <c r="AI60" s="65"/>
      <c r="AJ60" s="65"/>
      <c r="AK60" s="65"/>
      <c r="AL60" s="65"/>
      <c r="AM60" s="65"/>
      <c r="AN60" s="65"/>
      <c r="AO60" s="65"/>
      <c r="AP60" s="65"/>
      <c r="AQ60" s="65"/>
      <c r="AR60" s="65"/>
      <c r="AS60" s="65"/>
      <c r="AT60" s="65"/>
      <c r="AU60" s="65"/>
      <c r="AV60" s="65"/>
      <c r="AW60" s="65"/>
      <c r="AX60" s="65"/>
      <c r="AY60" s="66"/>
    </row>
    <row r="61" spans="1:51" ht="15" customHeight="1">
      <c r="A61" s="524"/>
      <c r="B61" s="524"/>
      <c r="C61" s="82" t="s">
        <v>300</v>
      </c>
      <c r="D61" s="82" t="s">
        <v>301</v>
      </c>
      <c r="E61" s="83"/>
      <c r="F61" s="72"/>
      <c r="G61" s="72"/>
      <c r="H61" s="72"/>
      <c r="I61" s="72"/>
      <c r="J61" s="72"/>
      <c r="K61" s="72"/>
      <c r="L61" s="72"/>
      <c r="M61" s="72"/>
      <c r="N61" s="72"/>
      <c r="O61" s="72"/>
      <c r="P61" s="72"/>
      <c r="Q61" s="72"/>
      <c r="R61" s="72"/>
      <c r="S61" s="72"/>
      <c r="T61" s="72"/>
      <c r="U61" s="72"/>
      <c r="V61" s="72"/>
      <c r="W61" s="72"/>
      <c r="X61" s="72"/>
      <c r="Y61" s="72"/>
      <c r="Z61" s="72"/>
      <c r="AA61" s="72"/>
      <c r="AB61" s="83"/>
      <c r="AC61" s="72"/>
      <c r="AD61" s="72"/>
      <c r="AE61" s="72"/>
      <c r="AF61" s="72"/>
      <c r="AG61" s="72"/>
      <c r="AH61" s="72"/>
      <c r="AI61" s="72"/>
      <c r="AJ61" s="65"/>
      <c r="AK61" s="65"/>
      <c r="AL61" s="65"/>
      <c r="AM61" s="65"/>
      <c r="AN61" s="65"/>
      <c r="AO61" s="65"/>
      <c r="AP61" s="65"/>
      <c r="AQ61" s="65"/>
      <c r="AR61" s="65"/>
      <c r="AS61" s="65"/>
      <c r="AT61" s="65"/>
      <c r="AU61" s="65"/>
      <c r="AV61" s="65"/>
      <c r="AW61" s="65"/>
      <c r="AX61" s="65"/>
      <c r="AY61" s="66"/>
    </row>
    <row r="62" spans="1:51" ht="15.75" customHeight="1">
      <c r="A62" s="524"/>
      <c r="B62" s="525"/>
      <c r="C62" s="573">
        <v>1</v>
      </c>
      <c r="D62" s="510"/>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65"/>
      <c r="AK62" s="65"/>
      <c r="AL62" s="65"/>
      <c r="AM62" s="65"/>
      <c r="AN62" s="65"/>
      <c r="AO62" s="65"/>
      <c r="AP62" s="65"/>
      <c r="AQ62" s="65"/>
      <c r="AR62" s="65"/>
      <c r="AS62" s="65"/>
      <c r="AT62" s="65"/>
      <c r="AU62" s="65"/>
      <c r="AV62" s="65"/>
      <c r="AW62" s="65"/>
      <c r="AX62" s="65"/>
      <c r="AY62" s="66"/>
    </row>
    <row r="63" spans="1:51" ht="15.75" customHeight="1">
      <c r="A63" s="525"/>
      <c r="B63" s="77" t="s">
        <v>307</v>
      </c>
      <c r="C63" s="74"/>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65"/>
      <c r="AK63" s="65"/>
      <c r="AL63" s="65"/>
      <c r="AM63" s="65"/>
      <c r="AN63" s="65"/>
      <c r="AO63" s="65"/>
      <c r="AP63" s="65"/>
      <c r="AQ63" s="65"/>
      <c r="AR63" s="65"/>
      <c r="AS63" s="65"/>
      <c r="AT63" s="65"/>
      <c r="AU63" s="65"/>
      <c r="AV63" s="65"/>
      <c r="AW63" s="65"/>
      <c r="AX63" s="65"/>
      <c r="AY63" s="66"/>
    </row>
    <row r="64" spans="1:51" ht="15" customHeight="1">
      <c r="A64" s="584" t="s">
        <v>347</v>
      </c>
      <c r="B64" s="570" t="s">
        <v>348</v>
      </c>
      <c r="C64" s="583" t="s">
        <v>299</v>
      </c>
      <c r="D64" s="510"/>
      <c r="E64" s="583" t="s">
        <v>349</v>
      </c>
      <c r="F64" s="512"/>
      <c r="G64" s="512"/>
      <c r="H64" s="510"/>
      <c r="I64" s="586" t="s">
        <v>350</v>
      </c>
      <c r="J64" s="512"/>
      <c r="K64" s="512"/>
      <c r="L64" s="510"/>
      <c r="M64" s="586" t="s">
        <v>351</v>
      </c>
      <c r="N64" s="512"/>
      <c r="O64" s="512"/>
      <c r="P64" s="510"/>
      <c r="Q64" s="72"/>
      <c r="R64" s="72"/>
      <c r="S64" s="72"/>
      <c r="T64" s="72"/>
      <c r="U64" s="72"/>
      <c r="V64" s="72"/>
      <c r="W64" s="72"/>
      <c r="X64" s="72"/>
      <c r="Y64" s="72"/>
      <c r="Z64" s="72"/>
      <c r="AA64" s="72"/>
      <c r="AB64" s="72"/>
      <c r="AC64" s="72"/>
      <c r="AD64" s="72"/>
      <c r="AE64" s="72"/>
      <c r="AF64" s="72"/>
      <c r="AG64" s="72"/>
      <c r="AH64" s="72"/>
      <c r="AI64" s="72"/>
      <c r="AJ64" s="65"/>
      <c r="AK64" s="65"/>
      <c r="AL64" s="65"/>
      <c r="AM64" s="65"/>
      <c r="AN64" s="65"/>
      <c r="AO64" s="65"/>
      <c r="AP64" s="65"/>
      <c r="AQ64" s="65"/>
      <c r="AR64" s="65"/>
      <c r="AS64" s="65"/>
      <c r="AT64" s="65"/>
      <c r="AU64" s="65"/>
      <c r="AV64" s="65"/>
      <c r="AW64" s="65"/>
      <c r="AX64" s="65"/>
      <c r="AY64" s="66"/>
    </row>
    <row r="65" spans="1:51" ht="15" customHeight="1">
      <c r="A65" s="524"/>
      <c r="B65" s="525"/>
      <c r="C65" s="82" t="s">
        <v>300</v>
      </c>
      <c r="D65" s="82" t="s">
        <v>301</v>
      </c>
      <c r="E65" s="583" t="s">
        <v>300</v>
      </c>
      <c r="F65" s="510"/>
      <c r="G65" s="586" t="s">
        <v>301</v>
      </c>
      <c r="H65" s="510"/>
      <c r="I65" s="586" t="s">
        <v>300</v>
      </c>
      <c r="J65" s="510"/>
      <c r="K65" s="586" t="s">
        <v>301</v>
      </c>
      <c r="L65" s="510"/>
      <c r="M65" s="586" t="s">
        <v>300</v>
      </c>
      <c r="N65" s="510"/>
      <c r="O65" s="586" t="s">
        <v>301</v>
      </c>
      <c r="P65" s="510"/>
      <c r="Q65" s="72"/>
      <c r="R65" s="72"/>
      <c r="S65" s="72"/>
      <c r="T65" s="72"/>
      <c r="U65" s="72"/>
      <c r="V65" s="72"/>
      <c r="W65" s="72"/>
      <c r="X65" s="72"/>
      <c r="Y65" s="72"/>
      <c r="Z65" s="72"/>
      <c r="AA65" s="72"/>
      <c r="AB65" s="72"/>
      <c r="AC65" s="72"/>
      <c r="AD65" s="72"/>
      <c r="AE65" s="72"/>
      <c r="AF65" s="72"/>
      <c r="AG65" s="72"/>
      <c r="AH65" s="72"/>
      <c r="AI65" s="72"/>
      <c r="AJ65" s="65"/>
      <c r="AK65" s="65"/>
      <c r="AL65" s="65"/>
      <c r="AM65" s="65"/>
      <c r="AN65" s="65"/>
      <c r="AO65" s="65"/>
      <c r="AP65" s="65"/>
      <c r="AQ65" s="65"/>
      <c r="AR65" s="65"/>
      <c r="AS65" s="65"/>
      <c r="AT65" s="65"/>
      <c r="AU65" s="65"/>
      <c r="AV65" s="65"/>
      <c r="AW65" s="65"/>
      <c r="AX65" s="65"/>
      <c r="AY65" s="66"/>
    </row>
    <row r="66" spans="1:51" ht="15.75" customHeight="1">
      <c r="A66" s="524"/>
      <c r="B66" s="71" t="s">
        <v>352</v>
      </c>
      <c r="C66" s="556">
        <v>1</v>
      </c>
      <c r="D66" s="510"/>
      <c r="E66" s="556">
        <v>1</v>
      </c>
      <c r="F66" s="512"/>
      <c r="G66" s="512"/>
      <c r="H66" s="510"/>
      <c r="I66" s="556">
        <v>1</v>
      </c>
      <c r="J66" s="512"/>
      <c r="K66" s="512"/>
      <c r="L66" s="510"/>
      <c r="M66" s="556">
        <v>1</v>
      </c>
      <c r="N66" s="512"/>
      <c r="O66" s="512"/>
      <c r="P66" s="510"/>
      <c r="Q66" s="72"/>
      <c r="R66" s="72"/>
      <c r="S66" s="72"/>
      <c r="T66" s="72"/>
      <c r="U66" s="72"/>
      <c r="V66" s="72"/>
      <c r="W66" s="72"/>
      <c r="X66" s="72"/>
      <c r="Y66" s="72"/>
      <c r="Z66" s="72"/>
      <c r="AA66" s="72"/>
      <c r="AB66" s="72"/>
      <c r="AC66" s="72"/>
      <c r="AD66" s="72"/>
      <c r="AE66" s="72"/>
      <c r="AF66" s="72"/>
      <c r="AG66" s="72"/>
      <c r="AH66" s="72"/>
      <c r="AI66" s="72"/>
      <c r="AJ66" s="65"/>
      <c r="AK66" s="65"/>
      <c r="AL66" s="65"/>
      <c r="AM66" s="65"/>
      <c r="AN66" s="65"/>
      <c r="AO66" s="65"/>
      <c r="AP66" s="65"/>
      <c r="AQ66" s="65"/>
      <c r="AR66" s="65"/>
      <c r="AS66" s="65"/>
      <c r="AT66" s="65"/>
      <c r="AU66" s="65"/>
      <c r="AV66" s="65"/>
      <c r="AW66" s="65"/>
      <c r="AX66" s="65"/>
      <c r="AY66" s="66"/>
    </row>
    <row r="67" spans="1:51" ht="15.75" customHeight="1">
      <c r="A67" s="524"/>
      <c r="B67" s="73" t="s">
        <v>307</v>
      </c>
      <c r="C67" s="74"/>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65"/>
      <c r="AK67" s="65"/>
      <c r="AL67" s="65"/>
      <c r="AM67" s="65"/>
      <c r="AN67" s="65"/>
      <c r="AO67" s="65"/>
      <c r="AP67" s="65"/>
      <c r="AQ67" s="65"/>
      <c r="AR67" s="65"/>
      <c r="AS67" s="65"/>
      <c r="AT67" s="65"/>
      <c r="AU67" s="65"/>
      <c r="AV67" s="65"/>
      <c r="AW67" s="65"/>
      <c r="AX67" s="65"/>
      <c r="AY67" s="66"/>
    </row>
    <row r="68" spans="1:51" ht="15.75" customHeight="1">
      <c r="A68" s="524"/>
      <c r="B68" s="71" t="s">
        <v>353</v>
      </c>
      <c r="C68" s="556">
        <v>1</v>
      </c>
      <c r="D68" s="510"/>
      <c r="E68" s="556">
        <v>1</v>
      </c>
      <c r="F68" s="512"/>
      <c r="G68" s="512"/>
      <c r="H68" s="510"/>
      <c r="I68" s="556">
        <v>1</v>
      </c>
      <c r="J68" s="512"/>
      <c r="K68" s="512"/>
      <c r="L68" s="510"/>
      <c r="M68" s="556">
        <v>1</v>
      </c>
      <c r="N68" s="512"/>
      <c r="O68" s="512"/>
      <c r="P68" s="510"/>
      <c r="Q68" s="72"/>
      <c r="R68" s="72"/>
      <c r="S68" s="72"/>
      <c r="T68" s="72"/>
      <c r="U68" s="72"/>
      <c r="V68" s="72"/>
      <c r="W68" s="72"/>
      <c r="X68" s="72"/>
      <c r="Y68" s="72"/>
      <c r="Z68" s="72"/>
      <c r="AA68" s="72"/>
      <c r="AB68" s="72"/>
      <c r="AC68" s="72"/>
      <c r="AD68" s="72"/>
      <c r="AE68" s="72"/>
      <c r="AF68" s="72"/>
      <c r="AG68" s="72"/>
      <c r="AH68" s="72"/>
      <c r="AI68" s="72"/>
      <c r="AJ68" s="65"/>
      <c r="AK68" s="65"/>
      <c r="AL68" s="65"/>
      <c r="AM68" s="65"/>
      <c r="AN68" s="65"/>
      <c r="AO68" s="65"/>
      <c r="AP68" s="65"/>
      <c r="AQ68" s="65"/>
      <c r="AR68" s="65"/>
      <c r="AS68" s="65"/>
      <c r="AT68" s="65"/>
      <c r="AU68" s="65"/>
      <c r="AV68" s="65"/>
      <c r="AW68" s="65"/>
      <c r="AX68" s="65"/>
      <c r="AY68" s="66"/>
    </row>
    <row r="69" spans="1:51" ht="15.75" customHeight="1">
      <c r="A69" s="524"/>
      <c r="B69" s="73" t="s">
        <v>307</v>
      </c>
      <c r="C69" s="74"/>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65"/>
      <c r="AK69" s="65"/>
      <c r="AL69" s="65"/>
      <c r="AM69" s="65"/>
      <c r="AN69" s="65"/>
      <c r="AO69" s="65"/>
      <c r="AP69" s="65"/>
      <c r="AQ69" s="65"/>
      <c r="AR69" s="65"/>
      <c r="AS69" s="65"/>
      <c r="AT69" s="65"/>
      <c r="AU69" s="65"/>
      <c r="AV69" s="65"/>
      <c r="AW69" s="65"/>
      <c r="AX69" s="65"/>
      <c r="AY69" s="66"/>
    </row>
    <row r="70" spans="1:51" ht="15.75" customHeight="1">
      <c r="A70" s="524"/>
      <c r="B70" s="71" t="s">
        <v>354</v>
      </c>
      <c r="C70" s="556">
        <v>1</v>
      </c>
      <c r="D70" s="510"/>
      <c r="E70" s="556">
        <v>1</v>
      </c>
      <c r="F70" s="512"/>
      <c r="G70" s="512"/>
      <c r="H70" s="510"/>
      <c r="I70" s="556">
        <v>0</v>
      </c>
      <c r="J70" s="512"/>
      <c r="K70" s="512"/>
      <c r="L70" s="510"/>
      <c r="M70" s="556">
        <v>0</v>
      </c>
      <c r="N70" s="512"/>
      <c r="O70" s="512"/>
      <c r="P70" s="510"/>
      <c r="Q70" s="72"/>
      <c r="R70" s="72"/>
      <c r="S70" s="72"/>
      <c r="T70" s="72"/>
      <c r="U70" s="72"/>
      <c r="V70" s="72"/>
      <c r="W70" s="72"/>
      <c r="X70" s="72"/>
      <c r="Y70" s="72"/>
      <c r="Z70" s="72"/>
      <c r="AA70" s="72"/>
      <c r="AB70" s="72"/>
      <c r="AC70" s="72"/>
      <c r="AD70" s="72"/>
      <c r="AE70" s="72"/>
      <c r="AF70" s="72"/>
      <c r="AG70" s="72"/>
      <c r="AH70" s="72"/>
      <c r="AI70" s="72"/>
      <c r="AJ70" s="65"/>
      <c r="AK70" s="65"/>
      <c r="AL70" s="65"/>
      <c r="AM70" s="65"/>
      <c r="AN70" s="65"/>
      <c r="AO70" s="65"/>
      <c r="AP70" s="65"/>
      <c r="AQ70" s="65"/>
      <c r="AR70" s="65"/>
      <c r="AS70" s="65"/>
      <c r="AT70" s="65"/>
      <c r="AU70" s="65"/>
      <c r="AV70" s="65"/>
      <c r="AW70" s="65"/>
      <c r="AX70" s="65"/>
      <c r="AY70" s="66"/>
    </row>
    <row r="71" spans="1:51" ht="15.75" customHeight="1">
      <c r="A71" s="524"/>
      <c r="B71" s="73" t="s">
        <v>307</v>
      </c>
      <c r="C71" s="74"/>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65"/>
      <c r="AK71" s="65"/>
      <c r="AL71" s="65"/>
      <c r="AM71" s="65"/>
      <c r="AN71" s="65"/>
      <c r="AO71" s="65"/>
      <c r="AP71" s="65"/>
      <c r="AQ71" s="65"/>
      <c r="AR71" s="65"/>
      <c r="AS71" s="65"/>
      <c r="AT71" s="65"/>
      <c r="AU71" s="65"/>
      <c r="AV71" s="65"/>
      <c r="AW71" s="65"/>
      <c r="AX71" s="65"/>
      <c r="AY71" s="66"/>
    </row>
    <row r="72" spans="1:51" ht="15.75" customHeight="1">
      <c r="A72" s="524"/>
      <c r="B72" s="71" t="s">
        <v>355</v>
      </c>
      <c r="C72" s="556">
        <v>1</v>
      </c>
      <c r="D72" s="510"/>
      <c r="E72" s="556">
        <v>1</v>
      </c>
      <c r="F72" s="512"/>
      <c r="G72" s="512"/>
      <c r="H72" s="510"/>
      <c r="I72" s="556">
        <v>1</v>
      </c>
      <c r="J72" s="512"/>
      <c r="K72" s="512"/>
      <c r="L72" s="510"/>
      <c r="M72" s="556">
        <v>0</v>
      </c>
      <c r="N72" s="512"/>
      <c r="O72" s="512"/>
      <c r="P72" s="510"/>
      <c r="Q72" s="72"/>
      <c r="R72" s="72"/>
      <c r="S72" s="72"/>
      <c r="T72" s="72"/>
      <c r="U72" s="72"/>
      <c r="V72" s="72"/>
      <c r="W72" s="72"/>
      <c r="X72" s="72"/>
      <c r="Y72" s="72"/>
      <c r="Z72" s="72"/>
      <c r="AA72" s="72"/>
      <c r="AB72" s="72"/>
      <c r="AC72" s="72"/>
      <c r="AD72" s="72"/>
      <c r="AE72" s="72"/>
      <c r="AF72" s="72"/>
      <c r="AG72" s="72"/>
      <c r="AH72" s="72"/>
      <c r="AI72" s="72"/>
      <c r="AJ72" s="65"/>
      <c r="AK72" s="65"/>
      <c r="AL72" s="65"/>
      <c r="AM72" s="65"/>
      <c r="AN72" s="65"/>
      <c r="AO72" s="65"/>
      <c r="AP72" s="65"/>
      <c r="AQ72" s="65"/>
      <c r="AR72" s="65"/>
      <c r="AS72" s="65"/>
      <c r="AT72" s="65"/>
      <c r="AU72" s="65"/>
      <c r="AV72" s="65"/>
      <c r="AW72" s="65"/>
      <c r="AX72" s="65"/>
      <c r="AY72" s="66"/>
    </row>
    <row r="73" spans="1:51" ht="15.75" customHeight="1">
      <c r="A73" s="524"/>
      <c r="B73" s="73" t="s">
        <v>307</v>
      </c>
      <c r="C73" s="74"/>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65"/>
      <c r="AK73" s="65"/>
      <c r="AL73" s="65"/>
      <c r="AM73" s="65"/>
      <c r="AN73" s="65"/>
      <c r="AO73" s="65"/>
      <c r="AP73" s="65"/>
      <c r="AQ73" s="65"/>
      <c r="AR73" s="65"/>
      <c r="AS73" s="65"/>
      <c r="AT73" s="65"/>
      <c r="AU73" s="65"/>
      <c r="AV73" s="65"/>
      <c r="AW73" s="65"/>
      <c r="AX73" s="65"/>
      <c r="AY73" s="66"/>
    </row>
    <row r="74" spans="1:51" ht="15.75" customHeight="1">
      <c r="A74" s="524"/>
      <c r="B74" s="71" t="s">
        <v>356</v>
      </c>
      <c r="C74" s="556">
        <v>1</v>
      </c>
      <c r="D74" s="510"/>
      <c r="E74" s="556">
        <v>0</v>
      </c>
      <c r="F74" s="512"/>
      <c r="G74" s="512"/>
      <c r="H74" s="510"/>
      <c r="I74" s="556">
        <v>0</v>
      </c>
      <c r="J74" s="512"/>
      <c r="K74" s="512"/>
      <c r="L74" s="510"/>
      <c r="M74" s="556">
        <v>0</v>
      </c>
      <c r="N74" s="512"/>
      <c r="O74" s="512"/>
      <c r="P74" s="510"/>
      <c r="Q74" s="72"/>
      <c r="R74" s="72"/>
      <c r="S74" s="72"/>
      <c r="T74" s="72"/>
      <c r="U74" s="72"/>
      <c r="V74" s="72"/>
      <c r="W74" s="72"/>
      <c r="X74" s="72"/>
      <c r="Y74" s="72"/>
      <c r="Z74" s="72"/>
      <c r="AA74" s="72"/>
      <c r="AB74" s="72"/>
      <c r="AC74" s="72"/>
      <c r="AD74" s="72"/>
      <c r="AE74" s="72"/>
      <c r="AF74" s="72"/>
      <c r="AG74" s="72"/>
      <c r="AH74" s="72"/>
      <c r="AI74" s="72"/>
      <c r="AJ74" s="65"/>
      <c r="AK74" s="65"/>
      <c r="AL74" s="65"/>
      <c r="AM74" s="65"/>
      <c r="AN74" s="65"/>
      <c r="AO74" s="65"/>
      <c r="AP74" s="65"/>
      <c r="AQ74" s="65"/>
      <c r="AR74" s="65"/>
      <c r="AS74" s="65"/>
      <c r="AT74" s="65"/>
      <c r="AU74" s="65"/>
      <c r="AV74" s="65"/>
      <c r="AW74" s="65"/>
      <c r="AX74" s="65"/>
      <c r="AY74" s="66"/>
    </row>
    <row r="75" spans="1:51" ht="15.75" customHeight="1">
      <c r="A75" s="524"/>
      <c r="B75" s="73" t="s">
        <v>307</v>
      </c>
      <c r="C75" s="74"/>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65"/>
      <c r="AK75" s="65"/>
      <c r="AL75" s="65"/>
      <c r="AM75" s="65"/>
      <c r="AN75" s="65"/>
      <c r="AO75" s="65"/>
      <c r="AP75" s="65"/>
      <c r="AQ75" s="65"/>
      <c r="AR75" s="65"/>
      <c r="AS75" s="65"/>
      <c r="AT75" s="65"/>
      <c r="AU75" s="65"/>
      <c r="AV75" s="65"/>
      <c r="AW75" s="65"/>
      <c r="AX75" s="65"/>
      <c r="AY75" s="66"/>
    </row>
    <row r="76" spans="1:51" ht="15.75" customHeight="1">
      <c r="A76" s="524"/>
      <c r="B76" s="71" t="s">
        <v>357</v>
      </c>
      <c r="C76" s="556">
        <v>1</v>
      </c>
      <c r="D76" s="510"/>
      <c r="E76" s="556">
        <v>0</v>
      </c>
      <c r="F76" s="512"/>
      <c r="G76" s="512"/>
      <c r="H76" s="510"/>
      <c r="I76" s="556">
        <v>0</v>
      </c>
      <c r="J76" s="512"/>
      <c r="K76" s="512"/>
      <c r="L76" s="510"/>
      <c r="M76" s="556">
        <v>0</v>
      </c>
      <c r="N76" s="512"/>
      <c r="O76" s="512"/>
      <c r="P76" s="510"/>
      <c r="Q76" s="72"/>
      <c r="R76" s="72"/>
      <c r="S76" s="72"/>
      <c r="T76" s="72"/>
      <c r="U76" s="72"/>
      <c r="V76" s="72"/>
      <c r="W76" s="72"/>
      <c r="X76" s="72"/>
      <c r="Y76" s="72"/>
      <c r="Z76" s="72"/>
      <c r="AA76" s="72"/>
      <c r="AB76" s="72"/>
      <c r="AC76" s="72"/>
      <c r="AD76" s="72"/>
      <c r="AE76" s="72"/>
      <c r="AF76" s="72"/>
      <c r="AG76" s="72"/>
      <c r="AH76" s="72"/>
      <c r="AI76" s="72"/>
      <c r="AJ76" s="65"/>
      <c r="AK76" s="65"/>
      <c r="AL76" s="65"/>
      <c r="AM76" s="65"/>
      <c r="AN76" s="65"/>
      <c r="AO76" s="65"/>
      <c r="AP76" s="65"/>
      <c r="AQ76" s="65"/>
      <c r="AR76" s="65"/>
      <c r="AS76" s="65"/>
      <c r="AT76" s="65"/>
      <c r="AU76" s="65"/>
      <c r="AV76" s="65"/>
      <c r="AW76" s="65"/>
      <c r="AX76" s="65"/>
      <c r="AY76" s="66"/>
    </row>
    <row r="77" spans="1:51" ht="15.75" customHeight="1">
      <c r="A77" s="524"/>
      <c r="B77" s="73" t="s">
        <v>307</v>
      </c>
      <c r="C77" s="74"/>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65"/>
      <c r="AK77" s="65"/>
      <c r="AL77" s="65"/>
      <c r="AM77" s="65"/>
      <c r="AN77" s="65"/>
      <c r="AO77" s="65"/>
      <c r="AP77" s="65"/>
      <c r="AQ77" s="65"/>
      <c r="AR77" s="65"/>
      <c r="AS77" s="65"/>
      <c r="AT77" s="65"/>
      <c r="AU77" s="65"/>
      <c r="AV77" s="65"/>
      <c r="AW77" s="65"/>
      <c r="AX77" s="65"/>
      <c r="AY77" s="66"/>
    </row>
    <row r="78" spans="1:51" ht="15.75" customHeight="1">
      <c r="A78" s="524"/>
      <c r="B78" s="71" t="s">
        <v>358</v>
      </c>
      <c r="C78" s="556">
        <v>1</v>
      </c>
      <c r="D78" s="510"/>
      <c r="E78" s="556">
        <v>1</v>
      </c>
      <c r="F78" s="512"/>
      <c r="G78" s="512"/>
      <c r="H78" s="510"/>
      <c r="I78" s="556">
        <v>1</v>
      </c>
      <c r="J78" s="512"/>
      <c r="K78" s="512"/>
      <c r="L78" s="510"/>
      <c r="M78" s="556">
        <v>1</v>
      </c>
      <c r="N78" s="512"/>
      <c r="O78" s="512"/>
      <c r="P78" s="510"/>
      <c r="Q78" s="72"/>
      <c r="R78" s="72"/>
      <c r="S78" s="72"/>
      <c r="T78" s="72"/>
      <c r="U78" s="72"/>
      <c r="V78" s="72"/>
      <c r="W78" s="72"/>
      <c r="X78" s="72"/>
      <c r="Y78" s="72"/>
      <c r="Z78" s="72"/>
      <c r="AA78" s="72"/>
      <c r="AB78" s="72"/>
      <c r="AC78" s="72"/>
      <c r="AD78" s="72"/>
      <c r="AE78" s="72"/>
      <c r="AF78" s="72"/>
      <c r="AG78" s="72"/>
      <c r="AH78" s="72"/>
      <c r="AI78" s="72"/>
      <c r="AJ78" s="65"/>
      <c r="AK78" s="65"/>
      <c r="AL78" s="65"/>
      <c r="AM78" s="65"/>
      <c r="AN78" s="65"/>
      <c r="AO78" s="65"/>
      <c r="AP78" s="65"/>
      <c r="AQ78" s="65"/>
      <c r="AR78" s="65"/>
      <c r="AS78" s="65"/>
      <c r="AT78" s="65"/>
      <c r="AU78" s="65"/>
      <c r="AV78" s="65"/>
      <c r="AW78" s="65"/>
      <c r="AX78" s="65"/>
      <c r="AY78" s="66"/>
    </row>
    <row r="79" spans="1:51" ht="15.75" customHeight="1">
      <c r="A79" s="524"/>
      <c r="B79" s="73" t="s">
        <v>307</v>
      </c>
      <c r="C79" s="74"/>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65"/>
      <c r="AK79" s="65"/>
      <c r="AL79" s="65"/>
      <c r="AM79" s="65"/>
      <c r="AN79" s="65"/>
      <c r="AO79" s="65"/>
      <c r="AP79" s="65"/>
      <c r="AQ79" s="65"/>
      <c r="AR79" s="65"/>
      <c r="AS79" s="65"/>
      <c r="AT79" s="65"/>
      <c r="AU79" s="65"/>
      <c r="AV79" s="65"/>
      <c r="AW79" s="65"/>
      <c r="AX79" s="65"/>
      <c r="AY79" s="66"/>
    </row>
    <row r="80" spans="1:51" ht="15.75" customHeight="1">
      <c r="A80" s="524"/>
      <c r="B80" s="71" t="s">
        <v>359</v>
      </c>
      <c r="C80" s="556">
        <v>0</v>
      </c>
      <c r="D80" s="510"/>
      <c r="E80" s="556">
        <v>0</v>
      </c>
      <c r="F80" s="512"/>
      <c r="G80" s="512"/>
      <c r="H80" s="510"/>
      <c r="I80" s="556">
        <v>0</v>
      </c>
      <c r="J80" s="512"/>
      <c r="K80" s="512"/>
      <c r="L80" s="510"/>
      <c r="M80" s="556">
        <v>0</v>
      </c>
      <c r="N80" s="512"/>
      <c r="O80" s="512"/>
      <c r="P80" s="510"/>
      <c r="Q80" s="72"/>
      <c r="R80" s="72"/>
      <c r="S80" s="72"/>
      <c r="T80" s="72"/>
      <c r="U80" s="72"/>
      <c r="V80" s="72"/>
      <c r="W80" s="72"/>
      <c r="X80" s="72"/>
      <c r="Y80" s="72"/>
      <c r="Z80" s="72"/>
      <c r="AA80" s="72"/>
      <c r="AB80" s="72"/>
      <c r="AC80" s="72"/>
      <c r="AD80" s="72"/>
      <c r="AE80" s="72"/>
      <c r="AF80" s="72"/>
      <c r="AG80" s="72"/>
      <c r="AH80" s="72"/>
      <c r="AI80" s="72"/>
      <c r="AJ80" s="65"/>
      <c r="AK80" s="65"/>
      <c r="AL80" s="65"/>
      <c r="AM80" s="65"/>
      <c r="AN80" s="65"/>
      <c r="AO80" s="65"/>
      <c r="AP80" s="65"/>
      <c r="AQ80" s="65"/>
      <c r="AR80" s="65"/>
      <c r="AS80" s="65"/>
      <c r="AT80" s="65"/>
      <c r="AU80" s="65"/>
      <c r="AV80" s="65"/>
      <c r="AW80" s="65"/>
      <c r="AX80" s="65"/>
      <c r="AY80" s="66"/>
    </row>
    <row r="81" spans="1:51" ht="15.75" customHeight="1">
      <c r="A81" s="524"/>
      <c r="B81" s="73" t="s">
        <v>307</v>
      </c>
      <c r="C81" s="74"/>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65"/>
      <c r="AK81" s="65"/>
      <c r="AL81" s="65"/>
      <c r="AM81" s="65"/>
      <c r="AN81" s="65"/>
      <c r="AO81" s="65"/>
      <c r="AP81" s="65"/>
      <c r="AQ81" s="65"/>
      <c r="AR81" s="65"/>
      <c r="AS81" s="65"/>
      <c r="AT81" s="65"/>
      <c r="AU81" s="65"/>
      <c r="AV81" s="65"/>
      <c r="AW81" s="65"/>
      <c r="AX81" s="65"/>
      <c r="AY81" s="66"/>
    </row>
    <row r="82" spans="1:51" ht="15.75" customHeight="1">
      <c r="A82" s="524"/>
      <c r="B82" s="71" t="s">
        <v>360</v>
      </c>
      <c r="C82" s="556">
        <v>1</v>
      </c>
      <c r="D82" s="510"/>
      <c r="E82" s="556">
        <v>1</v>
      </c>
      <c r="F82" s="512"/>
      <c r="G82" s="512"/>
      <c r="H82" s="510"/>
      <c r="I82" s="556">
        <v>0</v>
      </c>
      <c r="J82" s="512"/>
      <c r="K82" s="512"/>
      <c r="L82" s="510"/>
      <c r="M82" s="556">
        <v>0</v>
      </c>
      <c r="N82" s="512"/>
      <c r="O82" s="512"/>
      <c r="P82" s="510"/>
      <c r="Q82" s="72"/>
      <c r="R82" s="72"/>
      <c r="S82" s="72"/>
      <c r="T82" s="72"/>
      <c r="U82" s="72"/>
      <c r="V82" s="72"/>
      <c r="W82" s="72"/>
      <c r="X82" s="72"/>
      <c r="Y82" s="72"/>
      <c r="Z82" s="72"/>
      <c r="AA82" s="72"/>
      <c r="AB82" s="72"/>
      <c r="AC82" s="72"/>
      <c r="AD82" s="72"/>
      <c r="AE82" s="72"/>
      <c r="AF82" s="72"/>
      <c r="AG82" s="72"/>
      <c r="AH82" s="72"/>
      <c r="AI82" s="72"/>
      <c r="AJ82" s="65"/>
      <c r="AK82" s="65"/>
      <c r="AL82" s="65"/>
      <c r="AM82" s="65"/>
      <c r="AN82" s="65"/>
      <c r="AO82" s="65"/>
      <c r="AP82" s="65"/>
      <c r="AQ82" s="65"/>
      <c r="AR82" s="65"/>
      <c r="AS82" s="65"/>
      <c r="AT82" s="65"/>
      <c r="AU82" s="65"/>
      <c r="AV82" s="65"/>
      <c r="AW82" s="65"/>
      <c r="AX82" s="65"/>
      <c r="AY82" s="66"/>
    </row>
    <row r="83" spans="1:51" ht="15.75" customHeight="1">
      <c r="A83" s="524"/>
      <c r="B83" s="73" t="s">
        <v>307</v>
      </c>
      <c r="C83" s="74"/>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65"/>
      <c r="AK83" s="65"/>
      <c r="AL83" s="65"/>
      <c r="AM83" s="65"/>
      <c r="AN83" s="65"/>
      <c r="AO83" s="65"/>
      <c r="AP83" s="65"/>
      <c r="AQ83" s="65"/>
      <c r="AR83" s="65"/>
      <c r="AS83" s="65"/>
      <c r="AT83" s="65"/>
      <c r="AU83" s="65"/>
      <c r="AV83" s="65"/>
      <c r="AW83" s="65"/>
      <c r="AX83" s="65"/>
      <c r="AY83" s="66"/>
    </row>
    <row r="84" spans="1:51" ht="15.75" customHeight="1">
      <c r="A84" s="524"/>
      <c r="B84" s="71" t="s">
        <v>361</v>
      </c>
      <c r="C84" s="556">
        <v>0</v>
      </c>
      <c r="D84" s="510"/>
      <c r="E84" s="556">
        <v>0</v>
      </c>
      <c r="F84" s="512"/>
      <c r="G84" s="512"/>
      <c r="H84" s="510"/>
      <c r="I84" s="556">
        <v>0</v>
      </c>
      <c r="J84" s="512"/>
      <c r="K84" s="512"/>
      <c r="L84" s="510"/>
      <c r="M84" s="556">
        <v>0</v>
      </c>
      <c r="N84" s="512"/>
      <c r="O84" s="512"/>
      <c r="P84" s="510"/>
      <c r="Q84" s="72"/>
      <c r="R84" s="72"/>
      <c r="S84" s="72"/>
      <c r="T84" s="72"/>
      <c r="U84" s="72"/>
      <c r="V84" s="72"/>
      <c r="W84" s="72"/>
      <c r="X84" s="72"/>
      <c r="Y84" s="72"/>
      <c r="Z84" s="72"/>
      <c r="AA84" s="72"/>
      <c r="AB84" s="72"/>
      <c r="AC84" s="72"/>
      <c r="AD84" s="72"/>
      <c r="AE84" s="72"/>
      <c r="AF84" s="72"/>
      <c r="AG84" s="72"/>
      <c r="AH84" s="72"/>
      <c r="AI84" s="72"/>
      <c r="AJ84" s="65"/>
      <c r="AK84" s="65"/>
      <c r="AL84" s="65"/>
      <c r="AM84" s="65"/>
      <c r="AN84" s="65"/>
      <c r="AO84" s="65"/>
      <c r="AP84" s="65"/>
      <c r="AQ84" s="65"/>
      <c r="AR84" s="65"/>
      <c r="AS84" s="65"/>
      <c r="AT84" s="65"/>
      <c r="AU84" s="65"/>
      <c r="AV84" s="65"/>
      <c r="AW84" s="65"/>
      <c r="AX84" s="65"/>
      <c r="AY84" s="66"/>
    </row>
    <row r="85" spans="1:51" ht="15.75" customHeight="1">
      <c r="A85" s="524"/>
      <c r="B85" s="73" t="s">
        <v>307</v>
      </c>
      <c r="C85" s="74"/>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65"/>
      <c r="AK85" s="65"/>
      <c r="AL85" s="65"/>
      <c r="AM85" s="65"/>
      <c r="AN85" s="65"/>
      <c r="AO85" s="65"/>
      <c r="AP85" s="65"/>
      <c r="AQ85" s="65"/>
      <c r="AR85" s="65"/>
      <c r="AS85" s="65"/>
      <c r="AT85" s="65"/>
      <c r="AU85" s="65"/>
      <c r="AV85" s="65"/>
      <c r="AW85" s="65"/>
      <c r="AX85" s="65"/>
      <c r="AY85" s="66"/>
    </row>
    <row r="86" spans="1:51" ht="15.75" customHeight="1">
      <c r="A86" s="524"/>
      <c r="B86" s="71" t="s">
        <v>362</v>
      </c>
      <c r="C86" s="556">
        <v>0</v>
      </c>
      <c r="D86" s="510"/>
      <c r="E86" s="83"/>
      <c r="F86" s="84"/>
      <c r="G86" s="84"/>
      <c r="H86" s="84"/>
      <c r="I86" s="84"/>
      <c r="J86" s="84"/>
      <c r="K86" s="84"/>
      <c r="L86" s="84"/>
      <c r="M86" s="84"/>
      <c r="N86" s="84"/>
      <c r="O86" s="84"/>
      <c r="P86" s="84"/>
      <c r="Q86" s="83"/>
      <c r="R86" s="83"/>
      <c r="S86" s="83"/>
      <c r="T86" s="83"/>
      <c r="U86" s="83"/>
      <c r="V86" s="83"/>
      <c r="W86" s="83"/>
      <c r="X86" s="83"/>
      <c r="Y86" s="83"/>
      <c r="Z86" s="83"/>
      <c r="AA86" s="83"/>
      <c r="AB86" s="83"/>
      <c r="AC86" s="83"/>
      <c r="AD86" s="83"/>
      <c r="AE86" s="83"/>
      <c r="AF86" s="83"/>
      <c r="AG86" s="83"/>
      <c r="AH86" s="83"/>
      <c r="AI86" s="83"/>
      <c r="AJ86" s="65"/>
      <c r="AK86" s="65"/>
      <c r="AL86" s="65"/>
      <c r="AM86" s="65"/>
      <c r="AN86" s="65"/>
      <c r="AO86" s="65"/>
      <c r="AP86" s="65"/>
      <c r="AQ86" s="65"/>
      <c r="AR86" s="65"/>
      <c r="AS86" s="65"/>
      <c r="AT86" s="65"/>
      <c r="AU86" s="65"/>
      <c r="AV86" s="65"/>
      <c r="AW86" s="65"/>
      <c r="AX86" s="65"/>
      <c r="AY86" s="66"/>
    </row>
    <row r="87" spans="1:51" ht="15.75" customHeight="1">
      <c r="A87" s="525"/>
      <c r="B87" s="73" t="s">
        <v>307</v>
      </c>
      <c r="C87" s="74"/>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65"/>
      <c r="AK87" s="65"/>
      <c r="AL87" s="65"/>
      <c r="AM87" s="65"/>
      <c r="AN87" s="65"/>
      <c r="AO87" s="65"/>
      <c r="AP87" s="65"/>
      <c r="AQ87" s="65"/>
      <c r="AR87" s="65"/>
      <c r="AS87" s="65"/>
      <c r="AT87" s="65"/>
      <c r="AU87" s="65"/>
      <c r="AV87" s="65"/>
      <c r="AW87" s="65"/>
      <c r="AX87" s="65"/>
      <c r="AY87" s="66"/>
    </row>
    <row r="88" spans="1:51" ht="15.75" customHeight="1">
      <c r="A88" s="584" t="s">
        <v>363</v>
      </c>
      <c r="B88" s="585" t="s">
        <v>364</v>
      </c>
      <c r="C88" s="583" t="s">
        <v>299</v>
      </c>
      <c r="D88" s="510"/>
      <c r="E88" s="85"/>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65"/>
      <c r="AK88" s="65"/>
      <c r="AL88" s="65"/>
      <c r="AM88" s="65"/>
      <c r="AN88" s="65"/>
      <c r="AO88" s="65"/>
      <c r="AP88" s="65"/>
      <c r="AQ88" s="65"/>
      <c r="AR88" s="65"/>
      <c r="AS88" s="65"/>
      <c r="AT88" s="65"/>
      <c r="AU88" s="65"/>
      <c r="AV88" s="65"/>
      <c r="AW88" s="65"/>
      <c r="AX88" s="65"/>
      <c r="AY88" s="66"/>
    </row>
    <row r="89" spans="1:51" ht="15.75" customHeight="1">
      <c r="A89" s="524"/>
      <c r="B89" s="525"/>
      <c r="C89" s="69" t="s">
        <v>300</v>
      </c>
      <c r="D89" s="69" t="s">
        <v>301</v>
      </c>
      <c r="E89" s="85"/>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65"/>
      <c r="AK89" s="65"/>
      <c r="AL89" s="65"/>
      <c r="AM89" s="65"/>
      <c r="AN89" s="65"/>
      <c r="AO89" s="65"/>
      <c r="AP89" s="65"/>
      <c r="AQ89" s="65"/>
      <c r="AR89" s="65"/>
      <c r="AS89" s="65"/>
      <c r="AT89" s="65"/>
      <c r="AU89" s="65"/>
      <c r="AV89" s="65"/>
      <c r="AW89" s="65"/>
      <c r="AX89" s="65"/>
      <c r="AY89" s="66"/>
    </row>
    <row r="90" spans="1:51" ht="15.75" customHeight="1">
      <c r="A90" s="524"/>
      <c r="B90" s="71" t="s">
        <v>365</v>
      </c>
      <c r="C90" s="556">
        <v>1</v>
      </c>
      <c r="D90" s="510"/>
      <c r="E90" s="85"/>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65"/>
      <c r="AK90" s="65"/>
      <c r="AL90" s="65"/>
      <c r="AM90" s="65"/>
      <c r="AN90" s="65"/>
      <c r="AO90" s="65"/>
      <c r="AP90" s="65"/>
      <c r="AQ90" s="65"/>
      <c r="AR90" s="65"/>
      <c r="AS90" s="65"/>
      <c r="AT90" s="65"/>
      <c r="AU90" s="65"/>
      <c r="AV90" s="65"/>
      <c r="AW90" s="65"/>
      <c r="AX90" s="65"/>
      <c r="AY90" s="66"/>
    </row>
    <row r="91" spans="1:51" ht="15.75" customHeight="1">
      <c r="A91" s="524"/>
      <c r="B91" s="73" t="s">
        <v>307</v>
      </c>
      <c r="C91" s="74" t="s">
        <v>366</v>
      </c>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65"/>
      <c r="AK91" s="65"/>
      <c r="AL91" s="65"/>
      <c r="AM91" s="65"/>
      <c r="AN91" s="65"/>
      <c r="AO91" s="65"/>
      <c r="AP91" s="65"/>
      <c r="AQ91" s="65"/>
      <c r="AR91" s="65"/>
      <c r="AS91" s="65"/>
      <c r="AT91" s="65"/>
      <c r="AU91" s="65"/>
      <c r="AV91" s="65"/>
      <c r="AW91" s="65"/>
      <c r="AX91" s="65"/>
      <c r="AY91" s="66"/>
    </row>
    <row r="92" spans="1:51" ht="15.75" customHeight="1">
      <c r="A92" s="524"/>
      <c r="B92" s="71" t="s">
        <v>367</v>
      </c>
      <c r="C92" s="556">
        <v>0</v>
      </c>
      <c r="D92" s="510"/>
      <c r="E92" s="85"/>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65"/>
      <c r="AK92" s="65"/>
      <c r="AL92" s="65"/>
      <c r="AM92" s="65"/>
      <c r="AN92" s="65"/>
      <c r="AO92" s="65"/>
      <c r="AP92" s="65"/>
      <c r="AQ92" s="65"/>
      <c r="AR92" s="65"/>
      <c r="AS92" s="65"/>
      <c r="AT92" s="65"/>
      <c r="AU92" s="65"/>
      <c r="AV92" s="65"/>
      <c r="AW92" s="65"/>
      <c r="AX92" s="65"/>
      <c r="AY92" s="66"/>
    </row>
    <row r="93" spans="1:51" ht="15.75" customHeight="1">
      <c r="A93" s="524"/>
      <c r="B93" s="73" t="s">
        <v>307</v>
      </c>
      <c r="C93" s="74"/>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65"/>
      <c r="AK93" s="65"/>
      <c r="AL93" s="65"/>
      <c r="AM93" s="65"/>
      <c r="AN93" s="65"/>
      <c r="AO93" s="65"/>
      <c r="AP93" s="65"/>
      <c r="AQ93" s="65"/>
      <c r="AR93" s="65"/>
      <c r="AS93" s="65"/>
      <c r="AT93" s="65"/>
      <c r="AU93" s="65"/>
      <c r="AV93" s="65"/>
      <c r="AW93" s="65"/>
      <c r="AX93" s="65"/>
      <c r="AY93" s="66"/>
    </row>
    <row r="94" spans="1:51" ht="15.75" customHeight="1">
      <c r="A94" s="524"/>
      <c r="B94" s="71" t="s">
        <v>368</v>
      </c>
      <c r="C94" s="556">
        <v>0</v>
      </c>
      <c r="D94" s="510"/>
      <c r="E94" s="85"/>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65"/>
      <c r="AK94" s="65"/>
      <c r="AL94" s="65"/>
      <c r="AM94" s="65"/>
      <c r="AN94" s="65"/>
      <c r="AO94" s="65"/>
      <c r="AP94" s="65"/>
      <c r="AQ94" s="65"/>
      <c r="AR94" s="65"/>
      <c r="AS94" s="65"/>
      <c r="AT94" s="65"/>
      <c r="AU94" s="65"/>
      <c r="AV94" s="65"/>
      <c r="AW94" s="65"/>
      <c r="AX94" s="65"/>
      <c r="AY94" s="66"/>
    </row>
    <row r="95" spans="1:51" ht="15.75" customHeight="1">
      <c r="A95" s="524"/>
      <c r="B95" s="73" t="s">
        <v>307</v>
      </c>
      <c r="C95" s="74"/>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65"/>
      <c r="AK95" s="65"/>
      <c r="AL95" s="65"/>
      <c r="AM95" s="65"/>
      <c r="AN95" s="65"/>
      <c r="AO95" s="65"/>
      <c r="AP95" s="65"/>
      <c r="AQ95" s="65"/>
      <c r="AR95" s="65"/>
      <c r="AS95" s="65"/>
      <c r="AT95" s="65"/>
      <c r="AU95" s="65"/>
      <c r="AV95" s="65"/>
      <c r="AW95" s="65"/>
      <c r="AX95" s="65"/>
      <c r="AY95" s="66"/>
    </row>
    <row r="96" spans="1:51" ht="15.75" customHeight="1">
      <c r="A96" s="524"/>
      <c r="B96" s="71" t="s">
        <v>369</v>
      </c>
      <c r="C96" s="556">
        <v>0</v>
      </c>
      <c r="D96" s="510"/>
      <c r="E96" s="85"/>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65"/>
      <c r="AK96" s="65"/>
      <c r="AL96" s="65"/>
      <c r="AM96" s="65"/>
      <c r="AN96" s="65"/>
      <c r="AO96" s="65"/>
      <c r="AP96" s="65"/>
      <c r="AQ96" s="65"/>
      <c r="AR96" s="65"/>
      <c r="AS96" s="65"/>
      <c r="AT96" s="65"/>
      <c r="AU96" s="65"/>
      <c r="AV96" s="65"/>
      <c r="AW96" s="65"/>
      <c r="AX96" s="65"/>
      <c r="AY96" s="66"/>
    </row>
    <row r="97" spans="1:51" ht="15.75" customHeight="1">
      <c r="A97" s="524"/>
      <c r="B97" s="73" t="s">
        <v>307</v>
      </c>
      <c r="C97" s="74"/>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65"/>
      <c r="AK97" s="65"/>
      <c r="AL97" s="65"/>
      <c r="AM97" s="65"/>
      <c r="AN97" s="65"/>
      <c r="AO97" s="65"/>
      <c r="AP97" s="65"/>
      <c r="AQ97" s="65"/>
      <c r="AR97" s="65"/>
      <c r="AS97" s="65"/>
      <c r="AT97" s="65"/>
      <c r="AU97" s="65"/>
      <c r="AV97" s="65"/>
      <c r="AW97" s="65"/>
      <c r="AX97" s="65"/>
      <c r="AY97" s="66"/>
    </row>
    <row r="98" spans="1:51" ht="15.75" customHeight="1">
      <c r="A98" s="524"/>
      <c r="B98" s="71" t="s">
        <v>370</v>
      </c>
      <c r="C98" s="556">
        <v>0</v>
      </c>
      <c r="D98" s="510"/>
      <c r="E98" s="85"/>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65"/>
      <c r="AK98" s="65"/>
      <c r="AL98" s="65"/>
      <c r="AM98" s="65"/>
      <c r="AN98" s="65"/>
      <c r="AO98" s="65"/>
      <c r="AP98" s="65"/>
      <c r="AQ98" s="65"/>
      <c r="AR98" s="65"/>
      <c r="AS98" s="65"/>
      <c r="AT98" s="65"/>
      <c r="AU98" s="65"/>
      <c r="AV98" s="65"/>
      <c r="AW98" s="65"/>
      <c r="AX98" s="65"/>
      <c r="AY98" s="66"/>
    </row>
    <row r="99" spans="1:51" ht="15.75" customHeight="1">
      <c r="A99" s="524"/>
      <c r="B99" s="73" t="s">
        <v>307</v>
      </c>
      <c r="C99" s="74"/>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65"/>
      <c r="AK99" s="65"/>
      <c r="AL99" s="65"/>
      <c r="AM99" s="65"/>
      <c r="AN99" s="65"/>
      <c r="AO99" s="65"/>
      <c r="AP99" s="65"/>
      <c r="AQ99" s="65"/>
      <c r="AR99" s="65"/>
      <c r="AS99" s="65"/>
      <c r="AT99" s="65"/>
      <c r="AU99" s="65"/>
      <c r="AV99" s="65"/>
      <c r="AW99" s="65"/>
      <c r="AX99" s="65"/>
      <c r="AY99" s="66"/>
    </row>
    <row r="100" spans="1:51" ht="15.75" customHeight="1">
      <c r="A100" s="524"/>
      <c r="B100" s="71" t="s">
        <v>371</v>
      </c>
      <c r="C100" s="556">
        <v>0</v>
      </c>
      <c r="D100" s="510"/>
      <c r="E100" s="85"/>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65"/>
      <c r="AK100" s="65"/>
      <c r="AL100" s="65"/>
      <c r="AM100" s="65"/>
      <c r="AN100" s="65"/>
      <c r="AO100" s="65"/>
      <c r="AP100" s="65"/>
      <c r="AQ100" s="65"/>
      <c r="AR100" s="65"/>
      <c r="AS100" s="65"/>
      <c r="AT100" s="65"/>
      <c r="AU100" s="65"/>
      <c r="AV100" s="65"/>
      <c r="AW100" s="65"/>
      <c r="AX100" s="65"/>
      <c r="AY100" s="66"/>
    </row>
    <row r="101" spans="1:51" ht="15.75" customHeight="1">
      <c r="A101" s="524"/>
      <c r="B101" s="73" t="s">
        <v>307</v>
      </c>
      <c r="C101" s="74"/>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65"/>
      <c r="AK101" s="65"/>
      <c r="AL101" s="65"/>
      <c r="AM101" s="65"/>
      <c r="AN101" s="65"/>
      <c r="AO101" s="65"/>
      <c r="AP101" s="65"/>
      <c r="AQ101" s="65"/>
      <c r="AR101" s="65"/>
      <c r="AS101" s="65"/>
      <c r="AT101" s="65"/>
      <c r="AU101" s="65"/>
      <c r="AV101" s="65"/>
      <c r="AW101" s="65"/>
      <c r="AX101" s="65"/>
      <c r="AY101" s="66"/>
    </row>
    <row r="102" spans="1:51" ht="15.75" customHeight="1">
      <c r="A102" s="524"/>
      <c r="B102" s="71" t="s">
        <v>372</v>
      </c>
      <c r="C102" s="556">
        <v>0</v>
      </c>
      <c r="D102" s="510"/>
      <c r="E102" s="85"/>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65"/>
      <c r="AK102" s="65"/>
      <c r="AL102" s="65"/>
      <c r="AM102" s="65"/>
      <c r="AN102" s="65"/>
      <c r="AO102" s="65"/>
      <c r="AP102" s="65"/>
      <c r="AQ102" s="65"/>
      <c r="AR102" s="65"/>
      <c r="AS102" s="65"/>
      <c r="AT102" s="65"/>
      <c r="AU102" s="65"/>
      <c r="AV102" s="65"/>
      <c r="AW102" s="65"/>
      <c r="AX102" s="65"/>
      <c r="AY102" s="66"/>
    </row>
    <row r="103" spans="1:51" ht="15.75" customHeight="1">
      <c r="A103" s="524"/>
      <c r="B103" s="73" t="s">
        <v>307</v>
      </c>
      <c r="C103" s="74"/>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65"/>
      <c r="AK103" s="65"/>
      <c r="AL103" s="65"/>
      <c r="AM103" s="65"/>
      <c r="AN103" s="65"/>
      <c r="AO103" s="65"/>
      <c r="AP103" s="65"/>
      <c r="AQ103" s="65"/>
      <c r="AR103" s="65"/>
      <c r="AS103" s="65"/>
      <c r="AT103" s="65"/>
      <c r="AU103" s="65"/>
      <c r="AV103" s="65"/>
      <c r="AW103" s="65"/>
      <c r="AX103" s="65"/>
      <c r="AY103" s="66"/>
    </row>
    <row r="104" spans="1:51" ht="15.75" customHeight="1">
      <c r="A104" s="524"/>
      <c r="B104" s="71" t="s">
        <v>373</v>
      </c>
      <c r="C104" s="556">
        <v>0</v>
      </c>
      <c r="D104" s="510"/>
      <c r="E104" s="85"/>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65"/>
      <c r="AK104" s="65"/>
      <c r="AL104" s="65"/>
      <c r="AM104" s="65"/>
      <c r="AN104" s="65"/>
      <c r="AO104" s="65"/>
      <c r="AP104" s="65"/>
      <c r="AQ104" s="65"/>
      <c r="AR104" s="65"/>
      <c r="AS104" s="65"/>
      <c r="AT104" s="65"/>
      <c r="AU104" s="65"/>
      <c r="AV104" s="65"/>
      <c r="AW104" s="65"/>
      <c r="AX104" s="65"/>
      <c r="AY104" s="66"/>
    </row>
    <row r="105" spans="1:51" ht="15.75" customHeight="1">
      <c r="A105" s="524"/>
      <c r="B105" s="73" t="s">
        <v>307</v>
      </c>
      <c r="C105" s="74"/>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65"/>
      <c r="AK105" s="65"/>
      <c r="AL105" s="65"/>
      <c r="AM105" s="65"/>
      <c r="AN105" s="65"/>
      <c r="AO105" s="65"/>
      <c r="AP105" s="65"/>
      <c r="AQ105" s="65"/>
      <c r="AR105" s="65"/>
      <c r="AS105" s="65"/>
      <c r="AT105" s="65"/>
      <c r="AU105" s="65"/>
      <c r="AV105" s="65"/>
      <c r="AW105" s="65"/>
      <c r="AX105" s="65"/>
      <c r="AY105" s="66"/>
    </row>
    <row r="106" spans="1:51" ht="15.75" customHeight="1">
      <c r="A106" s="524"/>
      <c r="B106" s="71" t="s">
        <v>374</v>
      </c>
      <c r="C106" s="556">
        <v>0</v>
      </c>
      <c r="D106" s="510"/>
      <c r="E106" s="85"/>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65"/>
      <c r="AK106" s="65"/>
      <c r="AL106" s="65"/>
      <c r="AM106" s="65"/>
      <c r="AN106" s="65"/>
      <c r="AO106" s="65"/>
      <c r="AP106" s="65"/>
      <c r="AQ106" s="65"/>
      <c r="AR106" s="65"/>
      <c r="AS106" s="65"/>
      <c r="AT106" s="65"/>
      <c r="AU106" s="65"/>
      <c r="AV106" s="65"/>
      <c r="AW106" s="65"/>
      <c r="AX106" s="65"/>
      <c r="AY106" s="66"/>
    </row>
    <row r="107" spans="1:51" ht="15.75" customHeight="1">
      <c r="A107" s="524"/>
      <c r="B107" s="73" t="s">
        <v>307</v>
      </c>
      <c r="C107" s="74"/>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65"/>
      <c r="AK107" s="65"/>
      <c r="AL107" s="65"/>
      <c r="AM107" s="65"/>
      <c r="AN107" s="65"/>
      <c r="AO107" s="65"/>
      <c r="AP107" s="65"/>
      <c r="AQ107" s="65"/>
      <c r="AR107" s="65"/>
      <c r="AS107" s="65"/>
      <c r="AT107" s="65"/>
      <c r="AU107" s="65"/>
      <c r="AV107" s="65"/>
      <c r="AW107" s="65"/>
      <c r="AX107" s="65"/>
      <c r="AY107" s="66"/>
    </row>
    <row r="108" spans="1:51" ht="15.75" customHeight="1">
      <c r="A108" s="524"/>
      <c r="B108" s="71" t="s">
        <v>375</v>
      </c>
      <c r="C108" s="556">
        <v>1</v>
      </c>
      <c r="D108" s="510"/>
      <c r="E108" s="85"/>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65"/>
      <c r="AK108" s="65"/>
      <c r="AL108" s="65"/>
      <c r="AM108" s="65"/>
      <c r="AN108" s="65"/>
      <c r="AO108" s="65"/>
      <c r="AP108" s="65"/>
      <c r="AQ108" s="65"/>
      <c r="AR108" s="65"/>
      <c r="AS108" s="65"/>
      <c r="AT108" s="65"/>
      <c r="AU108" s="65"/>
      <c r="AV108" s="65"/>
      <c r="AW108" s="65"/>
      <c r="AX108" s="65"/>
      <c r="AY108" s="66"/>
    </row>
    <row r="109" spans="1:51" ht="15.75" customHeight="1">
      <c r="A109" s="524"/>
      <c r="B109" s="73" t="s">
        <v>307</v>
      </c>
      <c r="C109" s="74"/>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65"/>
      <c r="AK109" s="65"/>
      <c r="AL109" s="65"/>
      <c r="AM109" s="65"/>
      <c r="AN109" s="65"/>
      <c r="AO109" s="65"/>
      <c r="AP109" s="65"/>
      <c r="AQ109" s="65"/>
      <c r="AR109" s="65"/>
      <c r="AS109" s="65"/>
      <c r="AT109" s="65"/>
      <c r="AU109" s="65"/>
      <c r="AV109" s="65"/>
      <c r="AW109" s="65"/>
      <c r="AX109" s="65"/>
      <c r="AY109" s="66"/>
    </row>
    <row r="110" spans="1:51" ht="15.75" customHeight="1">
      <c r="A110" s="524"/>
      <c r="B110" s="71" t="s">
        <v>376</v>
      </c>
      <c r="C110" s="556">
        <v>1</v>
      </c>
      <c r="D110" s="510"/>
      <c r="E110" s="85"/>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65"/>
      <c r="AK110" s="65"/>
      <c r="AL110" s="65"/>
      <c r="AM110" s="65"/>
      <c r="AN110" s="65"/>
      <c r="AO110" s="65"/>
      <c r="AP110" s="65"/>
      <c r="AQ110" s="65"/>
      <c r="AR110" s="65"/>
      <c r="AS110" s="65"/>
      <c r="AT110" s="65"/>
      <c r="AU110" s="65"/>
      <c r="AV110" s="65"/>
      <c r="AW110" s="65"/>
      <c r="AX110" s="65"/>
      <c r="AY110" s="66"/>
    </row>
    <row r="111" spans="1:51" ht="15.75" customHeight="1">
      <c r="A111" s="524"/>
      <c r="B111" s="73" t="s">
        <v>307</v>
      </c>
      <c r="C111" s="74" t="s">
        <v>377</v>
      </c>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65"/>
      <c r="AK111" s="65"/>
      <c r="AL111" s="65"/>
      <c r="AM111" s="65"/>
      <c r="AN111" s="65"/>
      <c r="AO111" s="65"/>
      <c r="AP111" s="65"/>
      <c r="AQ111" s="65"/>
      <c r="AR111" s="65"/>
      <c r="AS111" s="65"/>
      <c r="AT111" s="65"/>
      <c r="AU111" s="65"/>
      <c r="AV111" s="65"/>
      <c r="AW111" s="65"/>
      <c r="AX111" s="65"/>
      <c r="AY111" s="66"/>
    </row>
    <row r="112" spans="1:51" ht="15.75" customHeight="1">
      <c r="A112" s="524"/>
      <c r="B112" s="71" t="s">
        <v>378</v>
      </c>
      <c r="C112" s="556">
        <v>1</v>
      </c>
      <c r="D112" s="510"/>
      <c r="E112" s="85"/>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65"/>
      <c r="AK112" s="65"/>
      <c r="AL112" s="65"/>
      <c r="AM112" s="65"/>
      <c r="AN112" s="65"/>
      <c r="AO112" s="65"/>
      <c r="AP112" s="65"/>
      <c r="AQ112" s="65"/>
      <c r="AR112" s="65"/>
      <c r="AS112" s="65"/>
      <c r="AT112" s="65"/>
      <c r="AU112" s="65"/>
      <c r="AV112" s="65"/>
      <c r="AW112" s="65"/>
      <c r="AX112" s="65"/>
      <c r="AY112" s="66"/>
    </row>
    <row r="113" spans="1:51" ht="15.75" customHeight="1">
      <c r="A113" s="524"/>
      <c r="B113" s="73" t="s">
        <v>307</v>
      </c>
      <c r="C113" s="74"/>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65"/>
      <c r="AK113" s="65"/>
      <c r="AL113" s="65"/>
      <c r="AM113" s="65"/>
      <c r="AN113" s="65"/>
      <c r="AO113" s="65"/>
      <c r="AP113" s="65"/>
      <c r="AQ113" s="65"/>
      <c r="AR113" s="65"/>
      <c r="AS113" s="65"/>
      <c r="AT113" s="65"/>
      <c r="AU113" s="65"/>
      <c r="AV113" s="65"/>
      <c r="AW113" s="65"/>
      <c r="AX113" s="65"/>
      <c r="AY113" s="66"/>
    </row>
    <row r="114" spans="1:51" ht="15.75" customHeight="1">
      <c r="A114" s="524"/>
      <c r="B114" s="71" t="s">
        <v>379</v>
      </c>
      <c r="C114" s="556">
        <v>0</v>
      </c>
      <c r="D114" s="510"/>
      <c r="E114" s="85"/>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65"/>
      <c r="AK114" s="65"/>
      <c r="AL114" s="65"/>
      <c r="AM114" s="65"/>
      <c r="AN114" s="65"/>
      <c r="AO114" s="65"/>
      <c r="AP114" s="65"/>
      <c r="AQ114" s="65"/>
      <c r="AR114" s="65"/>
      <c r="AS114" s="65"/>
      <c r="AT114" s="65"/>
      <c r="AU114" s="65"/>
      <c r="AV114" s="65"/>
      <c r="AW114" s="65"/>
      <c r="AX114" s="65"/>
      <c r="AY114" s="66"/>
    </row>
    <row r="115" spans="1:51" ht="15.75" customHeight="1">
      <c r="A115" s="524"/>
      <c r="B115" s="73" t="s">
        <v>307</v>
      </c>
      <c r="C115" s="74"/>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65"/>
      <c r="AK115" s="65"/>
      <c r="AL115" s="65"/>
      <c r="AM115" s="65"/>
      <c r="AN115" s="65"/>
      <c r="AO115" s="65"/>
      <c r="AP115" s="65"/>
      <c r="AQ115" s="65"/>
      <c r="AR115" s="65"/>
      <c r="AS115" s="65"/>
      <c r="AT115" s="65"/>
      <c r="AU115" s="65"/>
      <c r="AV115" s="65"/>
      <c r="AW115" s="65"/>
      <c r="AX115" s="65"/>
      <c r="AY115" s="66"/>
    </row>
    <row r="116" spans="1:51" ht="15.75" customHeight="1">
      <c r="A116" s="524"/>
      <c r="B116" s="71" t="s">
        <v>380</v>
      </c>
      <c r="C116" s="556"/>
      <c r="D116" s="510"/>
      <c r="E116" s="85"/>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65"/>
      <c r="AK116" s="65"/>
      <c r="AL116" s="65"/>
      <c r="AM116" s="65"/>
      <c r="AN116" s="65"/>
      <c r="AO116" s="65"/>
      <c r="AP116" s="65"/>
      <c r="AQ116" s="65"/>
      <c r="AR116" s="65"/>
      <c r="AS116" s="65"/>
      <c r="AT116" s="65"/>
      <c r="AU116" s="65"/>
      <c r="AV116" s="65"/>
      <c r="AW116" s="65"/>
      <c r="AX116" s="65"/>
      <c r="AY116" s="66"/>
    </row>
    <row r="117" spans="1:51" ht="15.75" customHeight="1">
      <c r="A117" s="524"/>
      <c r="B117" s="73" t="s">
        <v>307</v>
      </c>
      <c r="C117" s="74"/>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65"/>
      <c r="AK117" s="65"/>
      <c r="AL117" s="65"/>
      <c r="AM117" s="65"/>
      <c r="AN117" s="65"/>
      <c r="AO117" s="65"/>
      <c r="AP117" s="65"/>
      <c r="AQ117" s="65"/>
      <c r="AR117" s="65"/>
      <c r="AS117" s="65"/>
      <c r="AT117" s="65"/>
      <c r="AU117" s="65"/>
      <c r="AV117" s="65"/>
      <c r="AW117" s="65"/>
      <c r="AX117" s="65"/>
      <c r="AY117" s="66"/>
    </row>
    <row r="118" spans="1:51" ht="15.75" customHeight="1">
      <c r="A118" s="524"/>
      <c r="B118" s="71" t="s">
        <v>343</v>
      </c>
      <c r="C118" s="556"/>
      <c r="D118" s="510"/>
      <c r="E118" s="85"/>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65"/>
      <c r="AK118" s="65"/>
      <c r="AL118" s="65"/>
      <c r="AM118" s="65"/>
      <c r="AN118" s="65"/>
      <c r="AO118" s="65"/>
      <c r="AP118" s="65"/>
      <c r="AQ118" s="65"/>
      <c r="AR118" s="65"/>
      <c r="AS118" s="65"/>
      <c r="AT118" s="65"/>
      <c r="AU118" s="65"/>
      <c r="AV118" s="65"/>
      <c r="AW118" s="65"/>
      <c r="AX118" s="65"/>
      <c r="AY118" s="66"/>
    </row>
    <row r="119" spans="1:51" ht="15.75" customHeight="1">
      <c r="A119" s="524"/>
      <c r="B119" s="73" t="s">
        <v>307</v>
      </c>
      <c r="C119" s="74"/>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65"/>
      <c r="AK119" s="65"/>
      <c r="AL119" s="65"/>
      <c r="AM119" s="65"/>
      <c r="AN119" s="65"/>
      <c r="AO119" s="65"/>
      <c r="AP119" s="65"/>
      <c r="AQ119" s="65"/>
      <c r="AR119" s="65"/>
      <c r="AS119" s="65"/>
      <c r="AT119" s="65"/>
      <c r="AU119" s="65"/>
      <c r="AV119" s="65"/>
      <c r="AW119" s="65"/>
      <c r="AX119" s="65"/>
      <c r="AY119" s="66"/>
    </row>
    <row r="120" spans="1:51" ht="15.75" customHeight="1">
      <c r="A120" s="524"/>
      <c r="B120" s="71" t="s">
        <v>344</v>
      </c>
      <c r="C120" s="556"/>
      <c r="D120" s="510"/>
      <c r="E120" s="85"/>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65"/>
      <c r="AK120" s="65"/>
      <c r="AL120" s="65"/>
      <c r="AM120" s="65"/>
      <c r="AN120" s="65"/>
      <c r="AO120" s="65"/>
      <c r="AP120" s="65"/>
      <c r="AQ120" s="65"/>
      <c r="AR120" s="65"/>
      <c r="AS120" s="65"/>
      <c r="AT120" s="65"/>
      <c r="AU120" s="65"/>
      <c r="AV120" s="65"/>
      <c r="AW120" s="65"/>
      <c r="AX120" s="65"/>
      <c r="AY120" s="66"/>
    </row>
    <row r="121" spans="1:51" ht="15.75" customHeight="1">
      <c r="A121" s="525"/>
      <c r="B121" s="73" t="s">
        <v>307</v>
      </c>
      <c r="C121" s="74"/>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65"/>
      <c r="AK121" s="65"/>
      <c r="AL121" s="65"/>
      <c r="AM121" s="65"/>
      <c r="AN121" s="65"/>
      <c r="AO121" s="65"/>
      <c r="AP121" s="65"/>
      <c r="AQ121" s="65"/>
      <c r="AR121" s="65"/>
      <c r="AS121" s="65"/>
      <c r="AT121" s="65"/>
      <c r="AU121" s="65"/>
      <c r="AV121" s="65"/>
      <c r="AW121" s="65"/>
      <c r="AX121" s="65"/>
      <c r="AY121" s="66"/>
    </row>
    <row r="122" spans="1:51" ht="15.75" customHeight="1">
      <c r="A122" s="584" t="s">
        <v>381</v>
      </c>
      <c r="B122" s="86" t="s">
        <v>382</v>
      </c>
      <c r="C122" s="556">
        <v>1</v>
      </c>
      <c r="D122" s="510"/>
      <c r="E122" s="87"/>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65"/>
      <c r="AK122" s="65"/>
      <c r="AL122" s="65"/>
      <c r="AM122" s="65"/>
      <c r="AN122" s="65"/>
      <c r="AO122" s="65"/>
      <c r="AP122" s="65"/>
      <c r="AQ122" s="65"/>
      <c r="AR122" s="65"/>
      <c r="AS122" s="65"/>
      <c r="AT122" s="65"/>
      <c r="AU122" s="65"/>
      <c r="AV122" s="65"/>
      <c r="AW122" s="65"/>
      <c r="AX122" s="65"/>
      <c r="AY122" s="66"/>
    </row>
    <row r="123" spans="1:51" ht="15.75" customHeight="1">
      <c r="A123" s="525"/>
      <c r="B123" s="73" t="s">
        <v>307</v>
      </c>
      <c r="C123" s="74" t="s">
        <v>383</v>
      </c>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65"/>
      <c r="AK123" s="65"/>
      <c r="AL123" s="65"/>
      <c r="AM123" s="65"/>
      <c r="AN123" s="65"/>
      <c r="AO123" s="65"/>
      <c r="AP123" s="65"/>
      <c r="AQ123" s="65"/>
      <c r="AR123" s="65"/>
      <c r="AS123" s="65"/>
      <c r="AT123" s="65"/>
      <c r="AU123" s="65"/>
      <c r="AV123" s="65"/>
      <c r="AW123" s="65"/>
      <c r="AX123" s="65"/>
      <c r="AY123" s="66"/>
    </row>
    <row r="124" spans="1:51" ht="15" customHeight="1">
      <c r="A124" s="88" t="s">
        <v>384</v>
      </c>
      <c r="B124" s="88" t="s">
        <v>385</v>
      </c>
      <c r="C124" s="89"/>
      <c r="D124" s="90"/>
      <c r="E124" s="87"/>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65"/>
      <c r="AK124" s="65"/>
      <c r="AL124" s="65"/>
      <c r="AM124" s="65"/>
      <c r="AN124" s="65"/>
      <c r="AO124" s="65"/>
      <c r="AP124" s="65"/>
      <c r="AQ124" s="65"/>
      <c r="AR124" s="65"/>
      <c r="AS124" s="65"/>
      <c r="AT124" s="65"/>
      <c r="AU124" s="65"/>
      <c r="AV124" s="65"/>
      <c r="AW124" s="65"/>
      <c r="AX124" s="65"/>
      <c r="AY124" s="66"/>
    </row>
    <row r="125" spans="1:51" ht="15" customHeight="1">
      <c r="A125" s="575">
        <v>2</v>
      </c>
      <c r="B125" s="575" t="s">
        <v>386</v>
      </c>
      <c r="C125" s="576" t="s">
        <v>299</v>
      </c>
      <c r="D125" s="510"/>
      <c r="E125" s="87"/>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65"/>
      <c r="AK125" s="65"/>
      <c r="AL125" s="65"/>
      <c r="AM125" s="65"/>
      <c r="AN125" s="65"/>
      <c r="AO125" s="65"/>
      <c r="AP125" s="65"/>
      <c r="AQ125" s="65"/>
      <c r="AR125" s="65"/>
      <c r="AS125" s="65"/>
      <c r="AT125" s="65"/>
      <c r="AU125" s="65"/>
      <c r="AV125" s="65"/>
      <c r="AW125" s="65"/>
      <c r="AX125" s="65"/>
      <c r="AY125" s="66"/>
    </row>
    <row r="126" spans="1:51" ht="15.75" customHeight="1">
      <c r="A126" s="525"/>
      <c r="B126" s="525"/>
      <c r="C126" s="91" t="s">
        <v>300</v>
      </c>
      <c r="D126" s="91" t="s">
        <v>301</v>
      </c>
      <c r="E126" s="87"/>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65"/>
      <c r="AK126" s="65"/>
      <c r="AL126" s="65"/>
      <c r="AM126" s="65"/>
      <c r="AN126" s="65"/>
      <c r="AO126" s="65"/>
      <c r="AP126" s="65"/>
      <c r="AQ126" s="65"/>
      <c r="AR126" s="65"/>
      <c r="AS126" s="65"/>
      <c r="AT126" s="65"/>
      <c r="AU126" s="65"/>
      <c r="AV126" s="65"/>
      <c r="AW126" s="65"/>
      <c r="AX126" s="65"/>
      <c r="AY126" s="66"/>
    </row>
    <row r="127" spans="1:51" ht="15.75" customHeight="1">
      <c r="A127" s="560" t="s">
        <v>387</v>
      </c>
      <c r="B127" s="93" t="s">
        <v>388</v>
      </c>
      <c r="C127" s="556">
        <v>1</v>
      </c>
      <c r="D127" s="510"/>
      <c r="E127" s="87"/>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65"/>
      <c r="AK127" s="65"/>
      <c r="AL127" s="65"/>
      <c r="AM127" s="65"/>
      <c r="AN127" s="65"/>
      <c r="AO127" s="65"/>
      <c r="AP127" s="65"/>
      <c r="AQ127" s="65"/>
      <c r="AR127" s="65"/>
      <c r="AS127" s="65"/>
      <c r="AT127" s="65"/>
      <c r="AU127" s="65"/>
      <c r="AV127" s="65"/>
      <c r="AW127" s="65"/>
      <c r="AX127" s="65"/>
      <c r="AY127" s="66"/>
    </row>
    <row r="128" spans="1:51" ht="15.75" customHeight="1">
      <c r="A128" s="525"/>
      <c r="B128" s="73" t="s">
        <v>307</v>
      </c>
      <c r="C128" s="74"/>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65"/>
      <c r="AK128" s="65"/>
      <c r="AL128" s="65"/>
      <c r="AM128" s="65"/>
      <c r="AN128" s="65"/>
      <c r="AO128" s="65"/>
      <c r="AP128" s="65"/>
      <c r="AQ128" s="65"/>
      <c r="AR128" s="65"/>
      <c r="AS128" s="65"/>
      <c r="AT128" s="65"/>
      <c r="AU128" s="65"/>
      <c r="AV128" s="65"/>
      <c r="AW128" s="65"/>
      <c r="AX128" s="65"/>
      <c r="AY128" s="66"/>
    </row>
    <row r="129" spans="1:51" ht="15.75" customHeight="1">
      <c r="A129" s="560" t="s">
        <v>389</v>
      </c>
      <c r="B129" s="93" t="s">
        <v>390</v>
      </c>
      <c r="C129" s="556">
        <v>1</v>
      </c>
      <c r="D129" s="510"/>
      <c r="E129" s="87"/>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65"/>
      <c r="AK129" s="65"/>
      <c r="AL129" s="65"/>
      <c r="AM129" s="65"/>
      <c r="AN129" s="65"/>
      <c r="AO129" s="65"/>
      <c r="AP129" s="65"/>
      <c r="AQ129" s="65"/>
      <c r="AR129" s="65"/>
      <c r="AS129" s="65"/>
      <c r="AT129" s="65"/>
      <c r="AU129" s="65"/>
      <c r="AV129" s="65"/>
      <c r="AW129" s="65"/>
      <c r="AX129" s="65"/>
      <c r="AY129" s="66"/>
    </row>
    <row r="130" spans="1:51" ht="15.75" customHeight="1">
      <c r="A130" s="525"/>
      <c r="B130" s="73" t="s">
        <v>307</v>
      </c>
      <c r="C130" s="74" t="s">
        <v>391</v>
      </c>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65"/>
      <c r="AK130" s="65"/>
      <c r="AL130" s="65"/>
      <c r="AM130" s="65"/>
      <c r="AN130" s="65"/>
      <c r="AO130" s="65"/>
      <c r="AP130" s="65"/>
      <c r="AQ130" s="65"/>
      <c r="AR130" s="65"/>
      <c r="AS130" s="65"/>
      <c r="AT130" s="65"/>
      <c r="AU130" s="65"/>
      <c r="AV130" s="65"/>
      <c r="AW130" s="65"/>
      <c r="AX130" s="65"/>
      <c r="AY130" s="66"/>
    </row>
    <row r="131" spans="1:51" ht="15.75" customHeight="1">
      <c r="A131" s="560" t="s">
        <v>392</v>
      </c>
      <c r="B131" s="93" t="s">
        <v>393</v>
      </c>
      <c r="C131" s="556">
        <v>1</v>
      </c>
      <c r="D131" s="510"/>
      <c r="E131" s="87"/>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65"/>
      <c r="AK131" s="65"/>
      <c r="AL131" s="65"/>
      <c r="AM131" s="65"/>
      <c r="AN131" s="65"/>
      <c r="AO131" s="65"/>
      <c r="AP131" s="65"/>
      <c r="AQ131" s="65"/>
      <c r="AR131" s="65"/>
      <c r="AS131" s="65"/>
      <c r="AT131" s="65"/>
      <c r="AU131" s="65"/>
      <c r="AV131" s="65"/>
      <c r="AW131" s="65"/>
      <c r="AX131" s="65"/>
      <c r="AY131" s="66"/>
    </row>
    <row r="132" spans="1:51" ht="15.75" customHeight="1">
      <c r="A132" s="525"/>
      <c r="B132" s="73" t="s">
        <v>307</v>
      </c>
      <c r="C132" s="74"/>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65"/>
      <c r="AK132" s="65"/>
      <c r="AL132" s="65"/>
      <c r="AM132" s="65"/>
      <c r="AN132" s="65"/>
      <c r="AO132" s="65"/>
      <c r="AP132" s="65"/>
      <c r="AQ132" s="65"/>
      <c r="AR132" s="65"/>
      <c r="AS132" s="65"/>
      <c r="AT132" s="65"/>
      <c r="AU132" s="65"/>
      <c r="AV132" s="65"/>
      <c r="AW132" s="65"/>
      <c r="AX132" s="65"/>
      <c r="AY132" s="66"/>
    </row>
    <row r="133" spans="1:51" ht="15.75" customHeight="1">
      <c r="A133" s="560" t="s">
        <v>394</v>
      </c>
      <c r="B133" s="93" t="s">
        <v>395</v>
      </c>
      <c r="C133" s="556">
        <v>1</v>
      </c>
      <c r="D133" s="510"/>
      <c r="E133" s="87"/>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65"/>
      <c r="AK133" s="65"/>
      <c r="AL133" s="65"/>
      <c r="AM133" s="65"/>
      <c r="AN133" s="65"/>
      <c r="AO133" s="65"/>
      <c r="AP133" s="65"/>
      <c r="AQ133" s="65"/>
      <c r="AR133" s="65"/>
      <c r="AS133" s="65"/>
      <c r="AT133" s="65"/>
      <c r="AU133" s="65"/>
      <c r="AV133" s="65"/>
      <c r="AW133" s="65"/>
      <c r="AX133" s="65"/>
      <c r="AY133" s="66"/>
    </row>
    <row r="134" spans="1:51" ht="15.75" customHeight="1">
      <c r="A134" s="525"/>
      <c r="B134" s="73" t="s">
        <v>307</v>
      </c>
      <c r="C134" s="74"/>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65"/>
      <c r="AK134" s="65"/>
      <c r="AL134" s="65"/>
      <c r="AM134" s="65"/>
      <c r="AN134" s="65"/>
      <c r="AO134" s="65"/>
      <c r="AP134" s="65"/>
      <c r="AQ134" s="65"/>
      <c r="AR134" s="65"/>
      <c r="AS134" s="65"/>
      <c r="AT134" s="65"/>
      <c r="AU134" s="65"/>
      <c r="AV134" s="65"/>
      <c r="AW134" s="65"/>
      <c r="AX134" s="65"/>
      <c r="AY134" s="66"/>
    </row>
    <row r="135" spans="1:51" ht="15.75" customHeight="1">
      <c r="A135" s="560" t="s">
        <v>396</v>
      </c>
      <c r="B135" s="93" t="s">
        <v>397</v>
      </c>
      <c r="C135" s="556">
        <v>0</v>
      </c>
      <c r="D135" s="510"/>
      <c r="E135" s="87"/>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65"/>
      <c r="AK135" s="65"/>
      <c r="AL135" s="65"/>
      <c r="AM135" s="65"/>
      <c r="AN135" s="65"/>
      <c r="AO135" s="65"/>
      <c r="AP135" s="65"/>
      <c r="AQ135" s="65"/>
      <c r="AR135" s="65"/>
      <c r="AS135" s="65"/>
      <c r="AT135" s="65"/>
      <c r="AU135" s="65"/>
      <c r="AV135" s="65"/>
      <c r="AW135" s="65"/>
      <c r="AX135" s="65"/>
      <c r="AY135" s="66"/>
    </row>
    <row r="136" spans="1:51" ht="15.75" customHeight="1">
      <c r="A136" s="525"/>
      <c r="B136" s="73" t="s">
        <v>307</v>
      </c>
      <c r="C136" s="74"/>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65"/>
      <c r="AK136" s="65"/>
      <c r="AL136" s="65"/>
      <c r="AM136" s="65"/>
      <c r="AN136" s="65"/>
      <c r="AO136" s="65"/>
      <c r="AP136" s="65"/>
      <c r="AQ136" s="65"/>
      <c r="AR136" s="65"/>
      <c r="AS136" s="65"/>
      <c r="AT136" s="65"/>
      <c r="AU136" s="65"/>
      <c r="AV136" s="65"/>
      <c r="AW136" s="65"/>
      <c r="AX136" s="65"/>
      <c r="AY136" s="66"/>
    </row>
    <row r="137" spans="1:51" ht="15.75" customHeight="1">
      <c r="A137" s="560" t="s">
        <v>398</v>
      </c>
      <c r="B137" s="94" t="s">
        <v>399</v>
      </c>
      <c r="C137" s="574">
        <v>1</v>
      </c>
      <c r="D137" s="510"/>
      <c r="E137" s="95" t="s">
        <v>400</v>
      </c>
      <c r="F137" s="96"/>
      <c r="G137" s="96"/>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65"/>
      <c r="AK137" s="65"/>
      <c r="AL137" s="65"/>
      <c r="AM137" s="65"/>
      <c r="AN137" s="65"/>
      <c r="AO137" s="65"/>
      <c r="AP137" s="65"/>
      <c r="AQ137" s="65"/>
      <c r="AR137" s="65"/>
      <c r="AS137" s="65"/>
      <c r="AT137" s="65"/>
      <c r="AU137" s="65"/>
      <c r="AV137" s="65"/>
      <c r="AW137" s="65"/>
      <c r="AX137" s="65"/>
      <c r="AY137" s="66"/>
    </row>
    <row r="138" spans="1:51" ht="15.75" customHeight="1">
      <c r="A138" s="525"/>
      <c r="B138" s="73" t="s">
        <v>307</v>
      </c>
      <c r="C138" s="74" t="s">
        <v>401</v>
      </c>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65"/>
      <c r="AK138" s="65"/>
      <c r="AL138" s="65"/>
      <c r="AM138" s="65"/>
      <c r="AN138" s="65"/>
      <c r="AO138" s="65"/>
      <c r="AP138" s="65"/>
      <c r="AQ138" s="65"/>
      <c r="AR138" s="65"/>
      <c r="AS138" s="65"/>
      <c r="AT138" s="65"/>
      <c r="AU138" s="65"/>
      <c r="AV138" s="65"/>
      <c r="AW138" s="65"/>
      <c r="AX138" s="65"/>
      <c r="AY138" s="66"/>
    </row>
    <row r="139" spans="1:51" ht="15.75" customHeight="1">
      <c r="A139" s="560" t="s">
        <v>402</v>
      </c>
      <c r="B139" s="93" t="s">
        <v>403</v>
      </c>
      <c r="C139" s="556">
        <v>0</v>
      </c>
      <c r="D139" s="510"/>
      <c r="E139" s="87"/>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65"/>
      <c r="AK139" s="65"/>
      <c r="AL139" s="65"/>
      <c r="AM139" s="65"/>
      <c r="AN139" s="65"/>
      <c r="AO139" s="65"/>
      <c r="AP139" s="65"/>
      <c r="AQ139" s="65"/>
      <c r="AR139" s="65"/>
      <c r="AS139" s="65"/>
      <c r="AT139" s="65"/>
      <c r="AU139" s="65"/>
      <c r="AV139" s="65"/>
      <c r="AW139" s="65"/>
      <c r="AX139" s="65"/>
      <c r="AY139" s="66"/>
    </row>
    <row r="140" spans="1:51" ht="15.75" customHeight="1">
      <c r="A140" s="525"/>
      <c r="B140" s="73" t="s">
        <v>307</v>
      </c>
      <c r="C140" s="74"/>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65"/>
      <c r="AK140" s="65"/>
      <c r="AL140" s="65"/>
      <c r="AM140" s="65"/>
      <c r="AN140" s="65"/>
      <c r="AO140" s="65"/>
      <c r="AP140" s="65"/>
      <c r="AQ140" s="65"/>
      <c r="AR140" s="65"/>
      <c r="AS140" s="65"/>
      <c r="AT140" s="65"/>
      <c r="AU140" s="65"/>
      <c r="AV140" s="65"/>
      <c r="AW140" s="65"/>
      <c r="AX140" s="65"/>
      <c r="AY140" s="66"/>
    </row>
    <row r="141" spans="1:51" ht="15.75" customHeight="1">
      <c r="A141" s="560" t="s">
        <v>404</v>
      </c>
      <c r="B141" s="93" t="s">
        <v>405</v>
      </c>
      <c r="C141" s="556">
        <v>0</v>
      </c>
      <c r="D141" s="510"/>
      <c r="E141" s="87"/>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65"/>
      <c r="AK141" s="65"/>
      <c r="AL141" s="65"/>
      <c r="AM141" s="65"/>
      <c r="AN141" s="65"/>
      <c r="AO141" s="65"/>
      <c r="AP141" s="65"/>
      <c r="AQ141" s="65"/>
      <c r="AR141" s="65"/>
      <c r="AS141" s="65"/>
      <c r="AT141" s="65"/>
      <c r="AU141" s="65"/>
      <c r="AV141" s="65"/>
      <c r="AW141" s="65"/>
      <c r="AX141" s="65"/>
      <c r="AY141" s="66"/>
    </row>
    <row r="142" spans="1:51" ht="15.75" customHeight="1">
      <c r="A142" s="525"/>
      <c r="B142" s="73" t="s">
        <v>307</v>
      </c>
      <c r="C142" s="74"/>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65"/>
      <c r="AK142" s="65"/>
      <c r="AL142" s="65"/>
      <c r="AM142" s="65"/>
      <c r="AN142" s="65"/>
      <c r="AO142" s="65"/>
      <c r="AP142" s="65"/>
      <c r="AQ142" s="65"/>
      <c r="AR142" s="65"/>
      <c r="AS142" s="65"/>
      <c r="AT142" s="65"/>
      <c r="AU142" s="65"/>
      <c r="AV142" s="65"/>
      <c r="AW142" s="65"/>
      <c r="AX142" s="65"/>
      <c r="AY142" s="66"/>
    </row>
    <row r="143" spans="1:51" ht="15.75" customHeight="1">
      <c r="A143" s="560" t="s">
        <v>406</v>
      </c>
      <c r="B143" s="93" t="s">
        <v>407</v>
      </c>
      <c r="C143" s="573">
        <v>0</v>
      </c>
      <c r="D143" s="510"/>
      <c r="E143" s="87"/>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65"/>
      <c r="AK143" s="65"/>
      <c r="AL143" s="65"/>
      <c r="AM143" s="65"/>
      <c r="AN143" s="65"/>
      <c r="AO143" s="65"/>
      <c r="AP143" s="65"/>
      <c r="AQ143" s="65"/>
      <c r="AR143" s="65"/>
      <c r="AS143" s="65"/>
      <c r="AT143" s="65"/>
      <c r="AU143" s="65"/>
      <c r="AV143" s="65"/>
      <c r="AW143" s="65"/>
      <c r="AX143" s="65"/>
      <c r="AY143" s="66"/>
    </row>
    <row r="144" spans="1:51" ht="15.75" customHeight="1">
      <c r="A144" s="525"/>
      <c r="B144" s="73" t="s">
        <v>307</v>
      </c>
      <c r="C144" s="74"/>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65"/>
      <c r="AK144" s="65"/>
      <c r="AL144" s="65"/>
      <c r="AM144" s="65"/>
      <c r="AN144" s="65"/>
      <c r="AO144" s="65"/>
      <c r="AP144" s="65"/>
      <c r="AQ144" s="65"/>
      <c r="AR144" s="65"/>
      <c r="AS144" s="65"/>
      <c r="AT144" s="65"/>
      <c r="AU144" s="65"/>
      <c r="AV144" s="65"/>
      <c r="AW144" s="65"/>
      <c r="AX144" s="65"/>
      <c r="AY144" s="66"/>
    </row>
    <row r="145" spans="1:51" ht="15.75" customHeight="1">
      <c r="A145" s="560" t="s">
        <v>408</v>
      </c>
      <c r="B145" s="93" t="s">
        <v>409</v>
      </c>
      <c r="C145" s="556">
        <v>0</v>
      </c>
      <c r="D145" s="510"/>
      <c r="E145" s="79"/>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65"/>
      <c r="AK145" s="65"/>
      <c r="AL145" s="65"/>
      <c r="AM145" s="65"/>
      <c r="AN145" s="65"/>
      <c r="AO145" s="65"/>
      <c r="AP145" s="65"/>
      <c r="AQ145" s="65"/>
      <c r="AR145" s="65"/>
      <c r="AS145" s="65"/>
      <c r="AT145" s="65"/>
      <c r="AU145" s="65"/>
      <c r="AV145" s="65"/>
      <c r="AW145" s="65"/>
      <c r="AX145" s="65"/>
      <c r="AY145" s="66"/>
    </row>
    <row r="146" spans="1:51" ht="15.75" customHeight="1">
      <c r="A146" s="525"/>
      <c r="B146" s="73" t="s">
        <v>307</v>
      </c>
      <c r="C146" s="74"/>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65"/>
      <c r="AK146" s="65"/>
      <c r="AL146" s="65"/>
      <c r="AM146" s="65"/>
      <c r="AN146" s="65"/>
      <c r="AO146" s="65"/>
      <c r="AP146" s="65"/>
      <c r="AQ146" s="65"/>
      <c r="AR146" s="65"/>
      <c r="AS146" s="65"/>
      <c r="AT146" s="65"/>
      <c r="AU146" s="65"/>
      <c r="AV146" s="65"/>
      <c r="AW146" s="65"/>
      <c r="AX146" s="65"/>
      <c r="AY146" s="66"/>
    </row>
    <row r="147" spans="1:51" ht="15.75" customHeight="1">
      <c r="A147" s="560" t="s">
        <v>410</v>
      </c>
      <c r="B147" s="93" t="s">
        <v>411</v>
      </c>
      <c r="C147" s="556">
        <v>0</v>
      </c>
      <c r="D147" s="510"/>
      <c r="E147" s="87"/>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65"/>
      <c r="AK147" s="65"/>
      <c r="AL147" s="65"/>
      <c r="AM147" s="65"/>
      <c r="AN147" s="65"/>
      <c r="AO147" s="65"/>
      <c r="AP147" s="65"/>
      <c r="AQ147" s="65"/>
      <c r="AR147" s="65"/>
      <c r="AS147" s="65"/>
      <c r="AT147" s="65"/>
      <c r="AU147" s="65"/>
      <c r="AV147" s="65"/>
      <c r="AW147" s="65"/>
      <c r="AX147" s="65"/>
      <c r="AY147" s="66"/>
    </row>
    <row r="148" spans="1:51" ht="15.75" customHeight="1">
      <c r="A148" s="525"/>
      <c r="B148" s="73" t="s">
        <v>307</v>
      </c>
      <c r="C148" s="74"/>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65"/>
      <c r="AK148" s="65"/>
      <c r="AL148" s="65"/>
      <c r="AM148" s="65"/>
      <c r="AN148" s="65"/>
      <c r="AO148" s="65"/>
      <c r="AP148" s="65"/>
      <c r="AQ148" s="65"/>
      <c r="AR148" s="65"/>
      <c r="AS148" s="65"/>
      <c r="AT148" s="65"/>
      <c r="AU148" s="65"/>
      <c r="AV148" s="65"/>
      <c r="AW148" s="65"/>
      <c r="AX148" s="65"/>
      <c r="AY148" s="66"/>
    </row>
    <row r="149" spans="1:51" ht="15.75" customHeight="1">
      <c r="A149" s="560" t="s">
        <v>412</v>
      </c>
      <c r="B149" s="93" t="s">
        <v>413</v>
      </c>
      <c r="C149" s="556">
        <v>0</v>
      </c>
      <c r="D149" s="510"/>
      <c r="E149" s="87"/>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65"/>
      <c r="AK149" s="65"/>
      <c r="AL149" s="65"/>
      <c r="AM149" s="65"/>
      <c r="AN149" s="65"/>
      <c r="AO149" s="65"/>
      <c r="AP149" s="65"/>
      <c r="AQ149" s="65"/>
      <c r="AR149" s="65"/>
      <c r="AS149" s="65"/>
      <c r="AT149" s="65"/>
      <c r="AU149" s="65"/>
      <c r="AV149" s="65"/>
      <c r="AW149" s="65"/>
      <c r="AX149" s="65"/>
      <c r="AY149" s="66"/>
    </row>
    <row r="150" spans="1:51" ht="15.75" customHeight="1">
      <c r="A150" s="525"/>
      <c r="B150" s="73" t="s">
        <v>307</v>
      </c>
      <c r="C150" s="74"/>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65"/>
      <c r="AK150" s="65"/>
      <c r="AL150" s="65"/>
      <c r="AM150" s="65"/>
      <c r="AN150" s="65"/>
      <c r="AO150" s="65"/>
      <c r="AP150" s="65"/>
      <c r="AQ150" s="65"/>
      <c r="AR150" s="65"/>
      <c r="AS150" s="65"/>
      <c r="AT150" s="65"/>
      <c r="AU150" s="65"/>
      <c r="AV150" s="65"/>
      <c r="AW150" s="65"/>
      <c r="AX150" s="65"/>
      <c r="AY150" s="66"/>
    </row>
    <row r="151" spans="1:51" ht="15.75" customHeight="1">
      <c r="A151" s="560" t="s">
        <v>414</v>
      </c>
      <c r="B151" s="93" t="s">
        <v>415</v>
      </c>
      <c r="C151" s="556">
        <v>0</v>
      </c>
      <c r="D151" s="510"/>
      <c r="E151" s="87"/>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65"/>
      <c r="AK151" s="65"/>
      <c r="AL151" s="65"/>
      <c r="AM151" s="65"/>
      <c r="AN151" s="65"/>
      <c r="AO151" s="65"/>
      <c r="AP151" s="65"/>
      <c r="AQ151" s="65"/>
      <c r="AR151" s="65"/>
      <c r="AS151" s="65"/>
      <c r="AT151" s="65"/>
      <c r="AU151" s="65"/>
      <c r="AV151" s="65"/>
      <c r="AW151" s="65"/>
      <c r="AX151" s="65"/>
      <c r="AY151" s="66"/>
    </row>
    <row r="152" spans="1:51" ht="15.75" customHeight="1">
      <c r="A152" s="525"/>
      <c r="B152" s="73" t="s">
        <v>307</v>
      </c>
      <c r="C152" s="74"/>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65"/>
      <c r="AK152" s="65"/>
      <c r="AL152" s="65"/>
      <c r="AM152" s="65"/>
      <c r="AN152" s="65"/>
      <c r="AO152" s="65"/>
      <c r="AP152" s="65"/>
      <c r="AQ152" s="65"/>
      <c r="AR152" s="65"/>
      <c r="AS152" s="65"/>
      <c r="AT152" s="65"/>
      <c r="AU152" s="65"/>
      <c r="AV152" s="65"/>
      <c r="AW152" s="65"/>
      <c r="AX152" s="65"/>
      <c r="AY152" s="66"/>
    </row>
    <row r="153" spans="1:51" ht="15.75" customHeight="1">
      <c r="A153" s="560" t="s">
        <v>416</v>
      </c>
      <c r="B153" s="93" t="s">
        <v>417</v>
      </c>
      <c r="C153" s="556">
        <v>1</v>
      </c>
      <c r="D153" s="510"/>
      <c r="E153" s="87"/>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65"/>
      <c r="AK153" s="65"/>
      <c r="AL153" s="65"/>
      <c r="AM153" s="65"/>
      <c r="AN153" s="65"/>
      <c r="AO153" s="65"/>
      <c r="AP153" s="65"/>
      <c r="AQ153" s="65"/>
      <c r="AR153" s="65"/>
      <c r="AS153" s="65"/>
      <c r="AT153" s="65"/>
      <c r="AU153" s="65"/>
      <c r="AV153" s="65"/>
      <c r="AW153" s="65"/>
      <c r="AX153" s="65"/>
      <c r="AY153" s="66"/>
    </row>
    <row r="154" spans="1:51" ht="15.75" customHeight="1">
      <c r="A154" s="525"/>
      <c r="B154" s="73" t="s">
        <v>307</v>
      </c>
      <c r="C154" s="74" t="s">
        <v>418</v>
      </c>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65"/>
      <c r="AK154" s="65"/>
      <c r="AL154" s="65"/>
      <c r="AM154" s="65"/>
      <c r="AN154" s="65"/>
      <c r="AO154" s="65"/>
      <c r="AP154" s="65"/>
      <c r="AQ154" s="65"/>
      <c r="AR154" s="65"/>
      <c r="AS154" s="65"/>
      <c r="AT154" s="65"/>
      <c r="AU154" s="65"/>
      <c r="AV154" s="65"/>
      <c r="AW154" s="65"/>
      <c r="AX154" s="65"/>
      <c r="AY154" s="66"/>
    </row>
    <row r="155" spans="1:51" ht="15.75" customHeight="1">
      <c r="A155" s="560" t="s">
        <v>419</v>
      </c>
      <c r="B155" s="94" t="s">
        <v>420</v>
      </c>
      <c r="C155" s="555">
        <v>1</v>
      </c>
      <c r="D155" s="510"/>
      <c r="E155" s="87"/>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65"/>
      <c r="AK155" s="65"/>
      <c r="AL155" s="65"/>
      <c r="AM155" s="65"/>
      <c r="AN155" s="65"/>
      <c r="AO155" s="65"/>
      <c r="AP155" s="65"/>
      <c r="AQ155" s="65"/>
      <c r="AR155" s="65"/>
      <c r="AS155" s="65"/>
      <c r="AT155" s="65"/>
      <c r="AU155" s="65"/>
      <c r="AV155" s="65"/>
      <c r="AW155" s="65"/>
      <c r="AX155" s="65"/>
      <c r="AY155" s="66"/>
    </row>
    <row r="156" spans="1:51" ht="15.75" customHeight="1">
      <c r="A156" s="525"/>
      <c r="B156" s="73" t="s">
        <v>307</v>
      </c>
      <c r="C156" s="74" t="s">
        <v>421</v>
      </c>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65"/>
      <c r="AK156" s="65"/>
      <c r="AL156" s="65"/>
      <c r="AM156" s="65"/>
      <c r="AN156" s="65"/>
      <c r="AO156" s="65"/>
      <c r="AP156" s="65"/>
      <c r="AQ156" s="65"/>
      <c r="AR156" s="65"/>
      <c r="AS156" s="65"/>
      <c r="AT156" s="65"/>
      <c r="AU156" s="65"/>
      <c r="AV156" s="65"/>
      <c r="AW156" s="65"/>
      <c r="AX156" s="65"/>
      <c r="AY156" s="66"/>
    </row>
    <row r="157" spans="1:51" ht="15" customHeight="1">
      <c r="A157" s="606">
        <v>3</v>
      </c>
      <c r="B157" s="606" t="s">
        <v>422</v>
      </c>
      <c r="C157" s="607" t="s">
        <v>299</v>
      </c>
      <c r="D157" s="510"/>
      <c r="E157" s="87"/>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65"/>
      <c r="AK157" s="65"/>
      <c r="AL157" s="65"/>
      <c r="AM157" s="65"/>
      <c r="AN157" s="65"/>
      <c r="AO157" s="65"/>
      <c r="AP157" s="65"/>
      <c r="AQ157" s="65"/>
      <c r="AR157" s="65"/>
      <c r="AS157" s="65"/>
      <c r="AT157" s="65"/>
      <c r="AU157" s="65"/>
      <c r="AV157" s="65"/>
      <c r="AW157" s="65"/>
      <c r="AX157" s="65"/>
      <c r="AY157" s="66"/>
    </row>
    <row r="158" spans="1:51" ht="15.75" customHeight="1">
      <c r="A158" s="525"/>
      <c r="B158" s="525"/>
      <c r="C158" s="98" t="s">
        <v>300</v>
      </c>
      <c r="D158" s="98" t="s">
        <v>301</v>
      </c>
      <c r="E158" s="87"/>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65"/>
      <c r="AK158" s="65"/>
      <c r="AL158" s="65"/>
      <c r="AM158" s="65"/>
      <c r="AN158" s="65"/>
      <c r="AO158" s="65"/>
      <c r="AP158" s="65"/>
      <c r="AQ158" s="65"/>
      <c r="AR158" s="65"/>
      <c r="AS158" s="65"/>
      <c r="AT158" s="65"/>
      <c r="AU158" s="65"/>
      <c r="AV158" s="65"/>
      <c r="AW158" s="65"/>
      <c r="AX158" s="65"/>
      <c r="AY158" s="66"/>
    </row>
    <row r="159" spans="1:51" ht="15.75" customHeight="1">
      <c r="A159" s="560" t="s">
        <v>423</v>
      </c>
      <c r="B159" s="86" t="s">
        <v>424</v>
      </c>
      <c r="C159" s="573">
        <v>1</v>
      </c>
      <c r="D159" s="510"/>
      <c r="E159" s="87"/>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65"/>
      <c r="AK159" s="65"/>
      <c r="AL159" s="65"/>
      <c r="AM159" s="65"/>
      <c r="AN159" s="65"/>
      <c r="AO159" s="65"/>
      <c r="AP159" s="65"/>
      <c r="AQ159" s="65"/>
      <c r="AR159" s="65"/>
      <c r="AS159" s="65"/>
      <c r="AT159" s="65"/>
      <c r="AU159" s="65"/>
      <c r="AV159" s="65"/>
      <c r="AW159" s="65"/>
      <c r="AX159" s="65"/>
      <c r="AY159" s="66"/>
    </row>
    <row r="160" spans="1:51" ht="15.75" customHeight="1">
      <c r="A160" s="525"/>
      <c r="B160" s="73" t="s">
        <v>307</v>
      </c>
      <c r="C160" s="74" t="s">
        <v>425</v>
      </c>
      <c r="D160" s="75"/>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65"/>
      <c r="AK160" s="65"/>
      <c r="AL160" s="65"/>
      <c r="AM160" s="65"/>
      <c r="AN160" s="65"/>
      <c r="AO160" s="65"/>
      <c r="AP160" s="65"/>
      <c r="AQ160" s="65"/>
      <c r="AR160" s="65"/>
      <c r="AS160" s="65"/>
      <c r="AT160" s="65"/>
      <c r="AU160" s="65"/>
      <c r="AV160" s="65"/>
      <c r="AW160" s="65"/>
      <c r="AX160" s="65"/>
      <c r="AY160" s="66"/>
    </row>
    <row r="161" spans="1:51" ht="15.75" customHeight="1">
      <c r="A161" s="560" t="s">
        <v>426</v>
      </c>
      <c r="B161" s="81" t="s">
        <v>427</v>
      </c>
      <c r="C161" s="556">
        <v>1</v>
      </c>
      <c r="D161" s="512"/>
      <c r="E161" s="79"/>
      <c r="F161" s="80"/>
      <c r="G161" s="80"/>
      <c r="H161" s="80"/>
      <c r="I161" s="80"/>
      <c r="J161" s="80"/>
      <c r="K161" s="80"/>
      <c r="L161" s="80"/>
      <c r="M161" s="80"/>
      <c r="N161" s="80"/>
      <c r="O161" s="97"/>
      <c r="P161" s="97"/>
      <c r="Q161" s="97"/>
      <c r="R161" s="97"/>
      <c r="S161" s="97"/>
      <c r="T161" s="97"/>
      <c r="U161" s="97"/>
      <c r="V161" s="97"/>
      <c r="W161" s="97"/>
      <c r="X161" s="97"/>
      <c r="Y161" s="97"/>
      <c r="Z161" s="97"/>
      <c r="AA161" s="97"/>
      <c r="AB161" s="97"/>
      <c r="AC161" s="97"/>
      <c r="AD161" s="97"/>
      <c r="AE161" s="97"/>
      <c r="AF161" s="97"/>
      <c r="AG161" s="97"/>
      <c r="AH161" s="97"/>
      <c r="AI161" s="97"/>
      <c r="AJ161" s="65"/>
      <c r="AK161" s="65"/>
      <c r="AL161" s="65"/>
      <c r="AM161" s="65"/>
      <c r="AN161" s="65"/>
      <c r="AO161" s="65"/>
      <c r="AP161" s="65"/>
      <c r="AQ161" s="65"/>
      <c r="AR161" s="65"/>
      <c r="AS161" s="65"/>
      <c r="AT161" s="65"/>
      <c r="AU161" s="65"/>
      <c r="AV161" s="65"/>
      <c r="AW161" s="65"/>
      <c r="AX161" s="65"/>
      <c r="AY161" s="66"/>
    </row>
    <row r="162" spans="1:51" ht="15.75" customHeight="1">
      <c r="A162" s="525"/>
      <c r="B162" s="73" t="s">
        <v>307</v>
      </c>
      <c r="C162" s="100" t="s">
        <v>428</v>
      </c>
      <c r="D162" s="75"/>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65"/>
      <c r="AK162" s="65"/>
      <c r="AL162" s="65"/>
      <c r="AM162" s="65"/>
      <c r="AN162" s="65"/>
      <c r="AO162" s="65"/>
      <c r="AP162" s="65"/>
      <c r="AQ162" s="65"/>
      <c r="AR162" s="65"/>
      <c r="AS162" s="65"/>
      <c r="AT162" s="65"/>
      <c r="AU162" s="65"/>
      <c r="AV162" s="65"/>
      <c r="AW162" s="65"/>
      <c r="AX162" s="65"/>
      <c r="AY162" s="66"/>
    </row>
    <row r="163" spans="1:51" ht="15.75" customHeight="1">
      <c r="A163" s="560" t="s">
        <v>429</v>
      </c>
      <c r="B163" s="76" t="s">
        <v>430</v>
      </c>
      <c r="C163" s="605">
        <v>1</v>
      </c>
      <c r="D163" s="510"/>
      <c r="E163" s="83"/>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65"/>
      <c r="AK163" s="65"/>
      <c r="AL163" s="65"/>
      <c r="AM163" s="65"/>
      <c r="AN163" s="65"/>
      <c r="AO163" s="65"/>
      <c r="AP163" s="65"/>
      <c r="AQ163" s="65"/>
      <c r="AR163" s="65"/>
      <c r="AS163" s="65"/>
      <c r="AT163" s="65"/>
      <c r="AU163" s="65"/>
      <c r="AV163" s="65"/>
      <c r="AW163" s="65"/>
      <c r="AX163" s="65"/>
      <c r="AY163" s="66"/>
    </row>
    <row r="164" spans="1:51" ht="15.75" customHeight="1">
      <c r="A164" s="524"/>
      <c r="B164" s="102" t="s">
        <v>431</v>
      </c>
      <c r="C164" s="556">
        <v>1</v>
      </c>
      <c r="D164" s="510"/>
      <c r="E164" s="85"/>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65"/>
      <c r="AK164" s="65"/>
      <c r="AL164" s="65"/>
      <c r="AM164" s="65"/>
      <c r="AN164" s="65"/>
      <c r="AO164" s="65"/>
      <c r="AP164" s="65"/>
      <c r="AQ164" s="65"/>
      <c r="AR164" s="65"/>
      <c r="AS164" s="65"/>
      <c r="AT164" s="65"/>
      <c r="AU164" s="65"/>
      <c r="AV164" s="65"/>
      <c r="AW164" s="65"/>
      <c r="AX164" s="65"/>
      <c r="AY164" s="66"/>
    </row>
    <row r="165" spans="1:51" ht="15.75" customHeight="1">
      <c r="A165" s="524"/>
      <c r="B165" s="86" t="s">
        <v>432</v>
      </c>
      <c r="C165" s="556">
        <v>1</v>
      </c>
      <c r="D165" s="510"/>
      <c r="E165" s="85"/>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65"/>
      <c r="AK165" s="65"/>
      <c r="AL165" s="65"/>
      <c r="AM165" s="65"/>
      <c r="AN165" s="65"/>
      <c r="AO165" s="65"/>
      <c r="AP165" s="65"/>
      <c r="AQ165" s="65"/>
      <c r="AR165" s="65"/>
      <c r="AS165" s="65"/>
      <c r="AT165" s="65"/>
      <c r="AU165" s="65"/>
      <c r="AV165" s="65"/>
      <c r="AW165" s="65"/>
      <c r="AX165" s="65"/>
      <c r="AY165" s="66"/>
    </row>
    <row r="166" spans="1:51" ht="15.75" customHeight="1">
      <c r="A166" s="524"/>
      <c r="B166" s="86" t="s">
        <v>433</v>
      </c>
      <c r="C166" s="556">
        <v>1</v>
      </c>
      <c r="D166" s="510"/>
      <c r="E166" s="85"/>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65"/>
      <c r="AK166" s="65"/>
      <c r="AL166" s="65"/>
      <c r="AM166" s="65"/>
      <c r="AN166" s="65"/>
      <c r="AO166" s="65"/>
      <c r="AP166" s="65"/>
      <c r="AQ166" s="65"/>
      <c r="AR166" s="65"/>
      <c r="AS166" s="65"/>
      <c r="AT166" s="65"/>
      <c r="AU166" s="65"/>
      <c r="AV166" s="65"/>
      <c r="AW166" s="65"/>
      <c r="AX166" s="65"/>
      <c r="AY166" s="66"/>
    </row>
    <row r="167" spans="1:51" ht="15.75" customHeight="1">
      <c r="A167" s="525"/>
      <c r="B167" s="73" t="s">
        <v>307</v>
      </c>
      <c r="C167" s="74"/>
      <c r="D167" s="75"/>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65"/>
      <c r="AK167" s="65"/>
      <c r="AL167" s="65"/>
      <c r="AM167" s="65"/>
      <c r="AN167" s="65"/>
      <c r="AO167" s="65"/>
      <c r="AP167" s="65"/>
      <c r="AQ167" s="65"/>
      <c r="AR167" s="65"/>
      <c r="AS167" s="65"/>
      <c r="AT167" s="65"/>
      <c r="AU167" s="65"/>
      <c r="AV167" s="65"/>
      <c r="AW167" s="65"/>
      <c r="AX167" s="65"/>
      <c r="AY167" s="66"/>
    </row>
    <row r="168" spans="1:51" ht="15.75" customHeight="1">
      <c r="A168" s="560" t="s">
        <v>434</v>
      </c>
      <c r="B168" s="86" t="s">
        <v>435</v>
      </c>
      <c r="C168" s="556">
        <v>1</v>
      </c>
      <c r="D168" s="512"/>
      <c r="E168" s="79" t="s">
        <v>436</v>
      </c>
      <c r="F168" s="80"/>
      <c r="G168" s="80"/>
      <c r="H168" s="80"/>
      <c r="I168" s="80"/>
      <c r="J168" s="80"/>
      <c r="K168" s="80"/>
      <c r="L168" s="80"/>
      <c r="M168" s="80"/>
      <c r="N168" s="80"/>
      <c r="O168" s="103"/>
      <c r="P168" s="97"/>
      <c r="Q168" s="97"/>
      <c r="R168" s="97"/>
      <c r="S168" s="97"/>
      <c r="T168" s="97"/>
      <c r="U168" s="97"/>
      <c r="V168" s="97"/>
      <c r="W168" s="97"/>
      <c r="X168" s="97"/>
      <c r="Y168" s="97"/>
      <c r="Z168" s="97"/>
      <c r="AA168" s="97"/>
      <c r="AB168" s="97"/>
      <c r="AC168" s="97"/>
      <c r="AD168" s="97"/>
      <c r="AE168" s="97"/>
      <c r="AF168" s="97"/>
      <c r="AG168" s="97"/>
      <c r="AH168" s="97"/>
      <c r="AI168" s="97"/>
      <c r="AJ168" s="65"/>
      <c r="AK168" s="65"/>
      <c r="AL168" s="65"/>
      <c r="AM168" s="65"/>
      <c r="AN168" s="65"/>
      <c r="AO168" s="65"/>
      <c r="AP168" s="65"/>
      <c r="AQ168" s="65"/>
      <c r="AR168" s="65"/>
      <c r="AS168" s="65"/>
      <c r="AT168" s="65"/>
      <c r="AU168" s="65"/>
      <c r="AV168" s="65"/>
      <c r="AW168" s="65"/>
      <c r="AX168" s="65"/>
      <c r="AY168" s="66"/>
    </row>
    <row r="169" spans="1:51" ht="15.75" customHeight="1">
      <c r="A169" s="525"/>
      <c r="B169" s="73" t="s">
        <v>307</v>
      </c>
      <c r="C169" s="74" t="s">
        <v>437</v>
      </c>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65"/>
      <c r="AK169" s="65"/>
      <c r="AL169" s="65"/>
      <c r="AM169" s="65"/>
      <c r="AN169" s="65"/>
      <c r="AO169" s="65"/>
      <c r="AP169" s="65"/>
      <c r="AQ169" s="65"/>
      <c r="AR169" s="65"/>
      <c r="AS169" s="65"/>
      <c r="AT169" s="65"/>
      <c r="AU169" s="65"/>
      <c r="AV169" s="65"/>
      <c r="AW169" s="65"/>
      <c r="AX169" s="65"/>
      <c r="AY169" s="66"/>
    </row>
    <row r="170" spans="1:51" ht="16.5" customHeight="1">
      <c r="A170" s="560" t="s">
        <v>438</v>
      </c>
      <c r="B170" s="570" t="s">
        <v>439</v>
      </c>
      <c r="C170" s="571" t="s">
        <v>299</v>
      </c>
      <c r="D170" s="508"/>
      <c r="E170" s="572" t="s">
        <v>440</v>
      </c>
      <c r="F170" s="508"/>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65"/>
      <c r="AK170" s="65"/>
      <c r="AL170" s="65"/>
      <c r="AM170" s="65"/>
      <c r="AN170" s="65"/>
      <c r="AO170" s="65"/>
      <c r="AP170" s="65"/>
      <c r="AQ170" s="65"/>
      <c r="AR170" s="65"/>
      <c r="AS170" s="65"/>
      <c r="AT170" s="65"/>
      <c r="AU170" s="65"/>
      <c r="AV170" s="65"/>
      <c r="AW170" s="65"/>
      <c r="AX170" s="65"/>
      <c r="AY170" s="66"/>
    </row>
    <row r="171" spans="1:51" ht="15.75" customHeight="1">
      <c r="A171" s="524"/>
      <c r="B171" s="525"/>
      <c r="C171" s="69" t="s">
        <v>300</v>
      </c>
      <c r="D171" s="69" t="s">
        <v>301</v>
      </c>
      <c r="E171" s="104" t="s">
        <v>300</v>
      </c>
      <c r="F171" s="104" t="s">
        <v>301</v>
      </c>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65"/>
      <c r="AK171" s="65"/>
      <c r="AL171" s="65"/>
      <c r="AM171" s="65"/>
      <c r="AN171" s="65"/>
      <c r="AO171" s="65"/>
      <c r="AP171" s="65"/>
      <c r="AQ171" s="65"/>
      <c r="AR171" s="65"/>
      <c r="AS171" s="65"/>
      <c r="AT171" s="65"/>
      <c r="AU171" s="65"/>
      <c r="AV171" s="65"/>
      <c r="AW171" s="65"/>
      <c r="AX171" s="65"/>
      <c r="AY171" s="66"/>
    </row>
    <row r="172" spans="1:51" ht="15.75" customHeight="1">
      <c r="A172" s="524"/>
      <c r="B172" s="71" t="s">
        <v>441</v>
      </c>
      <c r="C172" s="556">
        <v>1</v>
      </c>
      <c r="D172" s="510"/>
      <c r="E172" s="556">
        <v>1</v>
      </c>
      <c r="F172" s="510"/>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65"/>
      <c r="AK172" s="65"/>
      <c r="AL172" s="65"/>
      <c r="AM172" s="65"/>
      <c r="AN172" s="65"/>
      <c r="AO172" s="65"/>
      <c r="AP172" s="65"/>
      <c r="AQ172" s="65"/>
      <c r="AR172" s="65"/>
      <c r="AS172" s="65"/>
      <c r="AT172" s="65"/>
      <c r="AU172" s="65"/>
      <c r="AV172" s="65"/>
      <c r="AW172" s="65"/>
      <c r="AX172" s="65"/>
      <c r="AY172" s="66"/>
    </row>
    <row r="173" spans="1:51" ht="15.75" customHeight="1">
      <c r="A173" s="524"/>
      <c r="B173" s="73" t="s">
        <v>307</v>
      </c>
      <c r="C173" s="74"/>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65"/>
      <c r="AK173" s="65"/>
      <c r="AL173" s="65"/>
      <c r="AM173" s="65"/>
      <c r="AN173" s="65"/>
      <c r="AO173" s="65"/>
      <c r="AP173" s="65"/>
      <c r="AQ173" s="65"/>
      <c r="AR173" s="65"/>
      <c r="AS173" s="65"/>
      <c r="AT173" s="65"/>
      <c r="AU173" s="65"/>
      <c r="AV173" s="65"/>
      <c r="AW173" s="65"/>
      <c r="AX173" s="65"/>
      <c r="AY173" s="66"/>
    </row>
    <row r="174" spans="1:51" ht="15.75" customHeight="1">
      <c r="A174" s="524"/>
      <c r="B174" s="71" t="s">
        <v>442</v>
      </c>
      <c r="C174" s="556">
        <v>1</v>
      </c>
      <c r="D174" s="510"/>
      <c r="E174" s="556">
        <v>1</v>
      </c>
      <c r="F174" s="510"/>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65"/>
      <c r="AK174" s="65"/>
      <c r="AL174" s="65"/>
      <c r="AM174" s="65"/>
      <c r="AN174" s="65"/>
      <c r="AO174" s="65"/>
      <c r="AP174" s="65"/>
      <c r="AQ174" s="65"/>
      <c r="AR174" s="65"/>
      <c r="AS174" s="65"/>
      <c r="AT174" s="65"/>
      <c r="AU174" s="65"/>
      <c r="AV174" s="65"/>
      <c r="AW174" s="65"/>
      <c r="AX174" s="65"/>
      <c r="AY174" s="66"/>
    </row>
    <row r="175" spans="1:51" ht="15.75" customHeight="1">
      <c r="A175" s="524"/>
      <c r="B175" s="73" t="s">
        <v>307</v>
      </c>
      <c r="C175" s="105" t="s">
        <v>443</v>
      </c>
      <c r="D175" s="106"/>
      <c r="E175" s="106"/>
      <c r="F175" s="106"/>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65"/>
      <c r="AK175" s="65"/>
      <c r="AL175" s="65"/>
      <c r="AM175" s="65"/>
      <c r="AN175" s="65"/>
      <c r="AO175" s="65"/>
      <c r="AP175" s="65"/>
      <c r="AQ175" s="65"/>
      <c r="AR175" s="65"/>
      <c r="AS175" s="65"/>
      <c r="AT175" s="65"/>
      <c r="AU175" s="65"/>
      <c r="AV175" s="65"/>
      <c r="AW175" s="65"/>
      <c r="AX175" s="65"/>
      <c r="AY175" s="66"/>
    </row>
    <row r="176" spans="1:51" ht="15.75" customHeight="1">
      <c r="A176" s="524"/>
      <c r="B176" s="71" t="s">
        <v>444</v>
      </c>
      <c r="C176" s="556">
        <v>1</v>
      </c>
      <c r="D176" s="510"/>
      <c r="E176" s="556">
        <v>1</v>
      </c>
      <c r="F176" s="510"/>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65"/>
      <c r="AK176" s="65"/>
      <c r="AL176" s="65"/>
      <c r="AM176" s="65"/>
      <c r="AN176" s="65"/>
      <c r="AO176" s="65"/>
      <c r="AP176" s="65"/>
      <c r="AQ176" s="65"/>
      <c r="AR176" s="65"/>
      <c r="AS176" s="65"/>
      <c r="AT176" s="65"/>
      <c r="AU176" s="65"/>
      <c r="AV176" s="65"/>
      <c r="AW176" s="65"/>
      <c r="AX176" s="65"/>
      <c r="AY176" s="66"/>
    </row>
    <row r="177" spans="1:51" ht="15.75" customHeight="1">
      <c r="A177" s="524"/>
      <c r="B177" s="73" t="s">
        <v>307</v>
      </c>
      <c r="C177" s="74"/>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65"/>
      <c r="AK177" s="65"/>
      <c r="AL177" s="65"/>
      <c r="AM177" s="65"/>
      <c r="AN177" s="65"/>
      <c r="AO177" s="65"/>
      <c r="AP177" s="65"/>
      <c r="AQ177" s="65"/>
      <c r="AR177" s="65"/>
      <c r="AS177" s="65"/>
      <c r="AT177" s="65"/>
      <c r="AU177" s="65"/>
      <c r="AV177" s="65"/>
      <c r="AW177" s="65"/>
      <c r="AX177" s="65"/>
      <c r="AY177" s="66"/>
    </row>
    <row r="178" spans="1:51" ht="15.75" customHeight="1">
      <c r="A178" s="524"/>
      <c r="B178" s="71" t="s">
        <v>445</v>
      </c>
      <c r="C178" s="556">
        <v>1</v>
      </c>
      <c r="D178" s="510"/>
      <c r="E178" s="556">
        <v>0</v>
      </c>
      <c r="F178" s="510"/>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65"/>
      <c r="AK178" s="65"/>
      <c r="AL178" s="65"/>
      <c r="AM178" s="65"/>
      <c r="AN178" s="65"/>
      <c r="AO178" s="65"/>
      <c r="AP178" s="65"/>
      <c r="AQ178" s="65"/>
      <c r="AR178" s="65"/>
      <c r="AS178" s="65"/>
      <c r="AT178" s="65"/>
      <c r="AU178" s="65"/>
      <c r="AV178" s="65"/>
      <c r="AW178" s="65"/>
      <c r="AX178" s="65"/>
      <c r="AY178" s="66"/>
    </row>
    <row r="179" spans="1:51" ht="15.75" customHeight="1">
      <c r="A179" s="524"/>
      <c r="B179" s="73" t="s">
        <v>307</v>
      </c>
      <c r="C179" s="74" t="s">
        <v>446</v>
      </c>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65"/>
      <c r="AK179" s="65"/>
      <c r="AL179" s="65"/>
      <c r="AM179" s="65"/>
      <c r="AN179" s="65"/>
      <c r="AO179" s="65"/>
      <c r="AP179" s="65"/>
      <c r="AQ179" s="65"/>
      <c r="AR179" s="65"/>
      <c r="AS179" s="65"/>
      <c r="AT179" s="65"/>
      <c r="AU179" s="65"/>
      <c r="AV179" s="65"/>
      <c r="AW179" s="65"/>
      <c r="AX179" s="65"/>
      <c r="AY179" s="66"/>
    </row>
    <row r="180" spans="1:51" ht="15.75" customHeight="1">
      <c r="A180" s="524"/>
      <c r="B180" s="71" t="s">
        <v>447</v>
      </c>
      <c r="C180" s="556">
        <v>0</v>
      </c>
      <c r="D180" s="510"/>
      <c r="E180" s="556">
        <v>0</v>
      </c>
      <c r="F180" s="510"/>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65"/>
      <c r="AK180" s="65"/>
      <c r="AL180" s="65"/>
      <c r="AM180" s="65"/>
      <c r="AN180" s="65"/>
      <c r="AO180" s="65"/>
      <c r="AP180" s="65"/>
      <c r="AQ180" s="65"/>
      <c r="AR180" s="65"/>
      <c r="AS180" s="65"/>
      <c r="AT180" s="65"/>
      <c r="AU180" s="65"/>
      <c r="AV180" s="65"/>
      <c r="AW180" s="65"/>
      <c r="AX180" s="65"/>
      <c r="AY180" s="66"/>
    </row>
    <row r="181" spans="1:51" ht="15.75" customHeight="1">
      <c r="A181" s="524"/>
      <c r="B181" s="73" t="s">
        <v>307</v>
      </c>
      <c r="C181" s="74"/>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65"/>
      <c r="AK181" s="65"/>
      <c r="AL181" s="65"/>
      <c r="AM181" s="65"/>
      <c r="AN181" s="65"/>
      <c r="AO181" s="65"/>
      <c r="AP181" s="65"/>
      <c r="AQ181" s="65"/>
      <c r="AR181" s="65"/>
      <c r="AS181" s="65"/>
      <c r="AT181" s="65"/>
      <c r="AU181" s="65"/>
      <c r="AV181" s="65"/>
      <c r="AW181" s="65"/>
      <c r="AX181" s="65"/>
      <c r="AY181" s="66"/>
    </row>
    <row r="182" spans="1:51" ht="15.75" customHeight="1">
      <c r="A182" s="524"/>
      <c r="B182" s="71" t="s">
        <v>448</v>
      </c>
      <c r="C182" s="556">
        <v>0</v>
      </c>
      <c r="D182" s="510"/>
      <c r="E182" s="556">
        <v>0</v>
      </c>
      <c r="F182" s="510"/>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65"/>
      <c r="AK182" s="65"/>
      <c r="AL182" s="65"/>
      <c r="AM182" s="65"/>
      <c r="AN182" s="65"/>
      <c r="AO182" s="65"/>
      <c r="AP182" s="65"/>
      <c r="AQ182" s="65"/>
      <c r="AR182" s="65"/>
      <c r="AS182" s="65"/>
      <c r="AT182" s="65"/>
      <c r="AU182" s="65"/>
      <c r="AV182" s="65"/>
      <c r="AW182" s="65"/>
      <c r="AX182" s="65"/>
      <c r="AY182" s="66"/>
    </row>
    <row r="183" spans="1:51" ht="15.75" customHeight="1">
      <c r="A183" s="524"/>
      <c r="B183" s="73" t="s">
        <v>307</v>
      </c>
      <c r="C183" s="74" t="s">
        <v>449</v>
      </c>
      <c r="D183" s="75"/>
      <c r="E183" s="75"/>
      <c r="F183" s="75"/>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65"/>
      <c r="AK183" s="65"/>
      <c r="AL183" s="65"/>
      <c r="AM183" s="65"/>
      <c r="AN183" s="65"/>
      <c r="AO183" s="65"/>
      <c r="AP183" s="65"/>
      <c r="AQ183" s="65"/>
      <c r="AR183" s="65"/>
      <c r="AS183" s="65"/>
      <c r="AT183" s="65"/>
      <c r="AU183" s="65"/>
      <c r="AV183" s="65"/>
      <c r="AW183" s="65"/>
      <c r="AX183" s="65"/>
      <c r="AY183" s="66"/>
    </row>
    <row r="184" spans="1:51" ht="15.75" customHeight="1">
      <c r="A184" s="524"/>
      <c r="B184" s="71" t="s">
        <v>450</v>
      </c>
      <c r="C184" s="556">
        <v>0</v>
      </c>
      <c r="D184" s="510"/>
      <c r="E184" s="556">
        <v>0</v>
      </c>
      <c r="F184" s="512"/>
      <c r="G184" s="79"/>
      <c r="H184" s="80"/>
      <c r="I184" s="80"/>
      <c r="J184" s="80"/>
      <c r="K184" s="80"/>
      <c r="L184" s="80"/>
      <c r="M184" s="80"/>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65"/>
      <c r="AK184" s="65"/>
      <c r="AL184" s="65"/>
      <c r="AM184" s="65"/>
      <c r="AN184" s="65"/>
      <c r="AO184" s="65"/>
      <c r="AP184" s="65"/>
      <c r="AQ184" s="65"/>
      <c r="AR184" s="65"/>
      <c r="AS184" s="65"/>
      <c r="AT184" s="65"/>
      <c r="AU184" s="65"/>
      <c r="AV184" s="65"/>
      <c r="AW184" s="65"/>
      <c r="AX184" s="65"/>
      <c r="AY184" s="66"/>
    </row>
    <row r="185" spans="1:51" ht="15.75" customHeight="1">
      <c r="A185" s="525"/>
      <c r="B185" s="73" t="s">
        <v>307</v>
      </c>
      <c r="C185" s="74"/>
      <c r="D185" s="75"/>
      <c r="E185" s="75"/>
      <c r="F185" s="75"/>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65"/>
      <c r="AK185" s="65"/>
      <c r="AL185" s="65"/>
      <c r="AM185" s="65"/>
      <c r="AN185" s="65"/>
      <c r="AO185" s="65"/>
      <c r="AP185" s="65"/>
      <c r="AQ185" s="65"/>
      <c r="AR185" s="65"/>
      <c r="AS185" s="65"/>
      <c r="AT185" s="65"/>
      <c r="AU185" s="65"/>
      <c r="AV185" s="65"/>
      <c r="AW185" s="65"/>
      <c r="AX185" s="65"/>
      <c r="AY185" s="66"/>
    </row>
    <row r="186" spans="1:51" ht="15.75" customHeight="1">
      <c r="A186" s="560" t="s">
        <v>451</v>
      </c>
      <c r="B186" s="86" t="s">
        <v>452</v>
      </c>
      <c r="C186" s="556">
        <v>1</v>
      </c>
      <c r="D186" s="510"/>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65"/>
      <c r="AK186" s="65"/>
      <c r="AL186" s="65"/>
      <c r="AM186" s="65"/>
      <c r="AN186" s="65"/>
      <c r="AO186" s="65"/>
      <c r="AP186" s="65"/>
      <c r="AQ186" s="65"/>
      <c r="AR186" s="65"/>
      <c r="AS186" s="65"/>
      <c r="AT186" s="65"/>
      <c r="AU186" s="65"/>
      <c r="AV186" s="65"/>
      <c r="AW186" s="65"/>
      <c r="AX186" s="65"/>
      <c r="AY186" s="66"/>
    </row>
    <row r="187" spans="1:51" ht="15.75" customHeight="1">
      <c r="A187" s="525"/>
      <c r="B187" s="73" t="s">
        <v>307</v>
      </c>
      <c r="C187" s="74" t="s">
        <v>453</v>
      </c>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65"/>
      <c r="AK187" s="65"/>
      <c r="AL187" s="65"/>
      <c r="AM187" s="65"/>
      <c r="AN187" s="65"/>
      <c r="AO187" s="65"/>
      <c r="AP187" s="65"/>
      <c r="AQ187" s="65"/>
      <c r="AR187" s="65"/>
      <c r="AS187" s="65"/>
      <c r="AT187" s="65"/>
      <c r="AU187" s="65"/>
      <c r="AV187" s="65"/>
      <c r="AW187" s="65"/>
      <c r="AX187" s="65"/>
      <c r="AY187" s="66"/>
    </row>
    <row r="188" spans="1:51" ht="15.75" customHeight="1">
      <c r="A188" s="560" t="s">
        <v>454</v>
      </c>
      <c r="B188" s="76" t="s">
        <v>455</v>
      </c>
      <c r="C188" s="583">
        <v>1</v>
      </c>
      <c r="D188" s="510"/>
      <c r="E188" s="87"/>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65"/>
      <c r="AK188" s="65"/>
      <c r="AL188" s="65"/>
      <c r="AM188" s="65"/>
      <c r="AN188" s="65"/>
      <c r="AO188" s="65"/>
      <c r="AP188" s="65"/>
      <c r="AQ188" s="65"/>
      <c r="AR188" s="65"/>
      <c r="AS188" s="65"/>
      <c r="AT188" s="65"/>
      <c r="AU188" s="65"/>
      <c r="AV188" s="65"/>
      <c r="AW188" s="65"/>
      <c r="AX188" s="65"/>
      <c r="AY188" s="66"/>
    </row>
    <row r="189" spans="1:51" ht="15.75" customHeight="1">
      <c r="A189" s="524"/>
      <c r="B189" s="71" t="s">
        <v>431</v>
      </c>
      <c r="C189" s="556">
        <v>1</v>
      </c>
      <c r="D189" s="512"/>
      <c r="E189" s="107" t="s">
        <v>428</v>
      </c>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65"/>
      <c r="AK189" s="65"/>
      <c r="AL189" s="65"/>
      <c r="AM189" s="65"/>
      <c r="AN189" s="65"/>
      <c r="AO189" s="65"/>
      <c r="AP189" s="65"/>
      <c r="AQ189" s="65"/>
      <c r="AR189" s="65"/>
      <c r="AS189" s="65"/>
      <c r="AT189" s="65"/>
      <c r="AU189" s="65"/>
      <c r="AV189" s="65"/>
      <c r="AW189" s="65"/>
      <c r="AX189" s="65"/>
      <c r="AY189" s="66"/>
    </row>
    <row r="190" spans="1:51" ht="15.75" customHeight="1">
      <c r="A190" s="524"/>
      <c r="B190" s="71" t="s">
        <v>432</v>
      </c>
      <c r="C190" s="556">
        <v>1</v>
      </c>
      <c r="D190" s="512"/>
      <c r="E190" s="107" t="s">
        <v>428</v>
      </c>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65"/>
      <c r="AK190" s="65"/>
      <c r="AL190" s="65"/>
      <c r="AM190" s="65"/>
      <c r="AN190" s="65"/>
      <c r="AO190" s="65"/>
      <c r="AP190" s="65"/>
      <c r="AQ190" s="65"/>
      <c r="AR190" s="65"/>
      <c r="AS190" s="65"/>
      <c r="AT190" s="65"/>
      <c r="AU190" s="65"/>
      <c r="AV190" s="65"/>
      <c r="AW190" s="65"/>
      <c r="AX190" s="65"/>
      <c r="AY190" s="66"/>
    </row>
    <row r="191" spans="1:51" ht="15.75" customHeight="1">
      <c r="A191" s="524"/>
      <c r="B191" s="71" t="s">
        <v>433</v>
      </c>
      <c r="C191" s="556">
        <v>1</v>
      </c>
      <c r="D191" s="512"/>
      <c r="E191" s="107" t="s">
        <v>428</v>
      </c>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65"/>
      <c r="AK191" s="65"/>
      <c r="AL191" s="65"/>
      <c r="AM191" s="65"/>
      <c r="AN191" s="65"/>
      <c r="AO191" s="65"/>
      <c r="AP191" s="65"/>
      <c r="AQ191" s="65"/>
      <c r="AR191" s="65"/>
      <c r="AS191" s="65"/>
      <c r="AT191" s="65"/>
      <c r="AU191" s="65"/>
      <c r="AV191" s="65"/>
      <c r="AW191" s="65"/>
      <c r="AX191" s="65"/>
      <c r="AY191" s="66"/>
    </row>
    <row r="192" spans="1:51" ht="15.75" customHeight="1">
      <c r="A192" s="525"/>
      <c r="B192" s="73" t="s">
        <v>307</v>
      </c>
      <c r="C192" s="74" t="s">
        <v>456</v>
      </c>
      <c r="D192" s="75"/>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65"/>
      <c r="AK192" s="65"/>
      <c r="AL192" s="65"/>
      <c r="AM192" s="65"/>
      <c r="AN192" s="65"/>
      <c r="AO192" s="65"/>
      <c r="AP192" s="65"/>
      <c r="AQ192" s="65"/>
      <c r="AR192" s="65"/>
      <c r="AS192" s="65"/>
      <c r="AT192" s="65"/>
      <c r="AU192" s="65"/>
      <c r="AV192" s="65"/>
      <c r="AW192" s="65"/>
      <c r="AX192" s="65"/>
      <c r="AY192" s="66"/>
    </row>
    <row r="193" spans="1:51" ht="15.75" customHeight="1">
      <c r="A193" s="560" t="s">
        <v>457</v>
      </c>
      <c r="B193" s="86" t="s">
        <v>458</v>
      </c>
      <c r="C193" s="556">
        <v>0</v>
      </c>
      <c r="D193" s="512"/>
      <c r="E193" s="79"/>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65"/>
      <c r="AK193" s="65"/>
      <c r="AL193" s="65"/>
      <c r="AM193" s="65"/>
      <c r="AN193" s="65"/>
      <c r="AO193" s="65"/>
      <c r="AP193" s="65"/>
      <c r="AQ193" s="65"/>
      <c r="AR193" s="65"/>
      <c r="AS193" s="65"/>
      <c r="AT193" s="65"/>
      <c r="AU193" s="65"/>
      <c r="AV193" s="65"/>
      <c r="AW193" s="65"/>
      <c r="AX193" s="65"/>
      <c r="AY193" s="66"/>
    </row>
    <row r="194" spans="1:51" ht="15.75" customHeight="1">
      <c r="A194" s="525"/>
      <c r="B194" s="73" t="s">
        <v>307</v>
      </c>
      <c r="C194" s="74" t="s">
        <v>459</v>
      </c>
      <c r="D194" s="75"/>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65"/>
      <c r="AK194" s="65"/>
      <c r="AL194" s="65"/>
      <c r="AM194" s="65"/>
      <c r="AN194" s="65"/>
      <c r="AO194" s="65"/>
      <c r="AP194" s="65"/>
      <c r="AQ194" s="65"/>
      <c r="AR194" s="65"/>
      <c r="AS194" s="65"/>
      <c r="AT194" s="65"/>
      <c r="AU194" s="65"/>
      <c r="AV194" s="65"/>
      <c r="AW194" s="65"/>
      <c r="AX194" s="65"/>
      <c r="AY194" s="66"/>
    </row>
    <row r="195" spans="1:51" ht="15.75" customHeight="1">
      <c r="A195" s="560" t="s">
        <v>460</v>
      </c>
      <c r="B195" s="86" t="s">
        <v>461</v>
      </c>
      <c r="C195" s="556">
        <v>1</v>
      </c>
      <c r="D195" s="510"/>
      <c r="E195" s="100" t="s">
        <v>462</v>
      </c>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65"/>
      <c r="AK195" s="65"/>
      <c r="AL195" s="65"/>
      <c r="AM195" s="65"/>
      <c r="AN195" s="65"/>
      <c r="AO195" s="65"/>
      <c r="AP195" s="65"/>
      <c r="AQ195" s="65"/>
      <c r="AR195" s="65"/>
      <c r="AS195" s="65"/>
      <c r="AT195" s="65"/>
      <c r="AU195" s="65"/>
      <c r="AV195" s="65"/>
      <c r="AW195" s="65"/>
      <c r="AX195" s="65"/>
      <c r="AY195" s="66"/>
    </row>
    <row r="196" spans="1:51" ht="15.75" customHeight="1">
      <c r="A196" s="525"/>
      <c r="B196" s="73" t="s">
        <v>307</v>
      </c>
      <c r="C196" s="74"/>
      <c r="D196" s="75"/>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65"/>
      <c r="AK196" s="65"/>
      <c r="AL196" s="65"/>
      <c r="AM196" s="65"/>
      <c r="AN196" s="65"/>
      <c r="AO196" s="65"/>
      <c r="AP196" s="65"/>
      <c r="AQ196" s="65"/>
      <c r="AR196" s="65"/>
      <c r="AS196" s="65"/>
      <c r="AT196" s="65"/>
      <c r="AU196" s="65"/>
      <c r="AV196" s="65"/>
      <c r="AW196" s="65"/>
      <c r="AX196" s="65"/>
      <c r="AY196" s="66"/>
    </row>
    <row r="197" spans="1:51" ht="15.75" customHeight="1">
      <c r="A197" s="560" t="s">
        <v>463</v>
      </c>
      <c r="B197" s="86" t="s">
        <v>464</v>
      </c>
      <c r="C197" s="556">
        <v>0</v>
      </c>
      <c r="D197" s="510"/>
      <c r="E197" s="79"/>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65"/>
      <c r="AK197" s="65"/>
      <c r="AL197" s="65"/>
      <c r="AM197" s="65"/>
      <c r="AN197" s="65"/>
      <c r="AO197" s="65"/>
      <c r="AP197" s="65"/>
      <c r="AQ197" s="65"/>
      <c r="AR197" s="65"/>
      <c r="AS197" s="65"/>
      <c r="AT197" s="65"/>
      <c r="AU197" s="65"/>
      <c r="AV197" s="65"/>
      <c r="AW197" s="65"/>
      <c r="AX197" s="65"/>
      <c r="AY197" s="66"/>
    </row>
    <row r="198" spans="1:51" ht="15.75" customHeight="1">
      <c r="A198" s="525"/>
      <c r="B198" s="73" t="s">
        <v>307</v>
      </c>
      <c r="C198" s="74" t="s">
        <v>465</v>
      </c>
      <c r="D198" s="75"/>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65"/>
      <c r="AK198" s="65"/>
      <c r="AL198" s="65"/>
      <c r="AM198" s="65"/>
      <c r="AN198" s="65"/>
      <c r="AO198" s="65"/>
      <c r="AP198" s="65"/>
      <c r="AQ198" s="65"/>
      <c r="AR198" s="65"/>
      <c r="AS198" s="65"/>
      <c r="AT198" s="65"/>
      <c r="AU198" s="65"/>
      <c r="AV198" s="65"/>
      <c r="AW198" s="65"/>
      <c r="AX198" s="65"/>
      <c r="AY198" s="66"/>
    </row>
    <row r="199" spans="1:51" ht="15.75" customHeight="1">
      <c r="A199" s="560" t="s">
        <v>466</v>
      </c>
      <c r="B199" s="86" t="s">
        <v>467</v>
      </c>
      <c r="C199" s="556">
        <v>1</v>
      </c>
      <c r="D199" s="510"/>
      <c r="E199" s="79" t="s">
        <v>468</v>
      </c>
      <c r="F199" s="80"/>
      <c r="G199" s="80"/>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65"/>
      <c r="AK199" s="65"/>
      <c r="AL199" s="65"/>
      <c r="AM199" s="65"/>
      <c r="AN199" s="65"/>
      <c r="AO199" s="65"/>
      <c r="AP199" s="65"/>
      <c r="AQ199" s="65"/>
      <c r="AR199" s="65"/>
      <c r="AS199" s="65"/>
      <c r="AT199" s="65"/>
      <c r="AU199" s="65"/>
      <c r="AV199" s="65"/>
      <c r="AW199" s="65"/>
      <c r="AX199" s="65"/>
      <c r="AY199" s="66"/>
    </row>
    <row r="200" spans="1:51" ht="15.75" customHeight="1">
      <c r="A200" s="525"/>
      <c r="B200" s="73" t="s">
        <v>307</v>
      </c>
      <c r="C200" s="74"/>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65"/>
      <c r="AK200" s="65"/>
      <c r="AL200" s="65"/>
      <c r="AM200" s="65"/>
      <c r="AN200" s="65"/>
      <c r="AO200" s="65"/>
      <c r="AP200" s="65"/>
      <c r="AQ200" s="65"/>
      <c r="AR200" s="65"/>
      <c r="AS200" s="65"/>
      <c r="AT200" s="65"/>
      <c r="AU200" s="65"/>
      <c r="AV200" s="65"/>
      <c r="AW200" s="65"/>
      <c r="AX200" s="65"/>
      <c r="AY200" s="66"/>
    </row>
    <row r="201" spans="1:51" ht="15.75" customHeight="1">
      <c r="A201" s="560" t="s">
        <v>469</v>
      </c>
      <c r="B201" s="93" t="s">
        <v>470</v>
      </c>
      <c r="C201" s="577">
        <v>1</v>
      </c>
      <c r="D201" s="578"/>
      <c r="E201" s="87"/>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65"/>
      <c r="AK201" s="65"/>
      <c r="AL201" s="65"/>
      <c r="AM201" s="65"/>
      <c r="AN201" s="65"/>
      <c r="AO201" s="65"/>
      <c r="AP201" s="65"/>
      <c r="AQ201" s="65"/>
      <c r="AR201" s="65"/>
      <c r="AS201" s="65"/>
      <c r="AT201" s="65"/>
      <c r="AU201" s="65"/>
      <c r="AV201" s="65"/>
      <c r="AW201" s="65"/>
      <c r="AX201" s="65"/>
      <c r="AY201" s="66"/>
    </row>
    <row r="202" spans="1:51" ht="15.75" customHeight="1">
      <c r="A202" s="525"/>
      <c r="B202" s="73" t="s">
        <v>307</v>
      </c>
      <c r="C202" s="74" t="s">
        <v>471</v>
      </c>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65"/>
      <c r="AK202" s="65"/>
      <c r="AL202" s="65"/>
      <c r="AM202" s="65"/>
      <c r="AN202" s="65"/>
      <c r="AO202" s="65"/>
      <c r="AP202" s="65"/>
      <c r="AQ202" s="65"/>
      <c r="AR202" s="65"/>
      <c r="AS202" s="65"/>
      <c r="AT202" s="65"/>
      <c r="AU202" s="65"/>
      <c r="AV202" s="65"/>
      <c r="AW202" s="65"/>
      <c r="AX202" s="65"/>
      <c r="AY202" s="66"/>
    </row>
    <row r="203" spans="1:51" ht="15" customHeight="1">
      <c r="A203" s="108" t="s">
        <v>472</v>
      </c>
      <c r="B203" s="108" t="s">
        <v>473</v>
      </c>
      <c r="C203" s="109"/>
      <c r="D203" s="110"/>
      <c r="E203" s="87"/>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65"/>
      <c r="AK203" s="65"/>
      <c r="AL203" s="65"/>
      <c r="AM203" s="65"/>
      <c r="AN203" s="65"/>
      <c r="AO203" s="65"/>
      <c r="AP203" s="65"/>
      <c r="AQ203" s="65"/>
      <c r="AR203" s="65"/>
      <c r="AS203" s="65"/>
      <c r="AT203" s="65"/>
      <c r="AU203" s="65"/>
      <c r="AV203" s="65"/>
      <c r="AW203" s="65"/>
      <c r="AX203" s="65"/>
      <c r="AY203" s="66"/>
    </row>
    <row r="204" spans="1:51" ht="15" customHeight="1">
      <c r="A204" s="561">
        <v>4</v>
      </c>
      <c r="B204" s="561" t="s">
        <v>474</v>
      </c>
      <c r="C204" s="558" t="s">
        <v>299</v>
      </c>
      <c r="D204" s="510"/>
      <c r="E204" s="87"/>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65"/>
      <c r="AK204" s="65"/>
      <c r="AL204" s="65"/>
      <c r="AM204" s="65"/>
      <c r="AN204" s="65"/>
      <c r="AO204" s="65"/>
      <c r="AP204" s="65"/>
      <c r="AQ204" s="65"/>
      <c r="AR204" s="65"/>
      <c r="AS204" s="65"/>
      <c r="AT204" s="65"/>
      <c r="AU204" s="65"/>
      <c r="AV204" s="65"/>
      <c r="AW204" s="65"/>
      <c r="AX204" s="65"/>
      <c r="AY204" s="66"/>
    </row>
    <row r="205" spans="1:51" ht="15.75" customHeight="1">
      <c r="A205" s="525"/>
      <c r="B205" s="581"/>
      <c r="C205" s="111" t="s">
        <v>300</v>
      </c>
      <c r="D205" s="111" t="s">
        <v>301</v>
      </c>
      <c r="E205" s="87"/>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65"/>
      <c r="AK205" s="65"/>
      <c r="AL205" s="65"/>
      <c r="AM205" s="65"/>
      <c r="AN205" s="65"/>
      <c r="AO205" s="65"/>
      <c r="AP205" s="65"/>
      <c r="AQ205" s="65"/>
      <c r="AR205" s="65"/>
      <c r="AS205" s="65"/>
      <c r="AT205" s="65"/>
      <c r="AU205" s="65"/>
      <c r="AV205" s="65"/>
      <c r="AW205" s="65"/>
      <c r="AX205" s="65"/>
      <c r="AY205" s="66"/>
    </row>
    <row r="206" spans="1:51" ht="15.75" customHeight="1">
      <c r="A206" s="560" t="s">
        <v>475</v>
      </c>
      <c r="B206" s="112" t="s">
        <v>476</v>
      </c>
      <c r="C206" s="582"/>
      <c r="D206" s="510"/>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65"/>
      <c r="AK206" s="65"/>
      <c r="AL206" s="65"/>
      <c r="AM206" s="65"/>
      <c r="AN206" s="65"/>
      <c r="AO206" s="65"/>
      <c r="AP206" s="65"/>
      <c r="AQ206" s="65"/>
      <c r="AR206" s="65"/>
      <c r="AS206" s="65"/>
      <c r="AT206" s="65"/>
      <c r="AU206" s="65"/>
      <c r="AV206" s="65"/>
      <c r="AW206" s="65"/>
      <c r="AX206" s="65"/>
      <c r="AY206" s="66"/>
    </row>
    <row r="207" spans="1:51" ht="15.75" customHeight="1">
      <c r="A207" s="524"/>
      <c r="B207" s="113" t="s">
        <v>477</v>
      </c>
      <c r="C207" s="577">
        <v>1</v>
      </c>
      <c r="D207" s="578"/>
      <c r="E207" s="87"/>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65"/>
      <c r="AK207" s="65"/>
      <c r="AL207" s="65"/>
      <c r="AM207" s="65"/>
      <c r="AN207" s="65"/>
      <c r="AO207" s="65"/>
      <c r="AP207" s="65"/>
      <c r="AQ207" s="65"/>
      <c r="AR207" s="65"/>
      <c r="AS207" s="65"/>
      <c r="AT207" s="65"/>
      <c r="AU207" s="65"/>
      <c r="AV207" s="65"/>
      <c r="AW207" s="65"/>
      <c r="AX207" s="65"/>
      <c r="AY207" s="66"/>
    </row>
    <row r="208" spans="1:51" ht="15.75" customHeight="1">
      <c r="A208" s="524"/>
      <c r="B208" s="71" t="s">
        <v>478</v>
      </c>
      <c r="C208" s="556">
        <v>0</v>
      </c>
      <c r="D208" s="510"/>
      <c r="E208" s="87"/>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65"/>
      <c r="AK208" s="65"/>
      <c r="AL208" s="65"/>
      <c r="AM208" s="65"/>
      <c r="AN208" s="65"/>
      <c r="AO208" s="65"/>
      <c r="AP208" s="65"/>
      <c r="AQ208" s="65"/>
      <c r="AR208" s="65"/>
      <c r="AS208" s="65"/>
      <c r="AT208" s="65"/>
      <c r="AU208" s="65"/>
      <c r="AV208" s="65"/>
      <c r="AW208" s="65"/>
      <c r="AX208" s="65"/>
      <c r="AY208" s="66"/>
    </row>
    <row r="209" spans="1:51" ht="15.75" customHeight="1">
      <c r="A209" s="524"/>
      <c r="B209" s="71" t="s">
        <v>479</v>
      </c>
      <c r="C209" s="556">
        <v>1</v>
      </c>
      <c r="D209" s="510"/>
      <c r="E209" s="87"/>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65"/>
      <c r="AK209" s="65"/>
      <c r="AL209" s="65"/>
      <c r="AM209" s="65"/>
      <c r="AN209" s="65"/>
      <c r="AO209" s="65"/>
      <c r="AP209" s="65"/>
      <c r="AQ209" s="65"/>
      <c r="AR209" s="65"/>
      <c r="AS209" s="65"/>
      <c r="AT209" s="65"/>
      <c r="AU209" s="65"/>
      <c r="AV209" s="65"/>
      <c r="AW209" s="65"/>
      <c r="AX209" s="65"/>
      <c r="AY209" s="66"/>
    </row>
    <row r="210" spans="1:51" ht="15.75" customHeight="1">
      <c r="A210" s="525"/>
      <c r="B210" s="73" t="s">
        <v>307</v>
      </c>
      <c r="C210" s="74"/>
      <c r="D210" s="75"/>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65"/>
      <c r="AK210" s="65"/>
      <c r="AL210" s="65"/>
      <c r="AM210" s="65"/>
      <c r="AN210" s="65"/>
      <c r="AO210" s="65"/>
      <c r="AP210" s="65"/>
      <c r="AQ210" s="65"/>
      <c r="AR210" s="65"/>
      <c r="AS210" s="65"/>
      <c r="AT210" s="65"/>
      <c r="AU210" s="65"/>
      <c r="AV210" s="65"/>
      <c r="AW210" s="65"/>
      <c r="AX210" s="65"/>
      <c r="AY210" s="66"/>
    </row>
    <row r="211" spans="1:51" ht="15.75" customHeight="1">
      <c r="A211" s="560" t="s">
        <v>480</v>
      </c>
      <c r="B211" s="81" t="s">
        <v>481</v>
      </c>
      <c r="C211" s="579">
        <v>1</v>
      </c>
      <c r="D211" s="580"/>
      <c r="E211" s="79" t="s">
        <v>482</v>
      </c>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65"/>
      <c r="AK211" s="65"/>
      <c r="AL211" s="65"/>
      <c r="AM211" s="65"/>
      <c r="AN211" s="65"/>
      <c r="AO211" s="65"/>
      <c r="AP211" s="65"/>
      <c r="AQ211" s="65"/>
      <c r="AR211" s="65"/>
      <c r="AS211" s="65"/>
      <c r="AT211" s="65"/>
      <c r="AU211" s="65"/>
      <c r="AV211" s="65"/>
      <c r="AW211" s="65"/>
      <c r="AX211" s="65"/>
      <c r="AY211" s="66"/>
    </row>
    <row r="212" spans="1:51" ht="15.75" customHeight="1">
      <c r="A212" s="525"/>
      <c r="B212" s="73" t="s">
        <v>307</v>
      </c>
      <c r="C212" s="74"/>
      <c r="D212" s="75"/>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65"/>
      <c r="AK212" s="65"/>
      <c r="AL212" s="65"/>
      <c r="AM212" s="65"/>
      <c r="AN212" s="65"/>
      <c r="AO212" s="65"/>
      <c r="AP212" s="65"/>
      <c r="AQ212" s="65"/>
      <c r="AR212" s="65"/>
      <c r="AS212" s="65"/>
      <c r="AT212" s="65"/>
      <c r="AU212" s="65"/>
      <c r="AV212" s="65"/>
      <c r="AW212" s="65"/>
      <c r="AX212" s="65"/>
      <c r="AY212" s="66"/>
    </row>
    <row r="213" spans="1:51" ht="15.75" customHeight="1">
      <c r="A213" s="560" t="s">
        <v>483</v>
      </c>
      <c r="B213" s="112" t="s">
        <v>484</v>
      </c>
      <c r="C213" s="114"/>
      <c r="D213" s="114"/>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65"/>
      <c r="AK213" s="65"/>
      <c r="AL213" s="65"/>
      <c r="AM213" s="65"/>
      <c r="AN213" s="65"/>
      <c r="AO213" s="65"/>
      <c r="AP213" s="65"/>
      <c r="AQ213" s="65"/>
      <c r="AR213" s="65"/>
      <c r="AS213" s="65"/>
      <c r="AT213" s="65"/>
      <c r="AU213" s="65"/>
      <c r="AV213" s="65"/>
      <c r="AW213" s="65"/>
      <c r="AX213" s="65"/>
      <c r="AY213" s="66"/>
    </row>
    <row r="214" spans="1:51" ht="15.75" customHeight="1">
      <c r="A214" s="524"/>
      <c r="B214" s="102" t="s">
        <v>485</v>
      </c>
      <c r="C214" s="556">
        <v>1</v>
      </c>
      <c r="D214" s="510"/>
      <c r="E214" s="87"/>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65"/>
      <c r="AK214" s="65"/>
      <c r="AL214" s="65"/>
      <c r="AM214" s="65"/>
      <c r="AN214" s="65"/>
      <c r="AO214" s="65"/>
      <c r="AP214" s="65"/>
      <c r="AQ214" s="65"/>
      <c r="AR214" s="65"/>
      <c r="AS214" s="65"/>
      <c r="AT214" s="65"/>
      <c r="AU214" s="65"/>
      <c r="AV214" s="65"/>
      <c r="AW214" s="65"/>
      <c r="AX214" s="65"/>
      <c r="AY214" s="66"/>
    </row>
    <row r="215" spans="1:51" ht="15.75" customHeight="1">
      <c r="A215" s="524"/>
      <c r="B215" s="86" t="s">
        <v>486</v>
      </c>
      <c r="C215" s="556">
        <v>1</v>
      </c>
      <c r="D215" s="510"/>
      <c r="E215" s="87"/>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65"/>
      <c r="AK215" s="65"/>
      <c r="AL215" s="65"/>
      <c r="AM215" s="65"/>
      <c r="AN215" s="65"/>
      <c r="AO215" s="65"/>
      <c r="AP215" s="65"/>
      <c r="AQ215" s="65"/>
      <c r="AR215" s="65"/>
      <c r="AS215" s="65"/>
      <c r="AT215" s="65"/>
      <c r="AU215" s="65"/>
      <c r="AV215" s="65"/>
      <c r="AW215" s="65"/>
      <c r="AX215" s="65"/>
      <c r="AY215" s="66"/>
    </row>
    <row r="216" spans="1:51" ht="15.75" customHeight="1">
      <c r="A216" s="524"/>
      <c r="B216" s="86" t="s">
        <v>487</v>
      </c>
      <c r="C216" s="556">
        <v>0</v>
      </c>
      <c r="D216" s="510"/>
      <c r="E216" s="87"/>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65"/>
      <c r="AK216" s="65"/>
      <c r="AL216" s="65"/>
      <c r="AM216" s="65"/>
      <c r="AN216" s="65"/>
      <c r="AO216" s="65"/>
      <c r="AP216" s="65"/>
      <c r="AQ216" s="65"/>
      <c r="AR216" s="65"/>
      <c r="AS216" s="65"/>
      <c r="AT216" s="65"/>
      <c r="AU216" s="65"/>
      <c r="AV216" s="65"/>
      <c r="AW216" s="65"/>
      <c r="AX216" s="65"/>
      <c r="AY216" s="66"/>
    </row>
    <row r="217" spans="1:51" ht="15.75" customHeight="1">
      <c r="A217" s="524"/>
      <c r="B217" s="86" t="s">
        <v>488</v>
      </c>
      <c r="C217" s="556">
        <v>0</v>
      </c>
      <c r="D217" s="510"/>
      <c r="E217" s="87"/>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65"/>
      <c r="AK217" s="65"/>
      <c r="AL217" s="65"/>
      <c r="AM217" s="65"/>
      <c r="AN217" s="65"/>
      <c r="AO217" s="65"/>
      <c r="AP217" s="65"/>
      <c r="AQ217" s="65"/>
      <c r="AR217" s="65"/>
      <c r="AS217" s="65"/>
      <c r="AT217" s="65"/>
      <c r="AU217" s="65"/>
      <c r="AV217" s="65"/>
      <c r="AW217" s="65"/>
      <c r="AX217" s="65"/>
      <c r="AY217" s="66"/>
    </row>
    <row r="218" spans="1:51" ht="15.75" customHeight="1">
      <c r="A218" s="524"/>
      <c r="B218" s="86" t="s">
        <v>489</v>
      </c>
      <c r="C218" s="556">
        <v>0</v>
      </c>
      <c r="D218" s="510"/>
      <c r="E218" s="87"/>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65"/>
      <c r="AK218" s="65"/>
      <c r="AL218" s="65"/>
      <c r="AM218" s="65"/>
      <c r="AN218" s="65"/>
      <c r="AO218" s="65"/>
      <c r="AP218" s="65"/>
      <c r="AQ218" s="65"/>
      <c r="AR218" s="65"/>
      <c r="AS218" s="65"/>
      <c r="AT218" s="65"/>
      <c r="AU218" s="65"/>
      <c r="AV218" s="65"/>
      <c r="AW218" s="65"/>
      <c r="AX218" s="65"/>
      <c r="AY218" s="66"/>
    </row>
    <row r="219" spans="1:51" ht="15.75" customHeight="1">
      <c r="A219" s="524"/>
      <c r="B219" s="86" t="s">
        <v>450</v>
      </c>
      <c r="C219" s="556">
        <v>0</v>
      </c>
      <c r="D219" s="512"/>
      <c r="E219" s="79"/>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65"/>
      <c r="AK219" s="65"/>
      <c r="AL219" s="65"/>
      <c r="AM219" s="65"/>
      <c r="AN219" s="65"/>
      <c r="AO219" s="65"/>
      <c r="AP219" s="65"/>
      <c r="AQ219" s="65"/>
      <c r="AR219" s="65"/>
      <c r="AS219" s="65"/>
      <c r="AT219" s="65"/>
      <c r="AU219" s="65"/>
      <c r="AV219" s="65"/>
      <c r="AW219" s="65"/>
      <c r="AX219" s="65"/>
      <c r="AY219" s="66"/>
    </row>
    <row r="220" spans="1:51" ht="15.75" customHeight="1">
      <c r="A220" s="525"/>
      <c r="B220" s="73" t="s">
        <v>307</v>
      </c>
      <c r="C220" s="115" t="s">
        <v>490</v>
      </c>
      <c r="D220" s="75"/>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65"/>
      <c r="AK220" s="65"/>
      <c r="AL220" s="65"/>
      <c r="AM220" s="65"/>
      <c r="AN220" s="65"/>
      <c r="AO220" s="65"/>
      <c r="AP220" s="65"/>
      <c r="AQ220" s="65"/>
      <c r="AR220" s="65"/>
      <c r="AS220" s="65"/>
      <c r="AT220" s="65"/>
      <c r="AU220" s="65"/>
      <c r="AV220" s="65"/>
      <c r="AW220" s="65"/>
      <c r="AX220" s="65"/>
      <c r="AY220" s="66"/>
    </row>
    <row r="221" spans="1:51" ht="15.75" customHeight="1">
      <c r="A221" s="560" t="s">
        <v>491</v>
      </c>
      <c r="B221" s="86" t="s">
        <v>492</v>
      </c>
      <c r="C221" s="577">
        <v>1</v>
      </c>
      <c r="D221" s="578"/>
      <c r="E221" s="87" t="s">
        <v>493</v>
      </c>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65"/>
      <c r="AK221" s="65"/>
      <c r="AL221" s="65"/>
      <c r="AM221" s="65"/>
      <c r="AN221" s="65"/>
      <c r="AO221" s="65"/>
      <c r="AP221" s="65"/>
      <c r="AQ221" s="65"/>
      <c r="AR221" s="65"/>
      <c r="AS221" s="65"/>
      <c r="AT221" s="65"/>
      <c r="AU221" s="65"/>
      <c r="AV221" s="65"/>
      <c r="AW221" s="65"/>
      <c r="AX221" s="65"/>
      <c r="AY221" s="66"/>
    </row>
    <row r="222" spans="1:51" ht="15.75" customHeight="1">
      <c r="A222" s="524"/>
      <c r="B222" s="71" t="s">
        <v>494</v>
      </c>
      <c r="C222" s="556">
        <v>1</v>
      </c>
      <c r="D222" s="512"/>
      <c r="E222" s="79"/>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65"/>
      <c r="AK222" s="65"/>
      <c r="AL222" s="65"/>
      <c r="AM222" s="65"/>
      <c r="AN222" s="65"/>
      <c r="AO222" s="65"/>
      <c r="AP222" s="65"/>
      <c r="AQ222" s="65"/>
      <c r="AR222" s="65"/>
      <c r="AS222" s="65"/>
      <c r="AT222" s="65"/>
      <c r="AU222" s="65"/>
      <c r="AV222" s="65"/>
      <c r="AW222" s="65"/>
      <c r="AX222" s="65"/>
      <c r="AY222" s="66"/>
    </row>
    <row r="223" spans="1:51" ht="15.75" customHeight="1">
      <c r="A223" s="524"/>
      <c r="B223" s="71" t="s">
        <v>495</v>
      </c>
      <c r="C223" s="556">
        <v>1</v>
      </c>
      <c r="D223" s="510"/>
      <c r="E223" s="79"/>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65"/>
      <c r="AK223" s="65"/>
      <c r="AL223" s="65"/>
      <c r="AM223" s="65"/>
      <c r="AN223" s="65"/>
      <c r="AO223" s="65"/>
      <c r="AP223" s="65"/>
      <c r="AQ223" s="65"/>
      <c r="AR223" s="65"/>
      <c r="AS223" s="65"/>
      <c r="AT223" s="65"/>
      <c r="AU223" s="65"/>
      <c r="AV223" s="65"/>
      <c r="AW223" s="65"/>
      <c r="AX223" s="65"/>
      <c r="AY223" s="66"/>
    </row>
    <row r="224" spans="1:51" ht="15.75" customHeight="1">
      <c r="A224" s="524"/>
      <c r="B224" s="71" t="s">
        <v>496</v>
      </c>
      <c r="C224" s="556">
        <v>1</v>
      </c>
      <c r="D224" s="510"/>
      <c r="E224" s="79"/>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65"/>
      <c r="AK224" s="65"/>
      <c r="AL224" s="65"/>
      <c r="AM224" s="65"/>
      <c r="AN224" s="65"/>
      <c r="AO224" s="65"/>
      <c r="AP224" s="65"/>
      <c r="AQ224" s="65"/>
      <c r="AR224" s="65"/>
      <c r="AS224" s="65"/>
      <c r="AT224" s="65"/>
      <c r="AU224" s="65"/>
      <c r="AV224" s="65"/>
      <c r="AW224" s="65"/>
      <c r="AX224" s="65"/>
      <c r="AY224" s="66"/>
    </row>
    <row r="225" spans="1:51" ht="15.75" customHeight="1">
      <c r="A225" s="524"/>
      <c r="B225" s="71" t="s">
        <v>497</v>
      </c>
      <c r="C225" s="556">
        <v>1</v>
      </c>
      <c r="D225" s="510"/>
      <c r="E225" s="79"/>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65"/>
      <c r="AK225" s="65"/>
      <c r="AL225" s="65"/>
      <c r="AM225" s="65"/>
      <c r="AN225" s="65"/>
      <c r="AO225" s="65"/>
      <c r="AP225" s="65"/>
      <c r="AQ225" s="65"/>
      <c r="AR225" s="65"/>
      <c r="AS225" s="65"/>
      <c r="AT225" s="65"/>
      <c r="AU225" s="65"/>
      <c r="AV225" s="65"/>
      <c r="AW225" s="65"/>
      <c r="AX225" s="65"/>
      <c r="AY225" s="66"/>
    </row>
    <row r="226" spans="1:51" ht="15.75" customHeight="1">
      <c r="A226" s="524"/>
      <c r="B226" s="71" t="s">
        <v>498</v>
      </c>
      <c r="C226" s="556">
        <v>1</v>
      </c>
      <c r="D226" s="510"/>
      <c r="E226" s="79" t="s">
        <v>499</v>
      </c>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65"/>
      <c r="AK226" s="65"/>
      <c r="AL226" s="65"/>
      <c r="AM226" s="65"/>
      <c r="AN226" s="65"/>
      <c r="AO226" s="65"/>
      <c r="AP226" s="65"/>
      <c r="AQ226" s="65"/>
      <c r="AR226" s="65"/>
      <c r="AS226" s="65"/>
      <c r="AT226" s="65"/>
      <c r="AU226" s="65"/>
      <c r="AV226" s="65"/>
      <c r="AW226" s="65"/>
      <c r="AX226" s="65"/>
      <c r="AY226" s="66"/>
    </row>
    <row r="227" spans="1:51" ht="15.75" customHeight="1">
      <c r="A227" s="524"/>
      <c r="B227" s="71" t="s">
        <v>500</v>
      </c>
      <c r="C227" s="556">
        <v>0</v>
      </c>
      <c r="D227" s="510"/>
      <c r="E227" s="79"/>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65"/>
      <c r="AK227" s="65"/>
      <c r="AL227" s="65"/>
      <c r="AM227" s="65"/>
      <c r="AN227" s="65"/>
      <c r="AO227" s="65"/>
      <c r="AP227" s="65"/>
      <c r="AQ227" s="65"/>
      <c r="AR227" s="65"/>
      <c r="AS227" s="65"/>
      <c r="AT227" s="65"/>
      <c r="AU227" s="65"/>
      <c r="AV227" s="65"/>
      <c r="AW227" s="65"/>
      <c r="AX227" s="65"/>
      <c r="AY227" s="66"/>
    </row>
    <row r="228" spans="1:51" ht="15.75" customHeight="1">
      <c r="A228" s="525"/>
      <c r="B228" s="73" t="s">
        <v>307</v>
      </c>
      <c r="C228" s="74"/>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65"/>
      <c r="AK228" s="65"/>
      <c r="AL228" s="65"/>
      <c r="AM228" s="65"/>
      <c r="AN228" s="65"/>
      <c r="AO228" s="65"/>
      <c r="AP228" s="65"/>
      <c r="AQ228" s="65"/>
      <c r="AR228" s="65"/>
      <c r="AS228" s="65"/>
      <c r="AT228" s="65"/>
      <c r="AU228" s="65"/>
      <c r="AV228" s="65"/>
      <c r="AW228" s="65"/>
      <c r="AX228" s="65"/>
      <c r="AY228" s="66"/>
    </row>
    <row r="229" spans="1:51" ht="15.75" customHeight="1">
      <c r="A229" s="560" t="s">
        <v>501</v>
      </c>
      <c r="B229" s="86" t="s">
        <v>502</v>
      </c>
      <c r="C229" s="577">
        <v>1</v>
      </c>
      <c r="D229" s="578"/>
      <c r="E229" s="79" t="s">
        <v>503</v>
      </c>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65"/>
      <c r="AK229" s="65"/>
      <c r="AL229" s="65"/>
      <c r="AM229" s="65"/>
      <c r="AN229" s="65"/>
      <c r="AO229" s="65"/>
      <c r="AP229" s="65"/>
      <c r="AQ229" s="65"/>
      <c r="AR229" s="65"/>
      <c r="AS229" s="65"/>
      <c r="AT229" s="65"/>
      <c r="AU229" s="65"/>
      <c r="AV229" s="65"/>
      <c r="AW229" s="65"/>
      <c r="AX229" s="65"/>
      <c r="AY229" s="66"/>
    </row>
    <row r="230" spans="1:51" ht="15.75" customHeight="1">
      <c r="A230" s="525"/>
      <c r="B230" s="73" t="s">
        <v>307</v>
      </c>
      <c r="C230" s="79" t="s">
        <v>504</v>
      </c>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65"/>
      <c r="AK230" s="65"/>
      <c r="AL230" s="65"/>
      <c r="AM230" s="65"/>
      <c r="AN230" s="65"/>
      <c r="AO230" s="65"/>
      <c r="AP230" s="65"/>
      <c r="AQ230" s="65"/>
      <c r="AR230" s="65"/>
      <c r="AS230" s="65"/>
      <c r="AT230" s="65"/>
      <c r="AU230" s="65"/>
      <c r="AV230" s="65"/>
      <c r="AW230" s="65"/>
      <c r="AX230" s="65"/>
      <c r="AY230" s="66"/>
    </row>
    <row r="231" spans="1:51" ht="15" customHeight="1">
      <c r="A231" s="561">
        <v>5</v>
      </c>
      <c r="B231" s="561" t="s">
        <v>474</v>
      </c>
      <c r="C231" s="558" t="s">
        <v>299</v>
      </c>
      <c r="D231" s="510"/>
      <c r="E231" s="87"/>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65"/>
      <c r="AK231" s="65"/>
      <c r="AL231" s="65"/>
      <c r="AM231" s="65"/>
      <c r="AN231" s="65"/>
      <c r="AO231" s="65"/>
      <c r="AP231" s="65"/>
      <c r="AQ231" s="65"/>
      <c r="AR231" s="65"/>
      <c r="AS231" s="65"/>
      <c r="AT231" s="65"/>
      <c r="AU231" s="65"/>
      <c r="AV231" s="65"/>
      <c r="AW231" s="65"/>
      <c r="AX231" s="65"/>
      <c r="AY231" s="66"/>
    </row>
    <row r="232" spans="1:51" ht="15.75" customHeight="1">
      <c r="A232" s="525"/>
      <c r="B232" s="525"/>
      <c r="C232" s="116" t="s">
        <v>300</v>
      </c>
      <c r="D232" s="116" t="s">
        <v>301</v>
      </c>
      <c r="E232" s="87"/>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65"/>
      <c r="AK232" s="65"/>
      <c r="AL232" s="65"/>
      <c r="AM232" s="65"/>
      <c r="AN232" s="65"/>
      <c r="AO232" s="65"/>
      <c r="AP232" s="65"/>
      <c r="AQ232" s="65"/>
      <c r="AR232" s="65"/>
      <c r="AS232" s="65"/>
      <c r="AT232" s="65"/>
      <c r="AU232" s="65"/>
      <c r="AV232" s="65"/>
      <c r="AW232" s="65"/>
      <c r="AX232" s="65"/>
      <c r="AY232" s="66"/>
    </row>
    <row r="233" spans="1:51" ht="15.75" customHeight="1">
      <c r="A233" s="560" t="s">
        <v>505</v>
      </c>
      <c r="B233" s="86" t="s">
        <v>506</v>
      </c>
      <c r="C233" s="556">
        <v>1</v>
      </c>
      <c r="D233" s="510"/>
      <c r="E233" s="87"/>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65"/>
      <c r="AK233" s="65"/>
      <c r="AL233" s="65"/>
      <c r="AM233" s="65"/>
      <c r="AN233" s="65"/>
      <c r="AO233" s="65"/>
      <c r="AP233" s="65"/>
      <c r="AQ233" s="65"/>
      <c r="AR233" s="65"/>
      <c r="AS233" s="65"/>
      <c r="AT233" s="65"/>
      <c r="AU233" s="65"/>
      <c r="AV233" s="65"/>
      <c r="AW233" s="65"/>
      <c r="AX233" s="65"/>
      <c r="AY233" s="66"/>
    </row>
    <row r="234" spans="1:51" ht="15.75" customHeight="1">
      <c r="A234" s="525"/>
      <c r="B234" s="73" t="s">
        <v>307</v>
      </c>
      <c r="C234" s="74" t="s">
        <v>507</v>
      </c>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65"/>
      <c r="AK234" s="65"/>
      <c r="AL234" s="65"/>
      <c r="AM234" s="65"/>
      <c r="AN234" s="65"/>
      <c r="AO234" s="65"/>
      <c r="AP234" s="65"/>
      <c r="AQ234" s="65"/>
      <c r="AR234" s="65"/>
      <c r="AS234" s="65"/>
      <c r="AT234" s="65"/>
      <c r="AU234" s="65"/>
      <c r="AV234" s="65"/>
      <c r="AW234" s="65"/>
      <c r="AX234" s="65"/>
      <c r="AY234" s="66"/>
    </row>
    <row r="235" spans="1:51" ht="15.75" customHeight="1">
      <c r="A235" s="560" t="s">
        <v>508</v>
      </c>
      <c r="B235" s="86" t="s">
        <v>509</v>
      </c>
      <c r="C235" s="556">
        <v>1</v>
      </c>
      <c r="D235" s="510"/>
      <c r="E235" s="87"/>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65"/>
      <c r="AK235" s="65"/>
      <c r="AL235" s="65"/>
      <c r="AM235" s="65"/>
      <c r="AN235" s="65"/>
      <c r="AO235" s="65"/>
      <c r="AP235" s="65"/>
      <c r="AQ235" s="65"/>
      <c r="AR235" s="65"/>
      <c r="AS235" s="65"/>
      <c r="AT235" s="65"/>
      <c r="AU235" s="65"/>
      <c r="AV235" s="65"/>
      <c r="AW235" s="65"/>
      <c r="AX235" s="65"/>
      <c r="AY235" s="66"/>
    </row>
    <row r="236" spans="1:51" ht="15.75" customHeight="1">
      <c r="A236" s="525"/>
      <c r="B236" s="73" t="s">
        <v>307</v>
      </c>
      <c r="C236" s="74" t="s">
        <v>510</v>
      </c>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65"/>
      <c r="AK236" s="65"/>
      <c r="AL236" s="65"/>
      <c r="AM236" s="65"/>
      <c r="AN236" s="65"/>
      <c r="AO236" s="65"/>
      <c r="AP236" s="65"/>
      <c r="AQ236" s="65"/>
      <c r="AR236" s="65"/>
      <c r="AS236" s="65"/>
      <c r="AT236" s="65"/>
      <c r="AU236" s="65"/>
      <c r="AV236" s="65"/>
      <c r="AW236" s="65"/>
      <c r="AX236" s="65"/>
      <c r="AY236" s="66"/>
    </row>
    <row r="237" spans="1:51" ht="15.75" customHeight="1">
      <c r="A237" s="560" t="s">
        <v>511</v>
      </c>
      <c r="B237" s="86" t="s">
        <v>512</v>
      </c>
      <c r="C237" s="556">
        <v>0</v>
      </c>
      <c r="D237" s="510"/>
      <c r="E237" s="87"/>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65"/>
      <c r="AK237" s="65"/>
      <c r="AL237" s="65"/>
      <c r="AM237" s="65"/>
      <c r="AN237" s="65"/>
      <c r="AO237" s="65"/>
      <c r="AP237" s="65"/>
      <c r="AQ237" s="65"/>
      <c r="AR237" s="65"/>
      <c r="AS237" s="65"/>
      <c r="AT237" s="65"/>
      <c r="AU237" s="65"/>
      <c r="AV237" s="65"/>
      <c r="AW237" s="65"/>
      <c r="AX237" s="65"/>
      <c r="AY237" s="66"/>
    </row>
    <row r="238" spans="1:51" ht="15.75" customHeight="1">
      <c r="A238" s="525"/>
      <c r="B238" s="73" t="s">
        <v>307</v>
      </c>
      <c r="C238" s="74"/>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65"/>
      <c r="AK238" s="65"/>
      <c r="AL238" s="65"/>
      <c r="AM238" s="65"/>
      <c r="AN238" s="65"/>
      <c r="AO238" s="65"/>
      <c r="AP238" s="65"/>
      <c r="AQ238" s="65"/>
      <c r="AR238" s="65"/>
      <c r="AS238" s="65"/>
      <c r="AT238" s="65"/>
      <c r="AU238" s="65"/>
      <c r="AV238" s="65"/>
      <c r="AW238" s="65"/>
      <c r="AX238" s="65"/>
      <c r="AY238" s="66"/>
    </row>
    <row r="239" spans="1:51" ht="15.75" customHeight="1">
      <c r="A239" s="560" t="s">
        <v>513</v>
      </c>
      <c r="B239" s="86" t="s">
        <v>514</v>
      </c>
      <c r="C239" s="556">
        <v>1</v>
      </c>
      <c r="D239" s="510"/>
      <c r="E239" s="87"/>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65"/>
      <c r="AK239" s="65"/>
      <c r="AL239" s="65"/>
      <c r="AM239" s="65"/>
      <c r="AN239" s="65"/>
      <c r="AO239" s="65"/>
      <c r="AP239" s="65"/>
      <c r="AQ239" s="65"/>
      <c r="AR239" s="65"/>
      <c r="AS239" s="65"/>
      <c r="AT239" s="65"/>
      <c r="AU239" s="65"/>
      <c r="AV239" s="65"/>
      <c r="AW239" s="65"/>
      <c r="AX239" s="65"/>
      <c r="AY239" s="66"/>
    </row>
    <row r="240" spans="1:51" ht="15.75" customHeight="1">
      <c r="A240" s="525"/>
      <c r="B240" s="73" t="s">
        <v>307</v>
      </c>
      <c r="C240" s="74" t="s">
        <v>515</v>
      </c>
      <c r="D240" s="75"/>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65"/>
      <c r="AK240" s="65"/>
      <c r="AL240" s="65"/>
      <c r="AM240" s="65"/>
      <c r="AN240" s="65"/>
      <c r="AO240" s="65"/>
      <c r="AP240" s="65"/>
      <c r="AQ240" s="65"/>
      <c r="AR240" s="65"/>
      <c r="AS240" s="65"/>
      <c r="AT240" s="65"/>
      <c r="AU240" s="65"/>
      <c r="AV240" s="65"/>
      <c r="AW240" s="65"/>
      <c r="AX240" s="65"/>
      <c r="AY240" s="66"/>
    </row>
    <row r="241" spans="1:51" ht="15.75" customHeight="1">
      <c r="A241" s="560" t="s">
        <v>516</v>
      </c>
      <c r="B241" s="86" t="s">
        <v>517</v>
      </c>
      <c r="C241" s="556">
        <v>0</v>
      </c>
      <c r="D241" s="512"/>
      <c r="E241" s="79"/>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K241" s="80"/>
      <c r="AL241" s="80"/>
      <c r="AM241" s="80"/>
      <c r="AN241" s="80"/>
      <c r="AO241" s="80"/>
      <c r="AP241" s="80"/>
      <c r="AQ241" s="80"/>
      <c r="AR241" s="80"/>
      <c r="AS241" s="80"/>
      <c r="AT241" s="80"/>
      <c r="AU241" s="80"/>
      <c r="AV241" s="80"/>
      <c r="AW241" s="80"/>
      <c r="AX241" s="80"/>
      <c r="AY241" s="66"/>
    </row>
    <row r="242" spans="1:51" ht="15.75" customHeight="1">
      <c r="A242" s="525"/>
      <c r="B242" s="73" t="s">
        <v>307</v>
      </c>
      <c r="C242" s="74"/>
      <c r="D242" s="75"/>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66"/>
    </row>
    <row r="243" spans="1:51" ht="15.75" customHeight="1">
      <c r="A243" s="560" t="s">
        <v>518</v>
      </c>
      <c r="B243" s="81" t="s">
        <v>519</v>
      </c>
      <c r="C243" s="556">
        <v>0</v>
      </c>
      <c r="D243" s="510"/>
      <c r="E243" s="117"/>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66"/>
    </row>
    <row r="244" spans="1:51" ht="15" customHeight="1">
      <c r="A244" s="525"/>
      <c r="B244" s="73"/>
      <c r="C244" s="74"/>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66"/>
    </row>
    <row r="245" spans="1:51" ht="26.25" hidden="1" customHeight="1">
      <c r="A245" s="608" t="s">
        <v>60</v>
      </c>
      <c r="B245" s="603" t="s">
        <v>520</v>
      </c>
      <c r="C245" s="590"/>
      <c r="D245" s="603" t="s">
        <v>521</v>
      </c>
      <c r="E245" s="580"/>
      <c r="F245" s="580"/>
      <c r="G245" s="580"/>
      <c r="H245" s="580"/>
      <c r="I245" s="580"/>
      <c r="J245" s="580"/>
      <c r="K245" s="590"/>
      <c r="L245" s="623" t="s">
        <v>522</v>
      </c>
      <c r="M245" s="580"/>
      <c r="N245" s="580"/>
      <c r="O245" s="580"/>
      <c r="P245" s="580"/>
      <c r="Q245" s="580"/>
      <c r="R245" s="580"/>
      <c r="S245" s="580"/>
      <c r="T245" s="580"/>
      <c r="U245" s="580"/>
      <c r="V245" s="580"/>
      <c r="W245" s="580"/>
      <c r="X245" s="580"/>
      <c r="Y245" s="580"/>
      <c r="Z245" s="580"/>
      <c r="AA245" s="580"/>
      <c r="AB245" s="580"/>
      <c r="AC245" s="590"/>
      <c r="AD245" s="119" t="s">
        <v>523</v>
      </c>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66"/>
    </row>
    <row r="246" spans="1:51" ht="15" hidden="1" customHeight="1">
      <c r="A246" s="525"/>
      <c r="B246" s="604"/>
      <c r="C246" s="578"/>
      <c r="D246" s="604"/>
      <c r="E246" s="530"/>
      <c r="F246" s="530"/>
      <c r="G246" s="530"/>
      <c r="H246" s="530"/>
      <c r="I246" s="530"/>
      <c r="J246" s="530"/>
      <c r="K246" s="578"/>
      <c r="L246" s="604"/>
      <c r="M246" s="530"/>
      <c r="N246" s="530"/>
      <c r="O246" s="530"/>
      <c r="P246" s="530"/>
      <c r="Q246" s="530"/>
      <c r="R246" s="530"/>
      <c r="S246" s="530"/>
      <c r="T246" s="530"/>
      <c r="U246" s="530"/>
      <c r="V246" s="530"/>
      <c r="W246" s="530"/>
      <c r="X246" s="530"/>
      <c r="Y246" s="530"/>
      <c r="Z246" s="530"/>
      <c r="AA246" s="530"/>
      <c r="AB246" s="530"/>
      <c r="AC246" s="578"/>
      <c r="AD246" s="121"/>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c r="AY246" s="66"/>
    </row>
    <row r="247" spans="1:51" ht="15" hidden="1" customHeight="1">
      <c r="A247" s="602"/>
      <c r="B247" s="564"/>
      <c r="C247" s="510"/>
      <c r="D247" s="555"/>
      <c r="E247" s="512"/>
      <c r="F247" s="512"/>
      <c r="G247" s="512"/>
      <c r="H247" s="512"/>
      <c r="I247" s="512"/>
      <c r="J247" s="512"/>
      <c r="K247" s="510"/>
      <c r="L247" s="555"/>
      <c r="M247" s="512"/>
      <c r="N247" s="512"/>
      <c r="O247" s="512"/>
      <c r="P247" s="512"/>
      <c r="Q247" s="512"/>
      <c r="R247" s="512"/>
      <c r="S247" s="512"/>
      <c r="T247" s="512"/>
      <c r="U247" s="512"/>
      <c r="V247" s="512"/>
      <c r="W247" s="512"/>
      <c r="X247" s="512"/>
      <c r="Y247" s="512"/>
      <c r="Z247" s="512"/>
      <c r="AA247" s="512"/>
      <c r="AB247" s="512"/>
      <c r="AC247" s="510"/>
      <c r="AD247" s="123"/>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66"/>
    </row>
    <row r="248" spans="1:51" ht="15" hidden="1" customHeight="1">
      <c r="A248" s="525"/>
      <c r="B248" s="74"/>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66"/>
    </row>
    <row r="249" spans="1:51" ht="15" hidden="1" customHeight="1">
      <c r="A249" s="602"/>
      <c r="B249" s="564"/>
      <c r="C249" s="510"/>
      <c r="D249" s="555"/>
      <c r="E249" s="512"/>
      <c r="F249" s="512"/>
      <c r="G249" s="512"/>
      <c r="H249" s="512"/>
      <c r="I249" s="512"/>
      <c r="J249" s="512"/>
      <c r="K249" s="510"/>
      <c r="L249" s="555"/>
      <c r="M249" s="512"/>
      <c r="N249" s="512"/>
      <c r="O249" s="512"/>
      <c r="P249" s="512"/>
      <c r="Q249" s="512"/>
      <c r="R249" s="512"/>
      <c r="S249" s="512"/>
      <c r="T249" s="512"/>
      <c r="U249" s="512"/>
      <c r="V249" s="512"/>
      <c r="W249" s="512"/>
      <c r="X249" s="512"/>
      <c r="Y249" s="512"/>
      <c r="Z249" s="512"/>
      <c r="AA249" s="512"/>
      <c r="AB249" s="512"/>
      <c r="AC249" s="510"/>
      <c r="AD249" s="123"/>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66"/>
    </row>
    <row r="250" spans="1:51" ht="15" hidden="1" customHeight="1">
      <c r="A250" s="525"/>
      <c r="B250" s="74"/>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66"/>
    </row>
    <row r="251" spans="1:51" ht="15" hidden="1" customHeight="1">
      <c r="A251" s="602"/>
      <c r="B251" s="564"/>
      <c r="C251" s="510"/>
      <c r="D251" s="555"/>
      <c r="E251" s="512"/>
      <c r="F251" s="512"/>
      <c r="G251" s="512"/>
      <c r="H251" s="512"/>
      <c r="I251" s="512"/>
      <c r="J251" s="512"/>
      <c r="K251" s="510"/>
      <c r="L251" s="555"/>
      <c r="M251" s="512"/>
      <c r="N251" s="512"/>
      <c r="O251" s="512"/>
      <c r="P251" s="512"/>
      <c r="Q251" s="512"/>
      <c r="R251" s="512"/>
      <c r="S251" s="512"/>
      <c r="T251" s="512"/>
      <c r="U251" s="512"/>
      <c r="V251" s="512"/>
      <c r="W251" s="512"/>
      <c r="X251" s="512"/>
      <c r="Y251" s="512"/>
      <c r="Z251" s="512"/>
      <c r="AA251" s="512"/>
      <c r="AB251" s="512"/>
      <c r="AC251" s="510"/>
      <c r="AD251" s="123"/>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66"/>
    </row>
    <row r="252" spans="1:51" ht="15" hidden="1" customHeight="1">
      <c r="A252" s="525"/>
      <c r="B252" s="74"/>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66"/>
    </row>
    <row r="253" spans="1:51" ht="15" hidden="1" customHeight="1">
      <c r="A253" s="602"/>
      <c r="B253" s="564"/>
      <c r="C253" s="510"/>
      <c r="D253" s="555"/>
      <c r="E253" s="512"/>
      <c r="F253" s="512"/>
      <c r="G253" s="512"/>
      <c r="H253" s="512"/>
      <c r="I253" s="512"/>
      <c r="J253" s="512"/>
      <c r="K253" s="510"/>
      <c r="L253" s="555"/>
      <c r="M253" s="512"/>
      <c r="N253" s="512"/>
      <c r="O253" s="512"/>
      <c r="P253" s="512"/>
      <c r="Q253" s="512"/>
      <c r="R253" s="512"/>
      <c r="S253" s="512"/>
      <c r="T253" s="512"/>
      <c r="U253" s="512"/>
      <c r="V253" s="512"/>
      <c r="W253" s="512"/>
      <c r="X253" s="512"/>
      <c r="Y253" s="512"/>
      <c r="Z253" s="512"/>
      <c r="AA253" s="512"/>
      <c r="AB253" s="512"/>
      <c r="AC253" s="510"/>
      <c r="AD253" s="123"/>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66"/>
    </row>
    <row r="254" spans="1:51" ht="15" hidden="1" customHeight="1">
      <c r="A254" s="525"/>
      <c r="B254" s="74"/>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66"/>
    </row>
    <row r="255" spans="1:51" ht="15" hidden="1" customHeight="1">
      <c r="A255" s="602"/>
      <c r="B255" s="564"/>
      <c r="C255" s="510"/>
      <c r="D255" s="555"/>
      <c r="E255" s="512"/>
      <c r="F255" s="512"/>
      <c r="G255" s="512"/>
      <c r="H255" s="512"/>
      <c r="I255" s="512"/>
      <c r="J255" s="512"/>
      <c r="K255" s="510"/>
      <c r="L255" s="555"/>
      <c r="M255" s="512"/>
      <c r="N255" s="512"/>
      <c r="O255" s="512"/>
      <c r="P255" s="512"/>
      <c r="Q255" s="512"/>
      <c r="R255" s="512"/>
      <c r="S255" s="512"/>
      <c r="T255" s="512"/>
      <c r="U255" s="512"/>
      <c r="V255" s="512"/>
      <c r="W255" s="512"/>
      <c r="X255" s="512"/>
      <c r="Y255" s="512"/>
      <c r="Z255" s="512"/>
      <c r="AA255" s="512"/>
      <c r="AB255" s="512"/>
      <c r="AC255" s="510"/>
      <c r="AD255" s="123"/>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66"/>
    </row>
    <row r="256" spans="1:51" ht="15" hidden="1" customHeight="1">
      <c r="A256" s="525"/>
      <c r="B256" s="74"/>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66"/>
    </row>
    <row r="257" spans="1:51" ht="15" hidden="1" customHeight="1">
      <c r="A257" s="602"/>
      <c r="B257" s="564"/>
      <c r="C257" s="510"/>
      <c r="D257" s="555"/>
      <c r="E257" s="512"/>
      <c r="F257" s="512"/>
      <c r="G257" s="512"/>
      <c r="H257" s="512"/>
      <c r="I257" s="512"/>
      <c r="J257" s="512"/>
      <c r="K257" s="510"/>
      <c r="L257" s="555"/>
      <c r="M257" s="512"/>
      <c r="N257" s="512"/>
      <c r="O257" s="512"/>
      <c r="P257" s="512"/>
      <c r="Q257" s="512"/>
      <c r="R257" s="512"/>
      <c r="S257" s="512"/>
      <c r="T257" s="512"/>
      <c r="U257" s="512"/>
      <c r="V257" s="512"/>
      <c r="W257" s="512"/>
      <c r="X257" s="512"/>
      <c r="Y257" s="512"/>
      <c r="Z257" s="512"/>
      <c r="AA257" s="512"/>
      <c r="AB257" s="512"/>
      <c r="AC257" s="510"/>
      <c r="AD257" s="123"/>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66"/>
    </row>
    <row r="258" spans="1:51" ht="15" hidden="1" customHeight="1">
      <c r="A258" s="525"/>
      <c r="B258" s="74"/>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66"/>
    </row>
    <row r="259" spans="1:51" ht="15" hidden="1" customHeight="1">
      <c r="A259" s="602"/>
      <c r="B259" s="564"/>
      <c r="C259" s="510"/>
      <c r="D259" s="555"/>
      <c r="E259" s="512"/>
      <c r="F259" s="512"/>
      <c r="G259" s="512"/>
      <c r="H259" s="512"/>
      <c r="I259" s="512"/>
      <c r="J259" s="512"/>
      <c r="K259" s="510"/>
      <c r="L259" s="555"/>
      <c r="M259" s="512"/>
      <c r="N259" s="512"/>
      <c r="O259" s="512"/>
      <c r="P259" s="512"/>
      <c r="Q259" s="512"/>
      <c r="R259" s="512"/>
      <c r="S259" s="512"/>
      <c r="T259" s="512"/>
      <c r="U259" s="512"/>
      <c r="V259" s="512"/>
      <c r="W259" s="512"/>
      <c r="X259" s="512"/>
      <c r="Y259" s="512"/>
      <c r="Z259" s="512"/>
      <c r="AA259" s="512"/>
      <c r="AB259" s="512"/>
      <c r="AC259" s="510"/>
      <c r="AD259" s="123"/>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66"/>
    </row>
    <row r="260" spans="1:51" ht="15" hidden="1" customHeight="1">
      <c r="A260" s="525"/>
      <c r="B260" s="74"/>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66"/>
    </row>
    <row r="261" spans="1:51" ht="15" hidden="1" customHeight="1">
      <c r="A261" s="602"/>
      <c r="B261" s="564"/>
      <c r="C261" s="510"/>
      <c r="D261" s="555"/>
      <c r="E261" s="512"/>
      <c r="F261" s="512"/>
      <c r="G261" s="512"/>
      <c r="H261" s="512"/>
      <c r="I261" s="512"/>
      <c r="J261" s="512"/>
      <c r="K261" s="510"/>
      <c r="L261" s="555"/>
      <c r="M261" s="512"/>
      <c r="N261" s="512"/>
      <c r="O261" s="512"/>
      <c r="P261" s="512"/>
      <c r="Q261" s="512"/>
      <c r="R261" s="512"/>
      <c r="S261" s="512"/>
      <c r="T261" s="512"/>
      <c r="U261" s="512"/>
      <c r="V261" s="512"/>
      <c r="W261" s="512"/>
      <c r="X261" s="512"/>
      <c r="Y261" s="512"/>
      <c r="Z261" s="512"/>
      <c r="AA261" s="512"/>
      <c r="AB261" s="512"/>
      <c r="AC261" s="510"/>
      <c r="AD261" s="123"/>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66"/>
    </row>
    <row r="262" spans="1:51" ht="15" hidden="1" customHeight="1">
      <c r="A262" s="525"/>
      <c r="B262" s="74"/>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66"/>
    </row>
    <row r="263" spans="1:51" ht="15" hidden="1" customHeight="1">
      <c r="A263" s="602"/>
      <c r="B263" s="564"/>
      <c r="C263" s="510"/>
      <c r="D263" s="555"/>
      <c r="E263" s="512"/>
      <c r="F263" s="512"/>
      <c r="G263" s="512"/>
      <c r="H263" s="512"/>
      <c r="I263" s="512"/>
      <c r="J263" s="512"/>
      <c r="K263" s="510"/>
      <c r="L263" s="555"/>
      <c r="M263" s="512"/>
      <c r="N263" s="512"/>
      <c r="O263" s="512"/>
      <c r="P263" s="512"/>
      <c r="Q263" s="512"/>
      <c r="R263" s="512"/>
      <c r="S263" s="512"/>
      <c r="T263" s="512"/>
      <c r="U263" s="512"/>
      <c r="V263" s="512"/>
      <c r="W263" s="512"/>
      <c r="X263" s="512"/>
      <c r="Y263" s="512"/>
      <c r="Z263" s="512"/>
      <c r="AA263" s="512"/>
      <c r="AB263" s="512"/>
      <c r="AC263" s="510"/>
      <c r="AD263" s="123"/>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66"/>
    </row>
    <row r="264" spans="1:51" ht="15" hidden="1" customHeight="1">
      <c r="A264" s="525"/>
      <c r="B264" s="74"/>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66"/>
    </row>
    <row r="265" spans="1:51" ht="15" hidden="1" customHeight="1">
      <c r="A265" s="602"/>
      <c r="B265" s="564"/>
      <c r="C265" s="510"/>
      <c r="D265" s="555"/>
      <c r="E265" s="512"/>
      <c r="F265" s="512"/>
      <c r="G265" s="512"/>
      <c r="H265" s="512"/>
      <c r="I265" s="512"/>
      <c r="J265" s="512"/>
      <c r="K265" s="510"/>
      <c r="L265" s="555"/>
      <c r="M265" s="512"/>
      <c r="N265" s="512"/>
      <c r="O265" s="512"/>
      <c r="P265" s="512"/>
      <c r="Q265" s="512"/>
      <c r="R265" s="512"/>
      <c r="S265" s="512"/>
      <c r="T265" s="512"/>
      <c r="U265" s="512"/>
      <c r="V265" s="512"/>
      <c r="W265" s="512"/>
      <c r="X265" s="512"/>
      <c r="Y265" s="512"/>
      <c r="Z265" s="512"/>
      <c r="AA265" s="512"/>
      <c r="AB265" s="512"/>
      <c r="AC265" s="510"/>
      <c r="AD265" s="123"/>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66"/>
    </row>
    <row r="266" spans="1:51" ht="15" hidden="1" customHeight="1">
      <c r="A266" s="525"/>
      <c r="B266" s="74"/>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66"/>
    </row>
    <row r="267" spans="1:51" ht="15" hidden="1" customHeight="1">
      <c r="A267" s="602"/>
      <c r="B267" s="564"/>
      <c r="C267" s="510"/>
      <c r="D267" s="555"/>
      <c r="E267" s="512"/>
      <c r="F267" s="512"/>
      <c r="G267" s="512"/>
      <c r="H267" s="512"/>
      <c r="I267" s="512"/>
      <c r="J267" s="512"/>
      <c r="K267" s="510"/>
      <c r="L267" s="555"/>
      <c r="M267" s="512"/>
      <c r="N267" s="512"/>
      <c r="O267" s="512"/>
      <c r="P267" s="512"/>
      <c r="Q267" s="512"/>
      <c r="R267" s="512"/>
      <c r="S267" s="512"/>
      <c r="T267" s="512"/>
      <c r="U267" s="512"/>
      <c r="V267" s="512"/>
      <c r="W267" s="512"/>
      <c r="X267" s="512"/>
      <c r="Y267" s="512"/>
      <c r="Z267" s="512"/>
      <c r="AA267" s="512"/>
      <c r="AB267" s="512"/>
      <c r="AC267" s="510"/>
      <c r="AD267" s="123"/>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66"/>
    </row>
    <row r="268" spans="1:51" ht="15" hidden="1" customHeight="1">
      <c r="A268" s="525"/>
      <c r="B268" s="74"/>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66"/>
    </row>
    <row r="269" spans="1:51" ht="15" hidden="1" customHeight="1">
      <c r="A269" s="602"/>
      <c r="B269" s="564"/>
      <c r="C269" s="510"/>
      <c r="D269" s="555"/>
      <c r="E269" s="512"/>
      <c r="F269" s="512"/>
      <c r="G269" s="512"/>
      <c r="H269" s="512"/>
      <c r="I269" s="512"/>
      <c r="J269" s="512"/>
      <c r="K269" s="510"/>
      <c r="L269" s="555"/>
      <c r="M269" s="512"/>
      <c r="N269" s="512"/>
      <c r="O269" s="512"/>
      <c r="P269" s="512"/>
      <c r="Q269" s="512"/>
      <c r="R269" s="512"/>
      <c r="S269" s="512"/>
      <c r="T269" s="512"/>
      <c r="U269" s="512"/>
      <c r="V269" s="512"/>
      <c r="W269" s="512"/>
      <c r="X269" s="512"/>
      <c r="Y269" s="512"/>
      <c r="Z269" s="512"/>
      <c r="AA269" s="512"/>
      <c r="AB269" s="512"/>
      <c r="AC269" s="510"/>
      <c r="AD269" s="123"/>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66"/>
    </row>
    <row r="270" spans="1:51" ht="15" hidden="1" customHeight="1">
      <c r="A270" s="525"/>
      <c r="B270" s="74"/>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66"/>
    </row>
    <row r="271" spans="1:51" ht="15" hidden="1" customHeight="1">
      <c r="A271" s="602"/>
      <c r="B271" s="564"/>
      <c r="C271" s="510"/>
      <c r="D271" s="555"/>
      <c r="E271" s="512"/>
      <c r="F271" s="512"/>
      <c r="G271" s="512"/>
      <c r="H271" s="512"/>
      <c r="I271" s="512"/>
      <c r="J271" s="512"/>
      <c r="K271" s="510"/>
      <c r="L271" s="555"/>
      <c r="M271" s="512"/>
      <c r="N271" s="512"/>
      <c r="O271" s="512"/>
      <c r="P271" s="512"/>
      <c r="Q271" s="512"/>
      <c r="R271" s="512"/>
      <c r="S271" s="512"/>
      <c r="T271" s="512"/>
      <c r="U271" s="512"/>
      <c r="V271" s="512"/>
      <c r="W271" s="512"/>
      <c r="X271" s="512"/>
      <c r="Y271" s="512"/>
      <c r="Z271" s="512"/>
      <c r="AA271" s="512"/>
      <c r="AB271" s="512"/>
      <c r="AC271" s="510"/>
      <c r="AD271" s="123"/>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66"/>
    </row>
    <row r="272" spans="1:51" ht="15" hidden="1" customHeight="1">
      <c r="A272" s="525"/>
      <c r="B272" s="74"/>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66"/>
    </row>
    <row r="273" spans="1:51" ht="15" hidden="1" customHeight="1">
      <c r="A273" s="602"/>
      <c r="B273" s="564"/>
      <c r="C273" s="510"/>
      <c r="D273" s="555"/>
      <c r="E273" s="512"/>
      <c r="F273" s="512"/>
      <c r="G273" s="512"/>
      <c r="H273" s="512"/>
      <c r="I273" s="512"/>
      <c r="J273" s="512"/>
      <c r="K273" s="510"/>
      <c r="L273" s="555"/>
      <c r="M273" s="512"/>
      <c r="N273" s="512"/>
      <c r="O273" s="512"/>
      <c r="P273" s="512"/>
      <c r="Q273" s="512"/>
      <c r="R273" s="512"/>
      <c r="S273" s="512"/>
      <c r="T273" s="512"/>
      <c r="U273" s="512"/>
      <c r="V273" s="512"/>
      <c r="W273" s="512"/>
      <c r="X273" s="512"/>
      <c r="Y273" s="512"/>
      <c r="Z273" s="512"/>
      <c r="AA273" s="512"/>
      <c r="AB273" s="512"/>
      <c r="AC273" s="510"/>
      <c r="AD273" s="123"/>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66"/>
    </row>
    <row r="274" spans="1:51" ht="15" hidden="1" customHeight="1">
      <c r="A274" s="525"/>
      <c r="B274" s="74"/>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66"/>
    </row>
    <row r="275" spans="1:51" ht="15" hidden="1" customHeight="1">
      <c r="A275" s="602"/>
      <c r="B275" s="564"/>
      <c r="C275" s="510"/>
      <c r="D275" s="555"/>
      <c r="E275" s="512"/>
      <c r="F275" s="512"/>
      <c r="G275" s="512"/>
      <c r="H275" s="512"/>
      <c r="I275" s="512"/>
      <c r="J275" s="512"/>
      <c r="K275" s="510"/>
      <c r="L275" s="555"/>
      <c r="M275" s="512"/>
      <c r="N275" s="512"/>
      <c r="O275" s="512"/>
      <c r="P275" s="512"/>
      <c r="Q275" s="512"/>
      <c r="R275" s="512"/>
      <c r="S275" s="512"/>
      <c r="T275" s="512"/>
      <c r="U275" s="512"/>
      <c r="V275" s="512"/>
      <c r="W275" s="512"/>
      <c r="X275" s="512"/>
      <c r="Y275" s="512"/>
      <c r="Z275" s="512"/>
      <c r="AA275" s="512"/>
      <c r="AB275" s="512"/>
      <c r="AC275" s="510"/>
      <c r="AD275" s="123"/>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66"/>
    </row>
    <row r="276" spans="1:51" ht="15" hidden="1" customHeight="1">
      <c r="A276" s="525"/>
      <c r="B276" s="74"/>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66"/>
    </row>
    <row r="277" spans="1:51" ht="15" hidden="1" customHeight="1">
      <c r="A277" s="602"/>
      <c r="B277" s="564"/>
      <c r="C277" s="510"/>
      <c r="D277" s="555"/>
      <c r="E277" s="512"/>
      <c r="F277" s="512"/>
      <c r="G277" s="512"/>
      <c r="H277" s="512"/>
      <c r="I277" s="512"/>
      <c r="J277" s="512"/>
      <c r="K277" s="510"/>
      <c r="L277" s="555"/>
      <c r="M277" s="512"/>
      <c r="N277" s="512"/>
      <c r="O277" s="512"/>
      <c r="P277" s="512"/>
      <c r="Q277" s="512"/>
      <c r="R277" s="512"/>
      <c r="S277" s="512"/>
      <c r="T277" s="512"/>
      <c r="U277" s="512"/>
      <c r="V277" s="512"/>
      <c r="W277" s="512"/>
      <c r="X277" s="512"/>
      <c r="Y277" s="512"/>
      <c r="Z277" s="512"/>
      <c r="AA277" s="512"/>
      <c r="AB277" s="512"/>
      <c r="AC277" s="510"/>
      <c r="AD277" s="123"/>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66"/>
    </row>
    <row r="278" spans="1:51" ht="15" hidden="1" customHeight="1">
      <c r="A278" s="525"/>
      <c r="B278" s="74"/>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66"/>
    </row>
    <row r="279" spans="1:51" ht="15" hidden="1" customHeight="1">
      <c r="A279" s="602"/>
      <c r="B279" s="564"/>
      <c r="C279" s="510"/>
      <c r="D279" s="555"/>
      <c r="E279" s="512"/>
      <c r="F279" s="512"/>
      <c r="G279" s="512"/>
      <c r="H279" s="512"/>
      <c r="I279" s="512"/>
      <c r="J279" s="512"/>
      <c r="K279" s="510"/>
      <c r="L279" s="555"/>
      <c r="M279" s="512"/>
      <c r="N279" s="512"/>
      <c r="O279" s="512"/>
      <c r="P279" s="512"/>
      <c r="Q279" s="512"/>
      <c r="R279" s="512"/>
      <c r="S279" s="512"/>
      <c r="T279" s="512"/>
      <c r="U279" s="512"/>
      <c r="V279" s="512"/>
      <c r="W279" s="512"/>
      <c r="X279" s="512"/>
      <c r="Y279" s="512"/>
      <c r="Z279" s="512"/>
      <c r="AA279" s="512"/>
      <c r="AB279" s="512"/>
      <c r="AC279" s="510"/>
      <c r="AD279" s="123"/>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66"/>
    </row>
    <row r="280" spans="1:51" ht="15" hidden="1" customHeight="1">
      <c r="A280" s="525"/>
      <c r="B280" s="74"/>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66"/>
    </row>
    <row r="281" spans="1:51" ht="15" hidden="1" customHeight="1">
      <c r="A281" s="602"/>
      <c r="B281" s="564"/>
      <c r="C281" s="510"/>
      <c r="D281" s="555"/>
      <c r="E281" s="512"/>
      <c r="F281" s="512"/>
      <c r="G281" s="512"/>
      <c r="H281" s="512"/>
      <c r="I281" s="512"/>
      <c r="J281" s="512"/>
      <c r="K281" s="510"/>
      <c r="L281" s="555"/>
      <c r="M281" s="512"/>
      <c r="N281" s="512"/>
      <c r="O281" s="512"/>
      <c r="P281" s="512"/>
      <c r="Q281" s="512"/>
      <c r="R281" s="512"/>
      <c r="S281" s="512"/>
      <c r="T281" s="512"/>
      <c r="U281" s="512"/>
      <c r="V281" s="512"/>
      <c r="W281" s="512"/>
      <c r="X281" s="512"/>
      <c r="Y281" s="512"/>
      <c r="Z281" s="512"/>
      <c r="AA281" s="512"/>
      <c r="AB281" s="512"/>
      <c r="AC281" s="510"/>
      <c r="AD281" s="123"/>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66"/>
    </row>
    <row r="282" spans="1:51" ht="15" hidden="1" customHeight="1">
      <c r="A282" s="525"/>
      <c r="B282" s="74"/>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66"/>
    </row>
    <row r="283" spans="1:51" ht="15" hidden="1" customHeight="1">
      <c r="A283" s="602"/>
      <c r="B283" s="564"/>
      <c r="C283" s="510"/>
      <c r="D283" s="555"/>
      <c r="E283" s="512"/>
      <c r="F283" s="512"/>
      <c r="G283" s="512"/>
      <c r="H283" s="512"/>
      <c r="I283" s="512"/>
      <c r="J283" s="512"/>
      <c r="K283" s="510"/>
      <c r="L283" s="555"/>
      <c r="M283" s="512"/>
      <c r="N283" s="512"/>
      <c r="O283" s="512"/>
      <c r="P283" s="512"/>
      <c r="Q283" s="512"/>
      <c r="R283" s="512"/>
      <c r="S283" s="512"/>
      <c r="T283" s="512"/>
      <c r="U283" s="512"/>
      <c r="V283" s="512"/>
      <c r="W283" s="512"/>
      <c r="X283" s="512"/>
      <c r="Y283" s="512"/>
      <c r="Z283" s="512"/>
      <c r="AA283" s="512"/>
      <c r="AB283" s="512"/>
      <c r="AC283" s="510"/>
      <c r="AD283" s="123"/>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66"/>
    </row>
    <row r="284" spans="1:51" ht="15" hidden="1" customHeight="1">
      <c r="A284" s="525"/>
      <c r="B284" s="74"/>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66"/>
    </row>
    <row r="285" spans="1:51" ht="15" hidden="1" customHeight="1">
      <c r="A285" s="602"/>
      <c r="B285" s="564"/>
      <c r="C285" s="510"/>
      <c r="D285" s="555"/>
      <c r="E285" s="512"/>
      <c r="F285" s="512"/>
      <c r="G285" s="512"/>
      <c r="H285" s="512"/>
      <c r="I285" s="512"/>
      <c r="J285" s="512"/>
      <c r="K285" s="510"/>
      <c r="L285" s="555"/>
      <c r="M285" s="512"/>
      <c r="N285" s="512"/>
      <c r="O285" s="512"/>
      <c r="P285" s="512"/>
      <c r="Q285" s="512"/>
      <c r="R285" s="512"/>
      <c r="S285" s="512"/>
      <c r="T285" s="512"/>
      <c r="U285" s="512"/>
      <c r="V285" s="512"/>
      <c r="W285" s="512"/>
      <c r="X285" s="512"/>
      <c r="Y285" s="512"/>
      <c r="Z285" s="512"/>
      <c r="AA285" s="512"/>
      <c r="AB285" s="512"/>
      <c r="AC285" s="510"/>
      <c r="AD285" s="123"/>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66"/>
    </row>
    <row r="286" spans="1:51" ht="15" hidden="1" customHeight="1">
      <c r="A286" s="525"/>
      <c r="B286" s="74"/>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66"/>
    </row>
    <row r="287" spans="1:51" ht="15" hidden="1" customHeight="1">
      <c r="A287" s="602"/>
      <c r="B287" s="564"/>
      <c r="C287" s="510"/>
      <c r="D287" s="555"/>
      <c r="E287" s="512"/>
      <c r="F287" s="512"/>
      <c r="G287" s="512"/>
      <c r="H287" s="512"/>
      <c r="I287" s="512"/>
      <c r="J287" s="512"/>
      <c r="K287" s="510"/>
      <c r="L287" s="555"/>
      <c r="M287" s="512"/>
      <c r="N287" s="512"/>
      <c r="O287" s="512"/>
      <c r="P287" s="512"/>
      <c r="Q287" s="512"/>
      <c r="R287" s="512"/>
      <c r="S287" s="512"/>
      <c r="T287" s="512"/>
      <c r="U287" s="512"/>
      <c r="V287" s="512"/>
      <c r="W287" s="512"/>
      <c r="X287" s="512"/>
      <c r="Y287" s="512"/>
      <c r="Z287" s="512"/>
      <c r="AA287" s="512"/>
      <c r="AB287" s="512"/>
      <c r="AC287" s="510"/>
      <c r="AD287" s="123"/>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66"/>
    </row>
    <row r="288" spans="1:51" ht="15" hidden="1" customHeight="1">
      <c r="A288" s="525"/>
      <c r="B288" s="74"/>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66"/>
    </row>
    <row r="289" spans="1:51" ht="15" hidden="1" customHeight="1">
      <c r="A289" s="602"/>
      <c r="B289" s="564"/>
      <c r="C289" s="510"/>
      <c r="D289" s="555"/>
      <c r="E289" s="512"/>
      <c r="F289" s="512"/>
      <c r="G289" s="512"/>
      <c r="H289" s="512"/>
      <c r="I289" s="512"/>
      <c r="J289" s="512"/>
      <c r="K289" s="510"/>
      <c r="L289" s="555"/>
      <c r="M289" s="512"/>
      <c r="N289" s="512"/>
      <c r="O289" s="512"/>
      <c r="P289" s="512"/>
      <c r="Q289" s="512"/>
      <c r="R289" s="512"/>
      <c r="S289" s="512"/>
      <c r="T289" s="512"/>
      <c r="U289" s="512"/>
      <c r="V289" s="512"/>
      <c r="W289" s="512"/>
      <c r="X289" s="512"/>
      <c r="Y289" s="512"/>
      <c r="Z289" s="512"/>
      <c r="AA289" s="512"/>
      <c r="AB289" s="512"/>
      <c r="AC289" s="510"/>
      <c r="AD289" s="123"/>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66"/>
    </row>
    <row r="290" spans="1:51" ht="15" hidden="1" customHeight="1">
      <c r="A290" s="525"/>
      <c r="B290" s="74"/>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66"/>
    </row>
    <row r="291" spans="1:51" ht="15" hidden="1" customHeight="1">
      <c r="A291" s="602"/>
      <c r="B291" s="564"/>
      <c r="C291" s="510"/>
      <c r="D291" s="555"/>
      <c r="E291" s="512"/>
      <c r="F291" s="512"/>
      <c r="G291" s="512"/>
      <c r="H291" s="512"/>
      <c r="I291" s="512"/>
      <c r="J291" s="512"/>
      <c r="K291" s="510"/>
      <c r="L291" s="555"/>
      <c r="M291" s="512"/>
      <c r="N291" s="512"/>
      <c r="O291" s="512"/>
      <c r="P291" s="512"/>
      <c r="Q291" s="512"/>
      <c r="R291" s="512"/>
      <c r="S291" s="512"/>
      <c r="T291" s="512"/>
      <c r="U291" s="512"/>
      <c r="V291" s="512"/>
      <c r="W291" s="512"/>
      <c r="X291" s="512"/>
      <c r="Y291" s="512"/>
      <c r="Z291" s="512"/>
      <c r="AA291" s="512"/>
      <c r="AB291" s="512"/>
      <c r="AC291" s="510"/>
      <c r="AD291" s="123"/>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66"/>
    </row>
    <row r="292" spans="1:51" ht="15" hidden="1" customHeight="1">
      <c r="A292" s="525"/>
      <c r="B292" s="74"/>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66"/>
    </row>
    <row r="293" spans="1:51" ht="15" hidden="1" customHeight="1">
      <c r="A293" s="602"/>
      <c r="B293" s="564"/>
      <c r="C293" s="510"/>
      <c r="D293" s="555"/>
      <c r="E293" s="512"/>
      <c r="F293" s="512"/>
      <c r="G293" s="512"/>
      <c r="H293" s="512"/>
      <c r="I293" s="512"/>
      <c r="J293" s="512"/>
      <c r="K293" s="510"/>
      <c r="L293" s="555"/>
      <c r="M293" s="512"/>
      <c r="N293" s="512"/>
      <c r="O293" s="512"/>
      <c r="P293" s="512"/>
      <c r="Q293" s="512"/>
      <c r="R293" s="512"/>
      <c r="S293" s="512"/>
      <c r="T293" s="512"/>
      <c r="U293" s="512"/>
      <c r="V293" s="512"/>
      <c r="W293" s="512"/>
      <c r="X293" s="512"/>
      <c r="Y293" s="512"/>
      <c r="Z293" s="512"/>
      <c r="AA293" s="512"/>
      <c r="AB293" s="512"/>
      <c r="AC293" s="510"/>
      <c r="AD293" s="123"/>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66"/>
    </row>
    <row r="294" spans="1:51" ht="15" hidden="1" customHeight="1">
      <c r="A294" s="525"/>
      <c r="B294" s="74"/>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66"/>
    </row>
    <row r="295" spans="1:51" ht="15" hidden="1" customHeight="1">
      <c r="A295" s="602"/>
      <c r="B295" s="564"/>
      <c r="C295" s="510"/>
      <c r="D295" s="555"/>
      <c r="E295" s="512"/>
      <c r="F295" s="512"/>
      <c r="G295" s="512"/>
      <c r="H295" s="512"/>
      <c r="I295" s="512"/>
      <c r="J295" s="512"/>
      <c r="K295" s="510"/>
      <c r="L295" s="555"/>
      <c r="M295" s="512"/>
      <c r="N295" s="512"/>
      <c r="O295" s="512"/>
      <c r="P295" s="512"/>
      <c r="Q295" s="512"/>
      <c r="R295" s="512"/>
      <c r="S295" s="512"/>
      <c r="T295" s="512"/>
      <c r="U295" s="512"/>
      <c r="V295" s="512"/>
      <c r="W295" s="512"/>
      <c r="X295" s="512"/>
      <c r="Y295" s="512"/>
      <c r="Z295" s="512"/>
      <c r="AA295" s="512"/>
      <c r="AB295" s="512"/>
      <c r="AC295" s="510"/>
      <c r="AD295" s="123"/>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66"/>
    </row>
    <row r="296" spans="1:51" ht="15" hidden="1" customHeight="1">
      <c r="A296" s="525"/>
      <c r="B296" s="74"/>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66"/>
    </row>
    <row r="297" spans="1:51" ht="15" hidden="1" customHeight="1">
      <c r="A297" s="602"/>
      <c r="B297" s="564"/>
      <c r="C297" s="510"/>
      <c r="D297" s="555"/>
      <c r="E297" s="512"/>
      <c r="F297" s="512"/>
      <c r="G297" s="512"/>
      <c r="H297" s="512"/>
      <c r="I297" s="512"/>
      <c r="J297" s="512"/>
      <c r="K297" s="510"/>
      <c r="L297" s="555"/>
      <c r="M297" s="512"/>
      <c r="N297" s="512"/>
      <c r="O297" s="512"/>
      <c r="P297" s="512"/>
      <c r="Q297" s="512"/>
      <c r="R297" s="512"/>
      <c r="S297" s="512"/>
      <c r="T297" s="512"/>
      <c r="U297" s="512"/>
      <c r="V297" s="512"/>
      <c r="W297" s="512"/>
      <c r="X297" s="512"/>
      <c r="Y297" s="512"/>
      <c r="Z297" s="512"/>
      <c r="AA297" s="512"/>
      <c r="AB297" s="512"/>
      <c r="AC297" s="510"/>
      <c r="AD297" s="123"/>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66"/>
    </row>
    <row r="298" spans="1:51" ht="15" hidden="1" customHeight="1">
      <c r="A298" s="525"/>
      <c r="B298" s="74"/>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66"/>
    </row>
    <row r="299" spans="1:51" ht="15" hidden="1" customHeight="1">
      <c r="A299" s="602"/>
      <c r="B299" s="564"/>
      <c r="C299" s="510"/>
      <c r="D299" s="555"/>
      <c r="E299" s="512"/>
      <c r="F299" s="512"/>
      <c r="G299" s="512"/>
      <c r="H299" s="512"/>
      <c r="I299" s="512"/>
      <c r="J299" s="512"/>
      <c r="K299" s="510"/>
      <c r="L299" s="555"/>
      <c r="M299" s="512"/>
      <c r="N299" s="512"/>
      <c r="O299" s="512"/>
      <c r="P299" s="512"/>
      <c r="Q299" s="512"/>
      <c r="R299" s="512"/>
      <c r="S299" s="512"/>
      <c r="T299" s="512"/>
      <c r="U299" s="512"/>
      <c r="V299" s="512"/>
      <c r="W299" s="512"/>
      <c r="X299" s="512"/>
      <c r="Y299" s="512"/>
      <c r="Z299" s="512"/>
      <c r="AA299" s="512"/>
      <c r="AB299" s="512"/>
      <c r="AC299" s="510"/>
      <c r="AD299" s="123"/>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66"/>
    </row>
    <row r="300" spans="1:51" ht="15" hidden="1" customHeight="1">
      <c r="A300" s="525"/>
      <c r="B300" s="74"/>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66"/>
    </row>
    <row r="301" spans="1:51" ht="15" hidden="1" customHeight="1">
      <c r="A301" s="602"/>
      <c r="B301" s="564"/>
      <c r="C301" s="510"/>
      <c r="D301" s="555"/>
      <c r="E301" s="512"/>
      <c r="F301" s="512"/>
      <c r="G301" s="512"/>
      <c r="H301" s="512"/>
      <c r="I301" s="512"/>
      <c r="J301" s="512"/>
      <c r="K301" s="510"/>
      <c r="L301" s="555"/>
      <c r="M301" s="512"/>
      <c r="N301" s="512"/>
      <c r="O301" s="512"/>
      <c r="P301" s="512"/>
      <c r="Q301" s="512"/>
      <c r="R301" s="512"/>
      <c r="S301" s="512"/>
      <c r="T301" s="512"/>
      <c r="U301" s="512"/>
      <c r="V301" s="512"/>
      <c r="W301" s="512"/>
      <c r="X301" s="512"/>
      <c r="Y301" s="512"/>
      <c r="Z301" s="512"/>
      <c r="AA301" s="512"/>
      <c r="AB301" s="512"/>
      <c r="AC301" s="510"/>
      <c r="AD301" s="123"/>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66"/>
    </row>
    <row r="302" spans="1:51" ht="15" hidden="1" customHeight="1">
      <c r="A302" s="525"/>
      <c r="B302" s="74"/>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66"/>
    </row>
    <row r="303" spans="1:51" ht="15" hidden="1" customHeight="1">
      <c r="A303" s="602"/>
      <c r="B303" s="564"/>
      <c r="C303" s="510"/>
      <c r="D303" s="555"/>
      <c r="E303" s="512"/>
      <c r="F303" s="512"/>
      <c r="G303" s="512"/>
      <c r="H303" s="512"/>
      <c r="I303" s="512"/>
      <c r="J303" s="512"/>
      <c r="K303" s="510"/>
      <c r="L303" s="555"/>
      <c r="M303" s="512"/>
      <c r="N303" s="512"/>
      <c r="O303" s="512"/>
      <c r="P303" s="512"/>
      <c r="Q303" s="512"/>
      <c r="R303" s="512"/>
      <c r="S303" s="512"/>
      <c r="T303" s="512"/>
      <c r="U303" s="512"/>
      <c r="V303" s="512"/>
      <c r="W303" s="512"/>
      <c r="X303" s="512"/>
      <c r="Y303" s="512"/>
      <c r="Z303" s="512"/>
      <c r="AA303" s="512"/>
      <c r="AB303" s="512"/>
      <c r="AC303" s="510"/>
      <c r="AD303" s="123"/>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66"/>
    </row>
    <row r="304" spans="1:51" ht="15" hidden="1" customHeight="1">
      <c r="A304" s="525"/>
      <c r="B304" s="74"/>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66"/>
    </row>
    <row r="305" spans="1:51" ht="15" hidden="1" customHeight="1">
      <c r="A305" s="602"/>
      <c r="B305" s="564"/>
      <c r="C305" s="510"/>
      <c r="D305" s="555"/>
      <c r="E305" s="512"/>
      <c r="F305" s="512"/>
      <c r="G305" s="512"/>
      <c r="H305" s="512"/>
      <c r="I305" s="512"/>
      <c r="J305" s="512"/>
      <c r="K305" s="510"/>
      <c r="L305" s="555"/>
      <c r="M305" s="512"/>
      <c r="N305" s="512"/>
      <c r="O305" s="512"/>
      <c r="P305" s="512"/>
      <c r="Q305" s="512"/>
      <c r="R305" s="512"/>
      <c r="S305" s="512"/>
      <c r="T305" s="512"/>
      <c r="U305" s="512"/>
      <c r="V305" s="512"/>
      <c r="W305" s="512"/>
      <c r="X305" s="512"/>
      <c r="Y305" s="512"/>
      <c r="Z305" s="512"/>
      <c r="AA305" s="512"/>
      <c r="AB305" s="512"/>
      <c r="AC305" s="510"/>
      <c r="AD305" s="123"/>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66"/>
    </row>
    <row r="306" spans="1:51" ht="15" hidden="1" customHeight="1">
      <c r="A306" s="525"/>
      <c r="B306" s="74"/>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66"/>
    </row>
    <row r="307" spans="1:51" ht="15" hidden="1" customHeight="1">
      <c r="A307" s="602"/>
      <c r="B307" s="564"/>
      <c r="C307" s="510"/>
      <c r="D307" s="555"/>
      <c r="E307" s="512"/>
      <c r="F307" s="512"/>
      <c r="G307" s="512"/>
      <c r="H307" s="512"/>
      <c r="I307" s="512"/>
      <c r="J307" s="512"/>
      <c r="K307" s="510"/>
      <c r="L307" s="555"/>
      <c r="M307" s="512"/>
      <c r="N307" s="512"/>
      <c r="O307" s="512"/>
      <c r="P307" s="512"/>
      <c r="Q307" s="512"/>
      <c r="R307" s="512"/>
      <c r="S307" s="512"/>
      <c r="T307" s="512"/>
      <c r="U307" s="512"/>
      <c r="V307" s="512"/>
      <c r="W307" s="512"/>
      <c r="X307" s="512"/>
      <c r="Y307" s="512"/>
      <c r="Z307" s="512"/>
      <c r="AA307" s="512"/>
      <c r="AB307" s="512"/>
      <c r="AC307" s="510"/>
      <c r="AD307" s="123"/>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66"/>
    </row>
    <row r="308" spans="1:51" ht="15" hidden="1" customHeight="1">
      <c r="A308" s="525"/>
      <c r="B308" s="74"/>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66"/>
    </row>
    <row r="309" spans="1:51" ht="15" hidden="1" customHeight="1">
      <c r="A309" s="602"/>
      <c r="B309" s="564"/>
      <c r="C309" s="510"/>
      <c r="D309" s="555"/>
      <c r="E309" s="512"/>
      <c r="F309" s="512"/>
      <c r="G309" s="512"/>
      <c r="H309" s="512"/>
      <c r="I309" s="512"/>
      <c r="J309" s="512"/>
      <c r="K309" s="510"/>
      <c r="L309" s="555"/>
      <c r="M309" s="512"/>
      <c r="N309" s="512"/>
      <c r="O309" s="512"/>
      <c r="P309" s="512"/>
      <c r="Q309" s="512"/>
      <c r="R309" s="512"/>
      <c r="S309" s="512"/>
      <c r="T309" s="512"/>
      <c r="U309" s="512"/>
      <c r="V309" s="512"/>
      <c r="W309" s="512"/>
      <c r="X309" s="512"/>
      <c r="Y309" s="512"/>
      <c r="Z309" s="512"/>
      <c r="AA309" s="512"/>
      <c r="AB309" s="512"/>
      <c r="AC309" s="510"/>
      <c r="AD309" s="123"/>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66"/>
    </row>
    <row r="310" spans="1:51" ht="15" hidden="1" customHeight="1">
      <c r="A310" s="525"/>
      <c r="B310" s="74"/>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66"/>
    </row>
    <row r="311" spans="1:51" ht="15" hidden="1" customHeight="1">
      <c r="A311" s="602"/>
      <c r="B311" s="564"/>
      <c r="C311" s="510"/>
      <c r="D311" s="555"/>
      <c r="E311" s="512"/>
      <c r="F311" s="512"/>
      <c r="G311" s="512"/>
      <c r="H311" s="512"/>
      <c r="I311" s="512"/>
      <c r="J311" s="512"/>
      <c r="K311" s="510"/>
      <c r="L311" s="555"/>
      <c r="M311" s="512"/>
      <c r="N311" s="512"/>
      <c r="O311" s="512"/>
      <c r="P311" s="512"/>
      <c r="Q311" s="512"/>
      <c r="R311" s="512"/>
      <c r="S311" s="512"/>
      <c r="T311" s="512"/>
      <c r="U311" s="512"/>
      <c r="V311" s="512"/>
      <c r="W311" s="512"/>
      <c r="X311" s="512"/>
      <c r="Y311" s="512"/>
      <c r="Z311" s="512"/>
      <c r="AA311" s="512"/>
      <c r="AB311" s="512"/>
      <c r="AC311" s="510"/>
      <c r="AD311" s="123"/>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66"/>
    </row>
    <row r="312" spans="1:51" ht="15" hidden="1" customHeight="1">
      <c r="A312" s="525"/>
      <c r="B312" s="74"/>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66"/>
    </row>
    <row r="313" spans="1:51" ht="15" hidden="1" customHeight="1">
      <c r="A313" s="602"/>
      <c r="B313" s="564"/>
      <c r="C313" s="510"/>
      <c r="D313" s="555"/>
      <c r="E313" s="512"/>
      <c r="F313" s="512"/>
      <c r="G313" s="512"/>
      <c r="H313" s="512"/>
      <c r="I313" s="512"/>
      <c r="J313" s="512"/>
      <c r="K313" s="510"/>
      <c r="L313" s="555"/>
      <c r="M313" s="512"/>
      <c r="N313" s="512"/>
      <c r="O313" s="512"/>
      <c r="P313" s="512"/>
      <c r="Q313" s="512"/>
      <c r="R313" s="512"/>
      <c r="S313" s="512"/>
      <c r="T313" s="512"/>
      <c r="U313" s="512"/>
      <c r="V313" s="512"/>
      <c r="W313" s="512"/>
      <c r="X313" s="512"/>
      <c r="Y313" s="512"/>
      <c r="Z313" s="512"/>
      <c r="AA313" s="512"/>
      <c r="AB313" s="512"/>
      <c r="AC313" s="510"/>
      <c r="AD313" s="123"/>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66"/>
    </row>
    <row r="314" spans="1:51" ht="15" hidden="1" customHeight="1">
      <c r="A314" s="525"/>
      <c r="B314" s="74"/>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66"/>
    </row>
    <row r="315" spans="1:51" ht="15" hidden="1" customHeight="1">
      <c r="A315" s="602"/>
      <c r="B315" s="564"/>
      <c r="C315" s="510"/>
      <c r="D315" s="555"/>
      <c r="E315" s="512"/>
      <c r="F315" s="512"/>
      <c r="G315" s="512"/>
      <c r="H315" s="512"/>
      <c r="I315" s="512"/>
      <c r="J315" s="512"/>
      <c r="K315" s="510"/>
      <c r="L315" s="555"/>
      <c r="M315" s="512"/>
      <c r="N315" s="512"/>
      <c r="O315" s="512"/>
      <c r="P315" s="512"/>
      <c r="Q315" s="512"/>
      <c r="R315" s="512"/>
      <c r="S315" s="512"/>
      <c r="T315" s="512"/>
      <c r="U315" s="512"/>
      <c r="V315" s="512"/>
      <c r="W315" s="512"/>
      <c r="X315" s="512"/>
      <c r="Y315" s="512"/>
      <c r="Z315" s="512"/>
      <c r="AA315" s="512"/>
      <c r="AB315" s="512"/>
      <c r="AC315" s="510"/>
      <c r="AD315" s="123"/>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66"/>
    </row>
    <row r="316" spans="1:51" ht="15" hidden="1" customHeight="1">
      <c r="A316" s="525"/>
      <c r="B316" s="74"/>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66"/>
    </row>
    <row r="317" spans="1:51" ht="15" hidden="1" customHeight="1">
      <c r="A317" s="602"/>
      <c r="B317" s="564"/>
      <c r="C317" s="510"/>
      <c r="D317" s="555"/>
      <c r="E317" s="512"/>
      <c r="F317" s="512"/>
      <c r="G317" s="512"/>
      <c r="H317" s="512"/>
      <c r="I317" s="512"/>
      <c r="J317" s="512"/>
      <c r="K317" s="510"/>
      <c r="L317" s="555"/>
      <c r="M317" s="512"/>
      <c r="N317" s="512"/>
      <c r="O317" s="512"/>
      <c r="P317" s="512"/>
      <c r="Q317" s="512"/>
      <c r="R317" s="512"/>
      <c r="S317" s="512"/>
      <c r="T317" s="512"/>
      <c r="U317" s="512"/>
      <c r="V317" s="512"/>
      <c r="W317" s="512"/>
      <c r="X317" s="512"/>
      <c r="Y317" s="512"/>
      <c r="Z317" s="512"/>
      <c r="AA317" s="512"/>
      <c r="AB317" s="512"/>
      <c r="AC317" s="510"/>
      <c r="AD317" s="123"/>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66"/>
    </row>
    <row r="318" spans="1:51" ht="15" hidden="1" customHeight="1">
      <c r="A318" s="525"/>
      <c r="B318" s="74"/>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66"/>
    </row>
    <row r="319" spans="1:51" ht="15" hidden="1" customHeight="1">
      <c r="A319" s="602"/>
      <c r="B319" s="564"/>
      <c r="C319" s="510"/>
      <c r="D319" s="555"/>
      <c r="E319" s="512"/>
      <c r="F319" s="512"/>
      <c r="G319" s="512"/>
      <c r="H319" s="512"/>
      <c r="I319" s="512"/>
      <c r="J319" s="512"/>
      <c r="K319" s="510"/>
      <c r="L319" s="555"/>
      <c r="M319" s="512"/>
      <c r="N319" s="512"/>
      <c r="O319" s="512"/>
      <c r="P319" s="512"/>
      <c r="Q319" s="512"/>
      <c r="R319" s="512"/>
      <c r="S319" s="512"/>
      <c r="T319" s="512"/>
      <c r="U319" s="512"/>
      <c r="V319" s="512"/>
      <c r="W319" s="512"/>
      <c r="X319" s="512"/>
      <c r="Y319" s="512"/>
      <c r="Z319" s="512"/>
      <c r="AA319" s="512"/>
      <c r="AB319" s="512"/>
      <c r="AC319" s="510"/>
      <c r="AD319" s="123"/>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66"/>
    </row>
    <row r="320" spans="1:51" ht="15" hidden="1" customHeight="1">
      <c r="A320" s="525"/>
      <c r="B320" s="74"/>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66"/>
    </row>
    <row r="321" spans="1:51" ht="15" hidden="1" customHeight="1">
      <c r="A321" s="602"/>
      <c r="B321" s="564"/>
      <c r="C321" s="510"/>
      <c r="D321" s="555"/>
      <c r="E321" s="512"/>
      <c r="F321" s="512"/>
      <c r="G321" s="512"/>
      <c r="H321" s="512"/>
      <c r="I321" s="512"/>
      <c r="J321" s="512"/>
      <c r="K321" s="510"/>
      <c r="L321" s="555"/>
      <c r="M321" s="512"/>
      <c r="N321" s="512"/>
      <c r="O321" s="512"/>
      <c r="P321" s="512"/>
      <c r="Q321" s="512"/>
      <c r="R321" s="512"/>
      <c r="S321" s="512"/>
      <c r="T321" s="512"/>
      <c r="U321" s="512"/>
      <c r="V321" s="512"/>
      <c r="W321" s="512"/>
      <c r="X321" s="512"/>
      <c r="Y321" s="512"/>
      <c r="Z321" s="512"/>
      <c r="AA321" s="512"/>
      <c r="AB321" s="512"/>
      <c r="AC321" s="510"/>
      <c r="AD321" s="123"/>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66"/>
    </row>
    <row r="322" spans="1:51" ht="15" hidden="1" customHeight="1">
      <c r="A322" s="525"/>
      <c r="B322" s="74"/>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66"/>
    </row>
    <row r="323" spans="1:51" ht="15" hidden="1" customHeight="1">
      <c r="A323" s="602"/>
      <c r="B323" s="564"/>
      <c r="C323" s="510"/>
      <c r="D323" s="555"/>
      <c r="E323" s="512"/>
      <c r="F323" s="512"/>
      <c r="G323" s="512"/>
      <c r="H323" s="512"/>
      <c r="I323" s="512"/>
      <c r="J323" s="512"/>
      <c r="K323" s="510"/>
      <c r="L323" s="555"/>
      <c r="M323" s="512"/>
      <c r="N323" s="512"/>
      <c r="O323" s="512"/>
      <c r="P323" s="512"/>
      <c r="Q323" s="512"/>
      <c r="R323" s="512"/>
      <c r="S323" s="512"/>
      <c r="T323" s="512"/>
      <c r="U323" s="512"/>
      <c r="V323" s="512"/>
      <c r="W323" s="512"/>
      <c r="X323" s="512"/>
      <c r="Y323" s="512"/>
      <c r="Z323" s="512"/>
      <c r="AA323" s="512"/>
      <c r="AB323" s="512"/>
      <c r="AC323" s="510"/>
      <c r="AD323" s="123"/>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66"/>
    </row>
    <row r="324" spans="1:51" ht="15" hidden="1" customHeight="1">
      <c r="A324" s="525"/>
      <c r="B324" s="74"/>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66"/>
    </row>
    <row r="325" spans="1:51" ht="15" hidden="1" customHeight="1">
      <c r="A325" s="602"/>
      <c r="B325" s="564"/>
      <c r="C325" s="510"/>
      <c r="D325" s="555"/>
      <c r="E325" s="512"/>
      <c r="F325" s="512"/>
      <c r="G325" s="512"/>
      <c r="H325" s="512"/>
      <c r="I325" s="512"/>
      <c r="J325" s="512"/>
      <c r="K325" s="510"/>
      <c r="L325" s="555"/>
      <c r="M325" s="512"/>
      <c r="N325" s="512"/>
      <c r="O325" s="512"/>
      <c r="P325" s="512"/>
      <c r="Q325" s="512"/>
      <c r="R325" s="512"/>
      <c r="S325" s="512"/>
      <c r="T325" s="512"/>
      <c r="U325" s="512"/>
      <c r="V325" s="512"/>
      <c r="W325" s="512"/>
      <c r="X325" s="512"/>
      <c r="Y325" s="512"/>
      <c r="Z325" s="512"/>
      <c r="AA325" s="512"/>
      <c r="AB325" s="512"/>
      <c r="AC325" s="510"/>
      <c r="AD325" s="123"/>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66"/>
    </row>
    <row r="326" spans="1:51" ht="15" hidden="1" customHeight="1">
      <c r="A326" s="525"/>
      <c r="B326" s="74"/>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66"/>
    </row>
    <row r="327" spans="1:51" ht="15" hidden="1" customHeight="1">
      <c r="A327" s="602"/>
      <c r="B327" s="564"/>
      <c r="C327" s="510"/>
      <c r="D327" s="555"/>
      <c r="E327" s="512"/>
      <c r="F327" s="512"/>
      <c r="G327" s="512"/>
      <c r="H327" s="512"/>
      <c r="I327" s="512"/>
      <c r="J327" s="512"/>
      <c r="K327" s="510"/>
      <c r="L327" s="555"/>
      <c r="M327" s="512"/>
      <c r="N327" s="512"/>
      <c r="O327" s="512"/>
      <c r="P327" s="512"/>
      <c r="Q327" s="512"/>
      <c r="R327" s="512"/>
      <c r="S327" s="512"/>
      <c r="T327" s="512"/>
      <c r="U327" s="512"/>
      <c r="V327" s="512"/>
      <c r="W327" s="512"/>
      <c r="X327" s="512"/>
      <c r="Y327" s="512"/>
      <c r="Z327" s="512"/>
      <c r="AA327" s="512"/>
      <c r="AB327" s="512"/>
      <c r="AC327" s="510"/>
      <c r="AD327" s="123"/>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66"/>
    </row>
    <row r="328" spans="1:51" ht="15" hidden="1" customHeight="1">
      <c r="A328" s="525"/>
      <c r="B328" s="74"/>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66"/>
    </row>
    <row r="329" spans="1:51" ht="15" hidden="1" customHeight="1">
      <c r="A329" s="602"/>
      <c r="B329" s="564"/>
      <c r="C329" s="510"/>
      <c r="D329" s="555"/>
      <c r="E329" s="512"/>
      <c r="F329" s="512"/>
      <c r="G329" s="512"/>
      <c r="H329" s="512"/>
      <c r="I329" s="512"/>
      <c r="J329" s="512"/>
      <c r="K329" s="510"/>
      <c r="L329" s="555"/>
      <c r="M329" s="512"/>
      <c r="N329" s="512"/>
      <c r="O329" s="512"/>
      <c r="P329" s="512"/>
      <c r="Q329" s="512"/>
      <c r="R329" s="512"/>
      <c r="S329" s="512"/>
      <c r="T329" s="512"/>
      <c r="U329" s="512"/>
      <c r="V329" s="512"/>
      <c r="W329" s="512"/>
      <c r="X329" s="512"/>
      <c r="Y329" s="512"/>
      <c r="Z329" s="512"/>
      <c r="AA329" s="512"/>
      <c r="AB329" s="512"/>
      <c r="AC329" s="510"/>
      <c r="AD329" s="123"/>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66"/>
    </row>
    <row r="330" spans="1:51" ht="15" hidden="1" customHeight="1">
      <c r="A330" s="525"/>
      <c r="B330" s="74"/>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66"/>
    </row>
    <row r="331" spans="1:51" ht="15" hidden="1" customHeight="1">
      <c r="A331" s="602"/>
      <c r="B331" s="564"/>
      <c r="C331" s="510"/>
      <c r="D331" s="555"/>
      <c r="E331" s="512"/>
      <c r="F331" s="512"/>
      <c r="G331" s="512"/>
      <c r="H331" s="512"/>
      <c r="I331" s="512"/>
      <c r="J331" s="512"/>
      <c r="K331" s="510"/>
      <c r="L331" s="555"/>
      <c r="M331" s="512"/>
      <c r="N331" s="512"/>
      <c r="O331" s="512"/>
      <c r="P331" s="512"/>
      <c r="Q331" s="512"/>
      <c r="R331" s="512"/>
      <c r="S331" s="512"/>
      <c r="T331" s="512"/>
      <c r="U331" s="512"/>
      <c r="V331" s="512"/>
      <c r="W331" s="512"/>
      <c r="X331" s="512"/>
      <c r="Y331" s="512"/>
      <c r="Z331" s="512"/>
      <c r="AA331" s="512"/>
      <c r="AB331" s="512"/>
      <c r="AC331" s="510"/>
      <c r="AD331" s="123"/>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66"/>
    </row>
    <row r="332" spans="1:51" ht="15" hidden="1" customHeight="1">
      <c r="A332" s="525"/>
      <c r="B332" s="74"/>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66"/>
    </row>
    <row r="333" spans="1:51" ht="15" hidden="1" customHeight="1">
      <c r="A333" s="602"/>
      <c r="B333" s="564"/>
      <c r="C333" s="510"/>
      <c r="D333" s="555"/>
      <c r="E333" s="512"/>
      <c r="F333" s="512"/>
      <c r="G333" s="512"/>
      <c r="H333" s="512"/>
      <c r="I333" s="512"/>
      <c r="J333" s="512"/>
      <c r="K333" s="510"/>
      <c r="L333" s="555"/>
      <c r="M333" s="512"/>
      <c r="N333" s="512"/>
      <c r="O333" s="512"/>
      <c r="P333" s="512"/>
      <c r="Q333" s="512"/>
      <c r="R333" s="512"/>
      <c r="S333" s="512"/>
      <c r="T333" s="512"/>
      <c r="U333" s="512"/>
      <c r="V333" s="512"/>
      <c r="W333" s="512"/>
      <c r="X333" s="512"/>
      <c r="Y333" s="512"/>
      <c r="Z333" s="512"/>
      <c r="AA333" s="512"/>
      <c r="AB333" s="512"/>
      <c r="AC333" s="510"/>
      <c r="AD333" s="123"/>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66"/>
    </row>
    <row r="334" spans="1:51" ht="15" hidden="1" customHeight="1">
      <c r="A334" s="525"/>
      <c r="B334" s="74"/>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66"/>
    </row>
    <row r="335" spans="1:51" ht="15" hidden="1" customHeight="1">
      <c r="A335" s="602"/>
      <c r="B335" s="564"/>
      <c r="C335" s="510"/>
      <c r="D335" s="555"/>
      <c r="E335" s="512"/>
      <c r="F335" s="512"/>
      <c r="G335" s="512"/>
      <c r="H335" s="512"/>
      <c r="I335" s="512"/>
      <c r="J335" s="512"/>
      <c r="K335" s="510"/>
      <c r="L335" s="555"/>
      <c r="M335" s="512"/>
      <c r="N335" s="512"/>
      <c r="O335" s="512"/>
      <c r="P335" s="512"/>
      <c r="Q335" s="512"/>
      <c r="R335" s="512"/>
      <c r="S335" s="512"/>
      <c r="T335" s="512"/>
      <c r="U335" s="512"/>
      <c r="V335" s="512"/>
      <c r="W335" s="512"/>
      <c r="X335" s="512"/>
      <c r="Y335" s="512"/>
      <c r="Z335" s="512"/>
      <c r="AA335" s="512"/>
      <c r="AB335" s="512"/>
      <c r="AC335" s="510"/>
      <c r="AD335" s="123"/>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66"/>
    </row>
    <row r="336" spans="1:51" ht="15" hidden="1" customHeight="1">
      <c r="A336" s="525"/>
      <c r="B336" s="74"/>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66"/>
    </row>
    <row r="337" spans="1:71" ht="15" hidden="1" customHeight="1">
      <c r="A337" s="602"/>
      <c r="B337" s="564"/>
      <c r="C337" s="510"/>
      <c r="D337" s="555"/>
      <c r="E337" s="512"/>
      <c r="F337" s="512"/>
      <c r="G337" s="512"/>
      <c r="H337" s="512"/>
      <c r="I337" s="512"/>
      <c r="J337" s="512"/>
      <c r="K337" s="510"/>
      <c r="L337" s="555"/>
      <c r="M337" s="512"/>
      <c r="N337" s="512"/>
      <c r="O337" s="512"/>
      <c r="P337" s="512"/>
      <c r="Q337" s="512"/>
      <c r="R337" s="512"/>
      <c r="S337" s="512"/>
      <c r="T337" s="512"/>
      <c r="U337" s="512"/>
      <c r="V337" s="512"/>
      <c r="W337" s="512"/>
      <c r="X337" s="512"/>
      <c r="Y337" s="512"/>
      <c r="Z337" s="512"/>
      <c r="AA337" s="512"/>
      <c r="AB337" s="512"/>
      <c r="AC337" s="510"/>
      <c r="AD337" s="123"/>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66"/>
    </row>
    <row r="338" spans="1:71" ht="15" hidden="1" customHeight="1">
      <c r="A338" s="525"/>
      <c r="B338" s="74"/>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66"/>
    </row>
    <row r="339" spans="1:71" ht="15" hidden="1" customHeight="1">
      <c r="A339" s="602"/>
      <c r="B339" s="564"/>
      <c r="C339" s="510"/>
      <c r="D339" s="555"/>
      <c r="E339" s="512"/>
      <c r="F339" s="512"/>
      <c r="G339" s="512"/>
      <c r="H339" s="512"/>
      <c r="I339" s="512"/>
      <c r="J339" s="512"/>
      <c r="K339" s="510"/>
      <c r="L339" s="555"/>
      <c r="M339" s="512"/>
      <c r="N339" s="512"/>
      <c r="O339" s="512"/>
      <c r="P339" s="512"/>
      <c r="Q339" s="512"/>
      <c r="R339" s="512"/>
      <c r="S339" s="512"/>
      <c r="T339" s="512"/>
      <c r="U339" s="512"/>
      <c r="V339" s="512"/>
      <c r="W339" s="512"/>
      <c r="X339" s="512"/>
      <c r="Y339" s="512"/>
      <c r="Z339" s="512"/>
      <c r="AA339" s="512"/>
      <c r="AB339" s="512"/>
      <c r="AC339" s="510"/>
      <c r="AD339" s="123"/>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66"/>
    </row>
    <row r="340" spans="1:71" ht="15" hidden="1" customHeight="1">
      <c r="A340" s="525"/>
      <c r="B340" s="74"/>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66"/>
    </row>
    <row r="341" spans="1:71" ht="15" hidden="1" customHeight="1">
      <c r="A341" s="602"/>
      <c r="B341" s="564"/>
      <c r="C341" s="510"/>
      <c r="D341" s="555"/>
      <c r="E341" s="512"/>
      <c r="F341" s="512"/>
      <c r="G341" s="512"/>
      <c r="H341" s="512"/>
      <c r="I341" s="512"/>
      <c r="J341" s="512"/>
      <c r="K341" s="510"/>
      <c r="L341" s="555"/>
      <c r="M341" s="512"/>
      <c r="N341" s="512"/>
      <c r="O341" s="512"/>
      <c r="P341" s="512"/>
      <c r="Q341" s="512"/>
      <c r="R341" s="512"/>
      <c r="S341" s="512"/>
      <c r="T341" s="512"/>
      <c r="U341" s="512"/>
      <c r="V341" s="512"/>
      <c r="W341" s="512"/>
      <c r="X341" s="512"/>
      <c r="Y341" s="512"/>
      <c r="Z341" s="512"/>
      <c r="AA341" s="512"/>
      <c r="AB341" s="512"/>
      <c r="AC341" s="510"/>
      <c r="AD341" s="123"/>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66"/>
    </row>
    <row r="342" spans="1:71" ht="15" hidden="1" customHeight="1">
      <c r="A342" s="525"/>
      <c r="B342" s="74"/>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66"/>
    </row>
    <row r="343" spans="1:71" ht="15" hidden="1" customHeight="1">
      <c r="A343" s="602"/>
      <c r="B343" s="564"/>
      <c r="C343" s="510"/>
      <c r="D343" s="555"/>
      <c r="E343" s="512"/>
      <c r="F343" s="512"/>
      <c r="G343" s="512"/>
      <c r="H343" s="512"/>
      <c r="I343" s="512"/>
      <c r="J343" s="512"/>
      <c r="K343" s="510"/>
      <c r="L343" s="555"/>
      <c r="M343" s="512"/>
      <c r="N343" s="512"/>
      <c r="O343" s="512"/>
      <c r="P343" s="512"/>
      <c r="Q343" s="512"/>
      <c r="R343" s="512"/>
      <c r="S343" s="512"/>
      <c r="T343" s="512"/>
      <c r="U343" s="512"/>
      <c r="V343" s="512"/>
      <c r="W343" s="512"/>
      <c r="X343" s="512"/>
      <c r="Y343" s="512"/>
      <c r="Z343" s="512"/>
      <c r="AA343" s="512"/>
      <c r="AB343" s="512"/>
      <c r="AC343" s="510"/>
      <c r="AD343" s="123"/>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66"/>
    </row>
    <row r="344" spans="1:71" ht="15" hidden="1" customHeight="1">
      <c r="A344" s="525"/>
      <c r="B344" s="74"/>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66"/>
    </row>
    <row r="345" spans="1:71" ht="15" hidden="1" customHeight="1">
      <c r="A345" s="602"/>
      <c r="B345" s="564"/>
      <c r="C345" s="510"/>
      <c r="D345" s="555"/>
      <c r="E345" s="512"/>
      <c r="F345" s="512"/>
      <c r="G345" s="512"/>
      <c r="H345" s="512"/>
      <c r="I345" s="512"/>
      <c r="J345" s="512"/>
      <c r="K345" s="510"/>
      <c r="L345" s="555"/>
      <c r="M345" s="512"/>
      <c r="N345" s="512"/>
      <c r="O345" s="512"/>
      <c r="P345" s="512"/>
      <c r="Q345" s="512"/>
      <c r="R345" s="512"/>
      <c r="S345" s="512"/>
      <c r="T345" s="512"/>
      <c r="U345" s="512"/>
      <c r="V345" s="512"/>
      <c r="W345" s="512"/>
      <c r="X345" s="512"/>
      <c r="Y345" s="512"/>
      <c r="Z345" s="512"/>
      <c r="AA345" s="512"/>
      <c r="AB345" s="512"/>
      <c r="AC345" s="510"/>
      <c r="AD345" s="123"/>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66"/>
    </row>
    <row r="346" spans="1:71" ht="15" hidden="1" customHeight="1">
      <c r="A346" s="525"/>
      <c r="B346" s="74"/>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66"/>
    </row>
    <row r="347" spans="1:71" ht="15.75" customHeight="1">
      <c r="A347" s="125" t="s">
        <v>524</v>
      </c>
      <c r="B347" s="126" t="s">
        <v>525</v>
      </c>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c r="AE347" s="127"/>
      <c r="AF347" s="127"/>
      <c r="AG347" s="127"/>
      <c r="AH347" s="127"/>
      <c r="AI347" s="127"/>
      <c r="AJ347" s="127"/>
      <c r="AK347" s="127"/>
      <c r="AL347" s="127"/>
      <c r="AM347" s="127"/>
      <c r="AN347" s="127"/>
      <c r="AO347" s="127"/>
      <c r="AP347" s="127"/>
      <c r="AQ347" s="127"/>
      <c r="AR347" s="127"/>
      <c r="AS347" s="127"/>
      <c r="AT347" s="127"/>
      <c r="AU347" s="127"/>
      <c r="AV347" s="127"/>
      <c r="AW347" s="127"/>
      <c r="AX347" s="127"/>
      <c r="AY347" s="66"/>
    </row>
    <row r="348" spans="1:71" ht="15.75" customHeight="1">
      <c r="A348" s="128">
        <v>6</v>
      </c>
      <c r="B348" s="129" t="s">
        <v>526</v>
      </c>
      <c r="C348" s="563">
        <v>1</v>
      </c>
      <c r="D348" s="510"/>
      <c r="E348" s="563">
        <v>2</v>
      </c>
      <c r="F348" s="510"/>
      <c r="G348" s="563">
        <v>3</v>
      </c>
      <c r="H348" s="510"/>
      <c r="I348" s="563">
        <v>4</v>
      </c>
      <c r="J348" s="510"/>
      <c r="K348" s="563">
        <v>5</v>
      </c>
      <c r="L348" s="510"/>
      <c r="M348" s="563">
        <v>6</v>
      </c>
      <c r="N348" s="510"/>
      <c r="O348" s="563">
        <v>7</v>
      </c>
      <c r="P348" s="510"/>
      <c r="Q348" s="563">
        <v>8</v>
      </c>
      <c r="R348" s="510"/>
      <c r="S348" s="563">
        <v>9</v>
      </c>
      <c r="T348" s="510"/>
      <c r="U348" s="563">
        <v>10</v>
      </c>
      <c r="V348" s="510"/>
      <c r="W348" s="563">
        <v>11</v>
      </c>
      <c r="X348" s="510"/>
      <c r="Y348" s="563">
        <v>12</v>
      </c>
      <c r="Z348" s="510"/>
      <c r="AA348" s="563">
        <v>13</v>
      </c>
      <c r="AB348" s="510"/>
      <c r="AC348" s="563">
        <v>14</v>
      </c>
      <c r="AD348" s="510"/>
      <c r="AE348" s="563">
        <v>15</v>
      </c>
      <c r="AF348" s="510"/>
      <c r="AG348" s="563">
        <v>16</v>
      </c>
      <c r="AH348" s="510"/>
      <c r="AI348" s="563">
        <v>17</v>
      </c>
      <c r="AJ348" s="510"/>
      <c r="AK348" s="563">
        <v>18</v>
      </c>
      <c r="AL348" s="510"/>
      <c r="AM348" s="563">
        <v>19</v>
      </c>
      <c r="AN348" s="510"/>
      <c r="AO348" s="563">
        <v>20</v>
      </c>
      <c r="AP348" s="510"/>
      <c r="AQ348" s="563">
        <v>21</v>
      </c>
      <c r="AR348" s="510"/>
      <c r="AS348" s="563">
        <v>22</v>
      </c>
      <c r="AT348" s="510"/>
      <c r="AU348" s="563">
        <v>23</v>
      </c>
      <c r="AV348" s="510"/>
      <c r="AW348" s="563">
        <v>24</v>
      </c>
      <c r="AX348" s="510"/>
      <c r="AY348" s="563">
        <v>25</v>
      </c>
      <c r="AZ348" s="510"/>
      <c r="BA348" s="130"/>
      <c r="BB348" s="130"/>
      <c r="BC348" s="130"/>
      <c r="BD348" s="130"/>
      <c r="BE348" s="130"/>
      <c r="BF348" s="130"/>
      <c r="BG348" s="130"/>
      <c r="BH348" s="130"/>
      <c r="BI348" s="130"/>
      <c r="BJ348" s="130"/>
      <c r="BK348" s="130"/>
      <c r="BL348" s="130"/>
      <c r="BM348" s="130"/>
      <c r="BN348" s="130"/>
      <c r="BO348" s="130"/>
      <c r="BP348" s="130"/>
      <c r="BQ348" s="130"/>
      <c r="BR348" s="130"/>
      <c r="BS348" s="130"/>
    </row>
    <row r="349" spans="1:71" ht="48" customHeight="1">
      <c r="A349" s="92" t="s">
        <v>527</v>
      </c>
      <c r="B349" s="131" t="s">
        <v>528</v>
      </c>
      <c r="C349" s="617" t="s">
        <v>529</v>
      </c>
      <c r="D349" s="510"/>
      <c r="E349" s="617" t="s">
        <v>530</v>
      </c>
      <c r="F349" s="510"/>
      <c r="G349" s="617" t="s">
        <v>531</v>
      </c>
      <c r="H349" s="510"/>
      <c r="I349" s="617" t="s">
        <v>532</v>
      </c>
      <c r="J349" s="510"/>
      <c r="K349" s="617" t="s">
        <v>533</v>
      </c>
      <c r="L349" s="510"/>
      <c r="M349" s="617" t="s">
        <v>534</v>
      </c>
      <c r="N349" s="510"/>
      <c r="O349" s="617" t="s">
        <v>535</v>
      </c>
      <c r="P349" s="510"/>
      <c r="Q349" s="617" t="s">
        <v>536</v>
      </c>
      <c r="R349" s="510"/>
      <c r="S349" s="617" t="s">
        <v>537</v>
      </c>
      <c r="T349" s="510"/>
      <c r="U349" s="617" t="s">
        <v>538</v>
      </c>
      <c r="V349" s="510"/>
      <c r="W349" s="617" t="s">
        <v>539</v>
      </c>
      <c r="X349" s="510"/>
      <c r="Y349" s="617" t="s">
        <v>540</v>
      </c>
      <c r="Z349" s="510"/>
      <c r="AA349" s="617" t="s">
        <v>541</v>
      </c>
      <c r="AB349" s="510"/>
      <c r="AC349" s="617" t="s">
        <v>542</v>
      </c>
      <c r="AD349" s="510"/>
      <c r="AE349" s="617" t="s">
        <v>543</v>
      </c>
      <c r="AF349" s="510"/>
      <c r="AG349" s="617" t="s">
        <v>544</v>
      </c>
      <c r="AH349" s="510"/>
      <c r="AI349" s="617" t="s">
        <v>545</v>
      </c>
      <c r="AJ349" s="510"/>
      <c r="AK349" s="617" t="s">
        <v>546</v>
      </c>
      <c r="AL349" s="510"/>
      <c r="AM349" s="617" t="s">
        <v>547</v>
      </c>
      <c r="AN349" s="510"/>
      <c r="AO349" s="617" t="s">
        <v>548</v>
      </c>
      <c r="AP349" s="510"/>
      <c r="AQ349" s="617" t="s">
        <v>549</v>
      </c>
      <c r="AR349" s="510"/>
      <c r="AS349" s="617" t="s">
        <v>550</v>
      </c>
      <c r="AT349" s="510"/>
      <c r="AU349" s="617" t="s">
        <v>551</v>
      </c>
      <c r="AV349" s="510"/>
      <c r="AW349" s="617" t="s">
        <v>552</v>
      </c>
      <c r="AX349" s="510"/>
      <c r="AY349" s="621" t="s">
        <v>553</v>
      </c>
      <c r="AZ349" s="510"/>
      <c r="BA349" s="130"/>
      <c r="BB349" s="130"/>
      <c r="BC349" s="130"/>
      <c r="BD349" s="130"/>
      <c r="BE349" s="130"/>
      <c r="BF349" s="130"/>
      <c r="BG349" s="130"/>
      <c r="BH349" s="130"/>
      <c r="BI349" s="130"/>
      <c r="BJ349" s="130"/>
      <c r="BK349" s="130"/>
      <c r="BL349" s="130"/>
      <c r="BM349" s="130"/>
      <c r="BN349" s="130"/>
      <c r="BO349" s="130"/>
      <c r="BP349" s="130"/>
      <c r="BQ349" s="130"/>
      <c r="BR349" s="130"/>
      <c r="BS349" s="130"/>
    </row>
    <row r="350" spans="1:71" ht="15.75" customHeight="1">
      <c r="A350" s="560" t="s">
        <v>554</v>
      </c>
      <c r="B350" s="132" t="s">
        <v>555</v>
      </c>
      <c r="C350" s="619" t="s">
        <v>556</v>
      </c>
      <c r="D350" s="510"/>
      <c r="E350" s="619" t="s">
        <v>557</v>
      </c>
      <c r="F350" s="510"/>
      <c r="G350" s="620" t="s">
        <v>558</v>
      </c>
      <c r="H350" s="510"/>
      <c r="I350" s="619" t="s">
        <v>559</v>
      </c>
      <c r="J350" s="510"/>
      <c r="K350" s="619" t="s">
        <v>560</v>
      </c>
      <c r="L350" s="510"/>
      <c r="M350" s="619" t="s">
        <v>561</v>
      </c>
      <c r="N350" s="510"/>
      <c r="O350" s="619" t="s">
        <v>561</v>
      </c>
      <c r="P350" s="510"/>
      <c r="Q350" s="619" t="s">
        <v>562</v>
      </c>
      <c r="R350" s="510"/>
      <c r="S350" s="619" t="s">
        <v>563</v>
      </c>
      <c r="T350" s="510"/>
      <c r="U350" s="625" t="s">
        <v>564</v>
      </c>
      <c r="V350" s="510"/>
      <c r="W350" s="619" t="s">
        <v>565</v>
      </c>
      <c r="X350" s="510"/>
      <c r="Y350" s="619" t="s">
        <v>561</v>
      </c>
      <c r="Z350" s="510"/>
      <c r="AA350" s="619" t="s">
        <v>566</v>
      </c>
      <c r="AB350" s="510"/>
      <c r="AC350" s="620" t="s">
        <v>567</v>
      </c>
      <c r="AD350" s="510"/>
      <c r="AE350" s="618" t="s">
        <v>563</v>
      </c>
      <c r="AF350" s="510"/>
      <c r="AG350" s="618" t="s">
        <v>568</v>
      </c>
      <c r="AH350" s="510"/>
      <c r="AI350" s="618" t="s">
        <v>569</v>
      </c>
      <c r="AJ350" s="510"/>
      <c r="AK350" s="619" t="s">
        <v>570</v>
      </c>
      <c r="AL350" s="510"/>
      <c r="AM350" s="618" t="s">
        <v>571</v>
      </c>
      <c r="AN350" s="510"/>
      <c r="AO350" s="618" t="s">
        <v>572</v>
      </c>
      <c r="AP350" s="510"/>
      <c r="AQ350" s="618" t="s">
        <v>573</v>
      </c>
      <c r="AR350" s="510"/>
      <c r="AS350" s="619" t="s">
        <v>564</v>
      </c>
      <c r="AT350" s="510"/>
      <c r="AU350" s="620" t="s">
        <v>574</v>
      </c>
      <c r="AV350" s="510"/>
      <c r="AW350" s="618" t="s">
        <v>575</v>
      </c>
      <c r="AX350" s="510"/>
      <c r="AY350" s="619" t="s">
        <v>564</v>
      </c>
      <c r="AZ350" s="510"/>
      <c r="BA350" s="130"/>
      <c r="BB350" s="130"/>
      <c r="BC350" s="130"/>
      <c r="BD350" s="130"/>
      <c r="BE350" s="130"/>
      <c r="BF350" s="130"/>
      <c r="BG350" s="130"/>
      <c r="BH350" s="130"/>
      <c r="BI350" s="130"/>
      <c r="BJ350" s="130"/>
      <c r="BK350" s="130"/>
      <c r="BL350" s="130"/>
      <c r="BM350" s="130"/>
      <c r="BN350" s="130"/>
      <c r="BO350" s="130"/>
      <c r="BP350" s="130"/>
      <c r="BQ350" s="130"/>
      <c r="BR350" s="130"/>
      <c r="BS350" s="130"/>
    </row>
    <row r="351" spans="1:71" ht="30" customHeight="1">
      <c r="A351" s="524"/>
      <c r="B351" s="93" t="s">
        <v>576</v>
      </c>
      <c r="C351" s="615" t="s">
        <v>577</v>
      </c>
      <c r="D351" s="578"/>
      <c r="E351" s="615" t="s">
        <v>578</v>
      </c>
      <c r="F351" s="578"/>
      <c r="G351" s="615" t="s">
        <v>579</v>
      </c>
      <c r="H351" s="578"/>
      <c r="I351" s="622"/>
      <c r="J351" s="578"/>
      <c r="K351" s="615" t="s">
        <v>580</v>
      </c>
      <c r="L351" s="578"/>
      <c r="M351" s="615" t="s">
        <v>581</v>
      </c>
      <c r="N351" s="578"/>
      <c r="O351" s="615" t="s">
        <v>582</v>
      </c>
      <c r="P351" s="578"/>
      <c r="Q351" s="615" t="s">
        <v>583</v>
      </c>
      <c r="R351" s="578"/>
      <c r="S351" s="615" t="s">
        <v>584</v>
      </c>
      <c r="T351" s="578"/>
      <c r="U351" s="615" t="s">
        <v>585</v>
      </c>
      <c r="V351" s="578"/>
      <c r="W351" s="622" t="s">
        <v>586</v>
      </c>
      <c r="X351" s="578"/>
      <c r="Y351" s="615" t="s">
        <v>587</v>
      </c>
      <c r="Z351" s="578"/>
      <c r="AA351" s="615" t="s">
        <v>588</v>
      </c>
      <c r="AB351" s="578"/>
      <c r="AC351" s="622" t="s">
        <v>589</v>
      </c>
      <c r="AD351" s="578"/>
      <c r="AE351" s="616" t="s">
        <v>590</v>
      </c>
      <c r="AF351" s="508"/>
      <c r="AG351" s="622" t="s">
        <v>591</v>
      </c>
      <c r="AH351" s="578"/>
      <c r="AI351" s="622" t="s">
        <v>592</v>
      </c>
      <c r="AJ351" s="578"/>
      <c r="AK351" s="622" t="s">
        <v>593</v>
      </c>
      <c r="AL351" s="578"/>
      <c r="AM351" s="615" t="s">
        <v>594</v>
      </c>
      <c r="AN351" s="578"/>
      <c r="AO351" s="615" t="s">
        <v>595</v>
      </c>
      <c r="AP351" s="578"/>
      <c r="AQ351" s="569"/>
      <c r="AR351" s="510"/>
      <c r="AS351" s="569" t="s">
        <v>596</v>
      </c>
      <c r="AT351" s="510"/>
      <c r="AU351" s="569"/>
      <c r="AV351" s="510"/>
      <c r="AW351" s="616" t="s">
        <v>597</v>
      </c>
      <c r="AX351" s="508"/>
      <c r="AY351" s="569" t="s">
        <v>598</v>
      </c>
      <c r="AZ351" s="510"/>
      <c r="BA351" s="130"/>
      <c r="BB351" s="130"/>
      <c r="BC351" s="130"/>
      <c r="BD351" s="130"/>
      <c r="BE351" s="130"/>
      <c r="BF351" s="130"/>
      <c r="BG351" s="130"/>
      <c r="BH351" s="130"/>
      <c r="BI351" s="130"/>
      <c r="BJ351" s="130"/>
      <c r="BK351" s="130"/>
      <c r="BL351" s="130"/>
      <c r="BM351" s="130"/>
      <c r="BN351" s="130"/>
      <c r="BO351" s="130"/>
      <c r="BP351" s="130"/>
      <c r="BQ351" s="130"/>
      <c r="BR351" s="130"/>
      <c r="BS351" s="130"/>
    </row>
    <row r="352" spans="1:71" ht="36" customHeight="1">
      <c r="A352" s="524"/>
      <c r="B352" s="93" t="s">
        <v>599</v>
      </c>
      <c r="C352" s="615" t="s">
        <v>600</v>
      </c>
      <c r="D352" s="578"/>
      <c r="E352" s="615" t="s">
        <v>601</v>
      </c>
      <c r="F352" s="578"/>
      <c r="G352" s="564" t="s">
        <v>602</v>
      </c>
      <c r="H352" s="510"/>
      <c r="I352" s="569"/>
      <c r="J352" s="510"/>
      <c r="K352" s="615" t="s">
        <v>563</v>
      </c>
      <c r="L352" s="578"/>
      <c r="M352" s="564" t="s">
        <v>601</v>
      </c>
      <c r="N352" s="510"/>
      <c r="O352" s="564" t="s">
        <v>601</v>
      </c>
      <c r="P352" s="510"/>
      <c r="Q352" s="569" t="s">
        <v>603</v>
      </c>
      <c r="R352" s="510"/>
      <c r="S352" s="615" t="s">
        <v>563</v>
      </c>
      <c r="T352" s="578"/>
      <c r="U352" s="564" t="s">
        <v>601</v>
      </c>
      <c r="V352" s="510"/>
      <c r="W352" s="564" t="s">
        <v>601</v>
      </c>
      <c r="X352" s="510"/>
      <c r="Y352" s="564" t="s">
        <v>601</v>
      </c>
      <c r="Z352" s="510"/>
      <c r="AA352" s="564" t="s">
        <v>601</v>
      </c>
      <c r="AB352" s="510"/>
      <c r="AC352" s="615" t="s">
        <v>604</v>
      </c>
      <c r="AD352" s="578"/>
      <c r="AE352" s="615" t="s">
        <v>563</v>
      </c>
      <c r="AF352" s="578"/>
      <c r="AG352" s="564" t="s">
        <v>601</v>
      </c>
      <c r="AH352" s="510"/>
      <c r="AI352" s="569" t="s">
        <v>605</v>
      </c>
      <c r="AJ352" s="510"/>
      <c r="AK352" s="569" t="s">
        <v>605</v>
      </c>
      <c r="AL352" s="510"/>
      <c r="AM352" s="569" t="s">
        <v>605</v>
      </c>
      <c r="AN352" s="510"/>
      <c r="AO352" s="564" t="s">
        <v>606</v>
      </c>
      <c r="AP352" s="510"/>
      <c r="AQ352" s="569"/>
      <c r="AR352" s="510"/>
      <c r="AS352" s="564" t="s">
        <v>601</v>
      </c>
      <c r="AT352" s="510"/>
      <c r="AU352" s="569"/>
      <c r="AV352" s="510"/>
      <c r="AW352" s="615" t="s">
        <v>607</v>
      </c>
      <c r="AX352" s="578"/>
      <c r="AY352" s="564" t="s">
        <v>601</v>
      </c>
      <c r="AZ352" s="510"/>
      <c r="BA352" s="130"/>
      <c r="BB352" s="130"/>
      <c r="BC352" s="130"/>
      <c r="BD352" s="130"/>
      <c r="BE352" s="130"/>
      <c r="BF352" s="130"/>
      <c r="BG352" s="130"/>
      <c r="BH352" s="130"/>
      <c r="BI352" s="130"/>
      <c r="BJ352" s="130"/>
      <c r="BK352" s="130"/>
      <c r="BL352" s="130"/>
      <c r="BM352" s="130"/>
      <c r="BN352" s="130"/>
      <c r="BO352" s="130"/>
      <c r="BP352" s="130"/>
      <c r="BQ352" s="130"/>
      <c r="BR352" s="130"/>
      <c r="BS352" s="130"/>
    </row>
    <row r="353" spans="1:72" ht="39.75" customHeight="1">
      <c r="A353" s="524"/>
      <c r="B353" s="93" t="s">
        <v>608</v>
      </c>
      <c r="C353" s="615" t="s">
        <v>564</v>
      </c>
      <c r="D353" s="578"/>
      <c r="E353" s="564" t="s">
        <v>601</v>
      </c>
      <c r="F353" s="510"/>
      <c r="G353" s="564" t="s">
        <v>609</v>
      </c>
      <c r="H353" s="510"/>
      <c r="I353" s="569"/>
      <c r="J353" s="510"/>
      <c r="K353" s="564" t="s">
        <v>610</v>
      </c>
      <c r="L353" s="510"/>
      <c r="M353" s="569" t="s">
        <v>557</v>
      </c>
      <c r="N353" s="510"/>
      <c r="O353" s="569" t="s">
        <v>557</v>
      </c>
      <c r="P353" s="510"/>
      <c r="Q353" s="569"/>
      <c r="R353" s="510"/>
      <c r="S353" s="615" t="s">
        <v>611</v>
      </c>
      <c r="T353" s="578"/>
      <c r="U353" s="615" t="s">
        <v>612</v>
      </c>
      <c r="V353" s="578"/>
      <c r="W353" s="569" t="s">
        <v>557</v>
      </c>
      <c r="X353" s="510"/>
      <c r="Y353" s="569" t="s">
        <v>557</v>
      </c>
      <c r="Z353" s="510"/>
      <c r="AA353" s="569" t="s">
        <v>612</v>
      </c>
      <c r="AB353" s="510"/>
      <c r="AC353" s="569"/>
      <c r="AD353" s="510"/>
      <c r="AE353" s="569" t="s">
        <v>613</v>
      </c>
      <c r="AF353" s="510"/>
      <c r="AG353" s="569" t="s">
        <v>557</v>
      </c>
      <c r="AH353" s="510"/>
      <c r="AI353" s="564" t="s">
        <v>614</v>
      </c>
      <c r="AJ353" s="510"/>
      <c r="AK353" s="564" t="s">
        <v>615</v>
      </c>
      <c r="AL353" s="510"/>
      <c r="AM353" s="569" t="s">
        <v>616</v>
      </c>
      <c r="AN353" s="510"/>
      <c r="AO353" s="564" t="s">
        <v>617</v>
      </c>
      <c r="AP353" s="510"/>
      <c r="AQ353" s="569"/>
      <c r="AR353" s="510"/>
      <c r="AS353" s="569" t="s">
        <v>557</v>
      </c>
      <c r="AT353" s="510"/>
      <c r="AU353" s="569"/>
      <c r="AV353" s="510"/>
      <c r="AW353" s="569" t="s">
        <v>613</v>
      </c>
      <c r="AX353" s="510"/>
      <c r="AY353" s="569" t="s">
        <v>557</v>
      </c>
      <c r="AZ353" s="510"/>
      <c r="BA353" s="130"/>
      <c r="BB353" s="130"/>
      <c r="BC353" s="130"/>
      <c r="BD353" s="130"/>
      <c r="BE353" s="130"/>
      <c r="BF353" s="130"/>
      <c r="BG353" s="130"/>
      <c r="BH353" s="130"/>
      <c r="BI353" s="130"/>
      <c r="BJ353" s="130"/>
      <c r="BK353" s="130"/>
      <c r="BL353" s="130"/>
      <c r="BM353" s="130"/>
      <c r="BN353" s="130"/>
      <c r="BO353" s="130"/>
      <c r="BP353" s="130"/>
      <c r="BQ353" s="130"/>
      <c r="BR353" s="130"/>
      <c r="BS353" s="130"/>
    </row>
    <row r="354" spans="1:72" ht="49.5" customHeight="1">
      <c r="A354" s="524"/>
      <c r="B354" s="93" t="s">
        <v>618</v>
      </c>
      <c r="C354" s="564" t="s">
        <v>619</v>
      </c>
      <c r="D354" s="510"/>
      <c r="E354" s="564" t="s">
        <v>620</v>
      </c>
      <c r="F354" s="510"/>
      <c r="G354" s="564" t="s">
        <v>621</v>
      </c>
      <c r="H354" s="510"/>
      <c r="I354" s="569"/>
      <c r="J354" s="510"/>
      <c r="K354" s="564" t="s">
        <v>622</v>
      </c>
      <c r="L354" s="510"/>
      <c r="M354" s="569" t="s">
        <v>623</v>
      </c>
      <c r="N354" s="510"/>
      <c r="O354" s="569" t="s">
        <v>624</v>
      </c>
      <c r="P354" s="510"/>
      <c r="Q354" s="569"/>
      <c r="R354" s="510"/>
      <c r="S354" s="564" t="s">
        <v>625</v>
      </c>
      <c r="T354" s="510"/>
      <c r="U354" s="615" t="s">
        <v>626</v>
      </c>
      <c r="V354" s="578"/>
      <c r="W354" s="569" t="s">
        <v>627</v>
      </c>
      <c r="X354" s="510"/>
      <c r="Y354" s="569" t="s">
        <v>623</v>
      </c>
      <c r="Z354" s="510"/>
      <c r="AA354" s="564" t="s">
        <v>628</v>
      </c>
      <c r="AB354" s="510"/>
      <c r="AC354" s="569"/>
      <c r="AD354" s="510"/>
      <c r="AE354" s="569"/>
      <c r="AF354" s="510"/>
      <c r="AG354" s="569" t="s">
        <v>629</v>
      </c>
      <c r="AH354" s="510"/>
      <c r="AI354" s="569"/>
      <c r="AJ354" s="510"/>
      <c r="AK354" s="564" t="s">
        <v>630</v>
      </c>
      <c r="AL354" s="510"/>
      <c r="AM354" s="569" t="s">
        <v>629</v>
      </c>
      <c r="AN354" s="510"/>
      <c r="AO354" s="564" t="s">
        <v>631</v>
      </c>
      <c r="AP354" s="510"/>
      <c r="AQ354" s="569"/>
      <c r="AR354" s="510"/>
      <c r="AS354" s="564" t="s">
        <v>632</v>
      </c>
      <c r="AT354" s="510"/>
      <c r="AU354" s="569"/>
      <c r="AV354" s="510"/>
      <c r="AW354" s="569"/>
      <c r="AX354" s="510"/>
      <c r="AY354" s="564" t="s">
        <v>633</v>
      </c>
      <c r="AZ354" s="510"/>
      <c r="BA354" s="130"/>
      <c r="BB354" s="130"/>
      <c r="BC354" s="130"/>
      <c r="BD354" s="130"/>
      <c r="BE354" s="130"/>
      <c r="BF354" s="130"/>
      <c r="BG354" s="130"/>
      <c r="BH354" s="130"/>
      <c r="BI354" s="130"/>
      <c r="BJ354" s="130"/>
      <c r="BK354" s="130"/>
      <c r="BL354" s="130"/>
      <c r="BM354" s="130"/>
      <c r="BN354" s="130"/>
      <c r="BO354" s="130"/>
      <c r="BP354" s="130"/>
      <c r="BQ354" s="130"/>
      <c r="BR354" s="130"/>
      <c r="BS354" s="130"/>
    </row>
    <row r="355" spans="1:72" ht="15.75" customHeight="1">
      <c r="A355" s="524"/>
      <c r="B355" s="93" t="s">
        <v>634</v>
      </c>
      <c r="C355" s="565">
        <v>8</v>
      </c>
      <c r="D355" s="510"/>
      <c r="E355" s="565"/>
      <c r="F355" s="510"/>
      <c r="G355" s="567" t="s">
        <v>635</v>
      </c>
      <c r="H355" s="510"/>
      <c r="I355" s="565"/>
      <c r="J355" s="510"/>
      <c r="K355" s="565">
        <v>6</v>
      </c>
      <c r="L355" s="510"/>
      <c r="M355" s="565">
        <v>6</v>
      </c>
      <c r="N355" s="510"/>
      <c r="O355" s="565">
        <v>2</v>
      </c>
      <c r="P355" s="510"/>
      <c r="Q355" s="565">
        <v>1</v>
      </c>
      <c r="R355" s="510"/>
      <c r="S355" s="565">
        <v>6</v>
      </c>
      <c r="T355" s="510"/>
      <c r="U355" s="565">
        <v>2</v>
      </c>
      <c r="V355" s="510"/>
      <c r="W355" s="565">
        <v>2</v>
      </c>
      <c r="X355" s="510"/>
      <c r="Y355" s="565">
        <v>2</v>
      </c>
      <c r="Z355" s="510"/>
      <c r="AA355" s="565">
        <v>6</v>
      </c>
      <c r="AB355" s="510"/>
      <c r="AC355" s="565">
        <v>6</v>
      </c>
      <c r="AD355" s="510"/>
      <c r="AE355" s="565">
        <v>6</v>
      </c>
      <c r="AF355" s="510"/>
      <c r="AG355" s="565">
        <v>3</v>
      </c>
      <c r="AH355" s="510"/>
      <c r="AI355" s="565">
        <v>1</v>
      </c>
      <c r="AJ355" s="510"/>
      <c r="AK355" s="565">
        <v>1</v>
      </c>
      <c r="AL355" s="510"/>
      <c r="AM355" s="565" t="s">
        <v>636</v>
      </c>
      <c r="AN355" s="510"/>
      <c r="AO355" s="565" t="s">
        <v>637</v>
      </c>
      <c r="AP355" s="510"/>
      <c r="AQ355" s="565">
        <v>2</v>
      </c>
      <c r="AR355" s="510"/>
      <c r="AS355" s="565">
        <v>3</v>
      </c>
      <c r="AT355" s="510"/>
      <c r="AU355" s="565"/>
      <c r="AV355" s="510"/>
      <c r="AW355" s="565">
        <v>6</v>
      </c>
      <c r="AX355" s="510"/>
      <c r="AY355" s="565">
        <v>2</v>
      </c>
      <c r="AZ355" s="510"/>
      <c r="BA355" s="130"/>
      <c r="BB355" s="130"/>
      <c r="BC355" s="130"/>
      <c r="BD355" s="130"/>
      <c r="BE355" s="130"/>
      <c r="BF355" s="130"/>
      <c r="BG355" s="130"/>
      <c r="BH355" s="130"/>
      <c r="BI355" s="130"/>
      <c r="BJ355" s="130"/>
      <c r="BK355" s="130"/>
      <c r="BL355" s="130"/>
      <c r="BM355" s="130"/>
      <c r="BN355" s="130"/>
      <c r="BO355" s="130"/>
      <c r="BP355" s="130"/>
      <c r="BQ355" s="130"/>
      <c r="BR355" s="130"/>
      <c r="BS355" s="130"/>
    </row>
    <row r="356" spans="1:72" ht="15.75" customHeight="1">
      <c r="A356" s="524"/>
      <c r="B356" s="93" t="s">
        <v>638</v>
      </c>
      <c r="C356" s="567" t="s">
        <v>639</v>
      </c>
      <c r="D356" s="510"/>
      <c r="E356" s="565">
        <v>1</v>
      </c>
      <c r="F356" s="510"/>
      <c r="G356" s="567" t="s">
        <v>640</v>
      </c>
      <c r="H356" s="510"/>
      <c r="I356" s="568"/>
      <c r="J356" s="510"/>
      <c r="K356" s="565">
        <v>1</v>
      </c>
      <c r="L356" s="510"/>
      <c r="M356" s="565">
        <v>1</v>
      </c>
      <c r="N356" s="510"/>
      <c r="O356" s="565">
        <v>1</v>
      </c>
      <c r="P356" s="510"/>
      <c r="Q356" s="565">
        <v>0</v>
      </c>
      <c r="R356" s="510"/>
      <c r="S356" s="565">
        <v>1</v>
      </c>
      <c r="T356" s="510"/>
      <c r="U356" s="565">
        <v>0</v>
      </c>
      <c r="V356" s="510"/>
      <c r="W356" s="565">
        <v>1</v>
      </c>
      <c r="X356" s="510"/>
      <c r="Y356" s="565">
        <v>1</v>
      </c>
      <c r="Z356" s="510"/>
      <c r="AA356" s="565">
        <v>1</v>
      </c>
      <c r="AB356" s="510"/>
      <c r="AC356" s="565" t="s">
        <v>641</v>
      </c>
      <c r="AD356" s="510"/>
      <c r="AE356" s="565">
        <v>1</v>
      </c>
      <c r="AF356" s="510"/>
      <c r="AG356" s="565">
        <v>0</v>
      </c>
      <c r="AH356" s="510"/>
      <c r="AI356" s="565" t="s">
        <v>641</v>
      </c>
      <c r="AJ356" s="510"/>
      <c r="AK356" s="565">
        <v>0</v>
      </c>
      <c r="AL356" s="510"/>
      <c r="AM356" s="565"/>
      <c r="AN356" s="510"/>
      <c r="AO356" s="565">
        <v>0</v>
      </c>
      <c r="AP356" s="510"/>
      <c r="AQ356" s="565"/>
      <c r="AR356" s="510"/>
      <c r="AS356" s="565">
        <v>1</v>
      </c>
      <c r="AT356" s="510"/>
      <c r="AU356" s="565">
        <v>0</v>
      </c>
      <c r="AV356" s="510"/>
      <c r="AW356" s="565">
        <v>2</v>
      </c>
      <c r="AX356" s="510"/>
      <c r="AY356" s="565">
        <v>1</v>
      </c>
      <c r="AZ356" s="510"/>
      <c r="BA356" s="130"/>
      <c r="BB356" s="130"/>
      <c r="BC356" s="130"/>
      <c r="BD356" s="130"/>
      <c r="BE356" s="130"/>
      <c r="BF356" s="130"/>
      <c r="BG356" s="130"/>
      <c r="BH356" s="130"/>
      <c r="BI356" s="130"/>
      <c r="BJ356" s="130"/>
      <c r="BK356" s="130"/>
      <c r="BL356" s="130"/>
      <c r="BM356" s="130"/>
      <c r="BN356" s="130"/>
      <c r="BO356" s="130"/>
      <c r="BP356" s="130"/>
      <c r="BQ356" s="130"/>
      <c r="BR356" s="130"/>
      <c r="BS356" s="130"/>
    </row>
    <row r="357" spans="1:72" ht="26.25" customHeight="1">
      <c r="A357" s="525"/>
      <c r="B357" s="73" t="s">
        <v>307</v>
      </c>
      <c r="C357" s="566"/>
      <c r="D357" s="544"/>
      <c r="E357" s="566"/>
      <c r="F357" s="544"/>
      <c r="G357" s="566"/>
      <c r="H357" s="544"/>
      <c r="I357" s="566"/>
      <c r="J357" s="544"/>
      <c r="K357" s="566"/>
      <c r="L357" s="544"/>
      <c r="M357" s="566"/>
      <c r="N357" s="544"/>
      <c r="O357" s="566"/>
      <c r="P357" s="544"/>
      <c r="Q357" s="566"/>
      <c r="R357" s="544"/>
      <c r="S357" s="566"/>
      <c r="T357" s="544"/>
      <c r="U357" s="133"/>
      <c r="V357" s="133"/>
      <c r="W357" s="566"/>
      <c r="X357" s="544"/>
      <c r="Y357" s="566"/>
      <c r="Z357" s="544"/>
      <c r="AA357" s="566"/>
      <c r="AB357" s="544"/>
      <c r="AC357" s="566"/>
      <c r="AD357" s="544"/>
      <c r="AE357" s="566"/>
      <c r="AF357" s="544"/>
      <c r="AG357" s="566"/>
      <c r="AH357" s="544"/>
      <c r="AI357" s="566"/>
      <c r="AJ357" s="544"/>
      <c r="AK357" s="566"/>
      <c r="AL357" s="544"/>
      <c r="AM357" s="566"/>
      <c r="AN357" s="544"/>
      <c r="AO357" s="566"/>
      <c r="AP357" s="544"/>
      <c r="AQ357" s="553"/>
      <c r="AR357" s="510"/>
      <c r="AS357" s="553"/>
      <c r="AT357" s="510"/>
      <c r="AU357" s="553"/>
      <c r="AV357" s="510"/>
      <c r="AW357" s="553" t="s">
        <v>642</v>
      </c>
      <c r="AX357" s="510"/>
      <c r="AY357" s="553"/>
      <c r="AZ357" s="510"/>
      <c r="BA357" s="130"/>
      <c r="BB357" s="130"/>
      <c r="BC357" s="130"/>
      <c r="BD357" s="130"/>
      <c r="BE357" s="130"/>
      <c r="BF357" s="130"/>
      <c r="BG357" s="130"/>
      <c r="BH357" s="130"/>
      <c r="BI357" s="130"/>
      <c r="BJ357" s="130"/>
      <c r="BK357" s="130"/>
      <c r="BL357" s="130"/>
      <c r="BM357" s="130"/>
      <c r="BN357" s="130"/>
      <c r="BO357" s="130"/>
      <c r="BP357" s="130"/>
      <c r="BQ357" s="130"/>
      <c r="BR357" s="130"/>
      <c r="BS357" s="130"/>
    </row>
    <row r="358" spans="1:72" ht="57" customHeight="1">
      <c r="A358" s="560" t="s">
        <v>643</v>
      </c>
      <c r="B358" s="86" t="s">
        <v>644</v>
      </c>
      <c r="C358" s="564" t="s">
        <v>645</v>
      </c>
      <c r="D358" s="510"/>
      <c r="E358" s="564" t="s">
        <v>646</v>
      </c>
      <c r="F358" s="510"/>
      <c r="G358" s="564" t="s">
        <v>647</v>
      </c>
      <c r="H358" s="510"/>
      <c r="I358" s="564" t="s">
        <v>648</v>
      </c>
      <c r="J358" s="510"/>
      <c r="K358" s="564" t="s">
        <v>649</v>
      </c>
      <c r="L358" s="510"/>
      <c r="M358" s="564" t="s">
        <v>650</v>
      </c>
      <c r="N358" s="510"/>
      <c r="O358" s="564" t="s">
        <v>651</v>
      </c>
      <c r="P358" s="510"/>
      <c r="Q358" s="564" t="s">
        <v>652</v>
      </c>
      <c r="R358" s="510"/>
      <c r="S358" s="564" t="s">
        <v>653</v>
      </c>
      <c r="T358" s="510"/>
      <c r="U358" s="555" t="s">
        <v>654</v>
      </c>
      <c r="V358" s="510"/>
      <c r="W358" s="564" t="s">
        <v>655</v>
      </c>
      <c r="X358" s="510"/>
      <c r="Y358" s="564" t="s">
        <v>656</v>
      </c>
      <c r="Z358" s="510"/>
      <c r="AA358" s="564" t="s">
        <v>657</v>
      </c>
      <c r="AB358" s="510"/>
      <c r="AC358" s="564" t="s">
        <v>658</v>
      </c>
      <c r="AD358" s="510"/>
      <c r="AE358" s="564" t="s">
        <v>659</v>
      </c>
      <c r="AF358" s="510"/>
      <c r="AG358" s="564" t="s">
        <v>660</v>
      </c>
      <c r="AH358" s="510"/>
      <c r="AI358" s="564" t="s">
        <v>661</v>
      </c>
      <c r="AJ358" s="510"/>
      <c r="AK358" s="564" t="s">
        <v>662</v>
      </c>
      <c r="AL358" s="510"/>
      <c r="AM358" s="564" t="s">
        <v>654</v>
      </c>
      <c r="AN358" s="510"/>
      <c r="AO358" s="564" t="s">
        <v>653</v>
      </c>
      <c r="AP358" s="510"/>
      <c r="AQ358" s="564" t="s">
        <v>663</v>
      </c>
      <c r="AR358" s="510"/>
      <c r="AS358" s="564" t="s">
        <v>664</v>
      </c>
      <c r="AT358" s="510"/>
      <c r="AU358" s="564" t="s">
        <v>665</v>
      </c>
      <c r="AV358" s="510"/>
      <c r="AW358" s="564" t="s">
        <v>666</v>
      </c>
      <c r="AX358" s="510"/>
      <c r="AY358" s="564" t="s">
        <v>667</v>
      </c>
      <c r="AZ358" s="510"/>
      <c r="BA358" s="130"/>
      <c r="BB358" s="130"/>
      <c r="BC358" s="130"/>
      <c r="BD358" s="130"/>
      <c r="BE358" s="130"/>
      <c r="BF358" s="130"/>
      <c r="BG358" s="130"/>
      <c r="BH358" s="130"/>
      <c r="BI358" s="130"/>
      <c r="BJ358" s="130"/>
      <c r="BK358" s="130"/>
      <c r="BL358" s="130"/>
      <c r="BM358" s="130"/>
      <c r="BN358" s="130"/>
      <c r="BO358" s="130"/>
      <c r="BP358" s="130"/>
      <c r="BQ358" s="130"/>
      <c r="BR358" s="130"/>
      <c r="BS358" s="130"/>
      <c r="BT358" s="130"/>
    </row>
    <row r="359" spans="1:72" ht="21" customHeight="1">
      <c r="A359" s="525"/>
      <c r="B359" s="73" t="s">
        <v>307</v>
      </c>
      <c r="C359" s="553"/>
      <c r="D359" s="510"/>
      <c r="E359" s="553"/>
      <c r="F359" s="510"/>
      <c r="G359" s="553"/>
      <c r="H359" s="510"/>
      <c r="I359" s="553"/>
      <c r="J359" s="510"/>
      <c r="K359" s="553"/>
      <c r="L359" s="510"/>
      <c r="M359" s="553"/>
      <c r="N359" s="510"/>
      <c r="O359" s="553"/>
      <c r="P359" s="510"/>
      <c r="Q359" s="553"/>
      <c r="R359" s="510"/>
      <c r="S359" s="553"/>
      <c r="T359" s="510"/>
      <c r="U359" s="134"/>
      <c r="V359" s="134"/>
      <c r="W359" s="553"/>
      <c r="X359" s="510"/>
      <c r="Y359" s="553"/>
      <c r="Z359" s="510"/>
      <c r="AA359" s="553"/>
      <c r="AB359" s="510"/>
      <c r="AC359" s="553"/>
      <c r="AD359" s="510"/>
      <c r="AE359" s="553"/>
      <c r="AF359" s="510"/>
      <c r="AG359" s="553"/>
      <c r="AH359" s="510"/>
      <c r="AI359" s="553"/>
      <c r="AJ359" s="510"/>
      <c r="AK359" s="553" t="s">
        <v>668</v>
      </c>
      <c r="AL359" s="510"/>
      <c r="AM359" s="553"/>
      <c r="AN359" s="510"/>
      <c r="AO359" s="553"/>
      <c r="AP359" s="510"/>
      <c r="AQ359" s="553"/>
      <c r="AR359" s="510"/>
      <c r="AS359" s="553"/>
      <c r="AT359" s="510"/>
      <c r="AU359" s="553"/>
      <c r="AV359" s="510"/>
      <c r="AW359" s="553"/>
      <c r="AX359" s="510"/>
      <c r="AY359" s="553"/>
      <c r="AZ359" s="510"/>
      <c r="BA359" s="130"/>
      <c r="BB359" s="130"/>
      <c r="BC359" s="130"/>
      <c r="BD359" s="130"/>
      <c r="BE359" s="130"/>
      <c r="BF359" s="130"/>
      <c r="BG359" s="130"/>
      <c r="BH359" s="130"/>
      <c r="BI359" s="130"/>
      <c r="BJ359" s="130"/>
      <c r="BK359" s="130"/>
      <c r="BL359" s="130"/>
      <c r="BM359" s="130"/>
      <c r="BN359" s="130"/>
      <c r="BO359" s="130"/>
      <c r="BP359" s="130"/>
      <c r="BQ359" s="130"/>
      <c r="BR359" s="130"/>
      <c r="BS359" s="130"/>
      <c r="BT359" s="130"/>
    </row>
    <row r="360" spans="1:72" ht="15.75" customHeight="1">
      <c r="A360" s="561"/>
      <c r="B360" s="561" t="s">
        <v>294</v>
      </c>
      <c r="C360" s="563">
        <v>1</v>
      </c>
      <c r="D360" s="510"/>
      <c r="E360" s="563">
        <v>2</v>
      </c>
      <c r="F360" s="510"/>
      <c r="G360" s="563">
        <v>3</v>
      </c>
      <c r="H360" s="510"/>
      <c r="I360" s="563">
        <v>4</v>
      </c>
      <c r="J360" s="510"/>
      <c r="K360" s="563">
        <v>5</v>
      </c>
      <c r="L360" s="510"/>
      <c r="M360" s="563">
        <v>6</v>
      </c>
      <c r="N360" s="510"/>
      <c r="O360" s="563">
        <v>7</v>
      </c>
      <c r="P360" s="510"/>
      <c r="Q360" s="563">
        <v>8</v>
      </c>
      <c r="R360" s="510"/>
      <c r="S360" s="563">
        <v>9</v>
      </c>
      <c r="T360" s="510"/>
      <c r="U360" s="563">
        <v>10</v>
      </c>
      <c r="V360" s="510"/>
      <c r="W360" s="563">
        <v>11</v>
      </c>
      <c r="X360" s="510"/>
      <c r="Y360" s="563">
        <v>12</v>
      </c>
      <c r="Z360" s="510"/>
      <c r="AA360" s="563">
        <v>13</v>
      </c>
      <c r="AB360" s="510"/>
      <c r="AC360" s="563">
        <v>14</v>
      </c>
      <c r="AD360" s="510"/>
      <c r="AE360" s="563">
        <v>15</v>
      </c>
      <c r="AF360" s="510"/>
      <c r="AG360" s="563">
        <v>16</v>
      </c>
      <c r="AH360" s="510"/>
      <c r="AI360" s="563">
        <v>17</v>
      </c>
      <c r="AJ360" s="510"/>
      <c r="AK360" s="563">
        <v>18</v>
      </c>
      <c r="AL360" s="510"/>
      <c r="AM360" s="563">
        <v>19</v>
      </c>
      <c r="AN360" s="510"/>
      <c r="AO360" s="563">
        <v>20</v>
      </c>
      <c r="AP360" s="510"/>
      <c r="AQ360" s="563">
        <v>21</v>
      </c>
      <c r="AR360" s="510"/>
      <c r="AS360" s="563">
        <v>22</v>
      </c>
      <c r="AT360" s="510"/>
      <c r="AU360" s="563">
        <v>23</v>
      </c>
      <c r="AV360" s="510"/>
      <c r="AW360" s="563">
        <v>24</v>
      </c>
      <c r="AX360" s="510"/>
      <c r="AY360" s="563">
        <v>25</v>
      </c>
      <c r="AZ360" s="510"/>
      <c r="BA360" s="130"/>
      <c r="BB360" s="130"/>
      <c r="BC360" s="130"/>
      <c r="BD360" s="130"/>
      <c r="BE360" s="130"/>
      <c r="BF360" s="130"/>
      <c r="BG360" s="130"/>
      <c r="BH360" s="130"/>
      <c r="BI360" s="130"/>
      <c r="BJ360" s="130"/>
      <c r="BK360" s="130"/>
      <c r="BL360" s="130"/>
      <c r="BM360" s="130"/>
      <c r="BN360" s="130"/>
      <c r="BO360" s="130"/>
      <c r="BP360" s="130"/>
      <c r="BQ360" s="130"/>
      <c r="BR360" s="130"/>
      <c r="BS360" s="130"/>
      <c r="BT360" s="130"/>
    </row>
    <row r="361" spans="1:72" ht="15.75" customHeight="1">
      <c r="A361" s="525"/>
      <c r="B361" s="525"/>
      <c r="C361" s="116" t="s">
        <v>300</v>
      </c>
      <c r="D361" s="116" t="s">
        <v>301</v>
      </c>
      <c r="E361" s="116" t="s">
        <v>300</v>
      </c>
      <c r="F361" s="116" t="s">
        <v>301</v>
      </c>
      <c r="G361" s="116" t="s">
        <v>300</v>
      </c>
      <c r="H361" s="116" t="s">
        <v>301</v>
      </c>
      <c r="I361" s="116" t="s">
        <v>300</v>
      </c>
      <c r="J361" s="116" t="s">
        <v>301</v>
      </c>
      <c r="K361" s="116" t="s">
        <v>300</v>
      </c>
      <c r="L361" s="116" t="s">
        <v>301</v>
      </c>
      <c r="M361" s="116" t="s">
        <v>300</v>
      </c>
      <c r="N361" s="116" t="s">
        <v>301</v>
      </c>
      <c r="O361" s="116" t="s">
        <v>300</v>
      </c>
      <c r="P361" s="116" t="s">
        <v>301</v>
      </c>
      <c r="Q361" s="116" t="s">
        <v>300</v>
      </c>
      <c r="R361" s="116" t="s">
        <v>301</v>
      </c>
      <c r="S361" s="116" t="s">
        <v>300</v>
      </c>
      <c r="T361" s="116" t="s">
        <v>301</v>
      </c>
      <c r="U361" s="116" t="s">
        <v>300</v>
      </c>
      <c r="V361" s="116" t="s">
        <v>301</v>
      </c>
      <c r="W361" s="116" t="s">
        <v>300</v>
      </c>
      <c r="X361" s="116" t="s">
        <v>301</v>
      </c>
      <c r="Y361" s="116" t="s">
        <v>300</v>
      </c>
      <c r="Z361" s="116" t="s">
        <v>301</v>
      </c>
      <c r="AA361" s="116" t="s">
        <v>300</v>
      </c>
      <c r="AB361" s="116" t="s">
        <v>301</v>
      </c>
      <c r="AC361" s="116" t="s">
        <v>300</v>
      </c>
      <c r="AD361" s="116" t="s">
        <v>301</v>
      </c>
      <c r="AE361" s="116" t="s">
        <v>300</v>
      </c>
      <c r="AF361" s="116" t="s">
        <v>301</v>
      </c>
      <c r="AG361" s="116" t="s">
        <v>300</v>
      </c>
      <c r="AH361" s="116" t="s">
        <v>301</v>
      </c>
      <c r="AI361" s="116" t="s">
        <v>300</v>
      </c>
      <c r="AJ361" s="116" t="s">
        <v>301</v>
      </c>
      <c r="AK361" s="116" t="s">
        <v>300</v>
      </c>
      <c r="AL361" s="116" t="s">
        <v>301</v>
      </c>
      <c r="AM361" s="116" t="s">
        <v>300</v>
      </c>
      <c r="AN361" s="116" t="s">
        <v>301</v>
      </c>
      <c r="AO361" s="116" t="s">
        <v>300</v>
      </c>
      <c r="AP361" s="116" t="s">
        <v>301</v>
      </c>
      <c r="AQ361" s="116" t="s">
        <v>300</v>
      </c>
      <c r="AR361" s="116" t="s">
        <v>301</v>
      </c>
      <c r="AS361" s="116" t="s">
        <v>300</v>
      </c>
      <c r="AT361" s="116" t="s">
        <v>301</v>
      </c>
      <c r="AU361" s="116" t="s">
        <v>300</v>
      </c>
      <c r="AV361" s="116" t="s">
        <v>301</v>
      </c>
      <c r="AW361" s="116" t="s">
        <v>300</v>
      </c>
      <c r="AX361" s="116" t="s">
        <v>301</v>
      </c>
      <c r="AY361" s="116" t="s">
        <v>300</v>
      </c>
      <c r="AZ361" s="116" t="s">
        <v>301</v>
      </c>
      <c r="BA361" s="130"/>
      <c r="BB361" s="130"/>
      <c r="BC361" s="130"/>
      <c r="BD361" s="130"/>
      <c r="BE361" s="130"/>
      <c r="BF361" s="130"/>
      <c r="BG361" s="130"/>
      <c r="BH361" s="130"/>
      <c r="BI361" s="130"/>
      <c r="BJ361" s="130"/>
      <c r="BK361" s="130"/>
      <c r="BL361" s="130"/>
      <c r="BM361" s="130"/>
      <c r="BN361" s="130"/>
      <c r="BO361" s="130"/>
      <c r="BP361" s="130"/>
      <c r="BQ361" s="130"/>
      <c r="BR361" s="130"/>
      <c r="BS361" s="130"/>
      <c r="BT361" s="130"/>
    </row>
    <row r="362" spans="1:72" ht="15.75" customHeight="1">
      <c r="A362" s="560" t="s">
        <v>669</v>
      </c>
      <c r="B362" s="86" t="s">
        <v>670</v>
      </c>
      <c r="C362" s="556">
        <v>1</v>
      </c>
      <c r="D362" s="510"/>
      <c r="E362" s="556">
        <v>1</v>
      </c>
      <c r="F362" s="510"/>
      <c r="G362" s="556">
        <v>1</v>
      </c>
      <c r="H362" s="510"/>
      <c r="I362" s="556">
        <v>1</v>
      </c>
      <c r="J362" s="510"/>
      <c r="K362" s="556">
        <v>1</v>
      </c>
      <c r="L362" s="510"/>
      <c r="M362" s="556">
        <v>1</v>
      </c>
      <c r="N362" s="510"/>
      <c r="O362" s="556">
        <v>1</v>
      </c>
      <c r="P362" s="510"/>
      <c r="Q362" s="556">
        <v>1</v>
      </c>
      <c r="R362" s="510"/>
      <c r="S362" s="556">
        <v>1</v>
      </c>
      <c r="T362" s="510"/>
      <c r="U362" s="556">
        <v>1</v>
      </c>
      <c r="V362" s="510"/>
      <c r="W362" s="556">
        <v>1</v>
      </c>
      <c r="X362" s="510"/>
      <c r="Y362" s="556">
        <v>1</v>
      </c>
      <c r="Z362" s="510"/>
      <c r="AA362" s="556">
        <v>1</v>
      </c>
      <c r="AB362" s="510"/>
      <c r="AC362" s="556">
        <v>1</v>
      </c>
      <c r="AD362" s="510"/>
      <c r="AE362" s="556">
        <v>1</v>
      </c>
      <c r="AF362" s="510"/>
      <c r="AG362" s="556">
        <v>1</v>
      </c>
      <c r="AH362" s="510"/>
      <c r="AI362" s="556">
        <v>1</v>
      </c>
      <c r="AJ362" s="510"/>
      <c r="AK362" s="556">
        <v>1</v>
      </c>
      <c r="AL362" s="510"/>
      <c r="AM362" s="556">
        <v>1</v>
      </c>
      <c r="AN362" s="510"/>
      <c r="AO362" s="556">
        <v>1</v>
      </c>
      <c r="AP362" s="510"/>
      <c r="AQ362" s="556">
        <v>1</v>
      </c>
      <c r="AR362" s="510"/>
      <c r="AS362" s="556">
        <v>1</v>
      </c>
      <c r="AT362" s="510"/>
      <c r="AU362" s="556">
        <v>1</v>
      </c>
      <c r="AV362" s="510"/>
      <c r="AW362" s="556">
        <v>1</v>
      </c>
      <c r="AX362" s="510"/>
      <c r="AY362" s="556">
        <v>1</v>
      </c>
      <c r="AZ362" s="510"/>
      <c r="BA362" s="130"/>
      <c r="BB362" s="130"/>
      <c r="BC362" s="130"/>
      <c r="BD362" s="130"/>
      <c r="BE362" s="130"/>
      <c r="BF362" s="130"/>
      <c r="BG362" s="130"/>
      <c r="BH362" s="130"/>
      <c r="BI362" s="130"/>
      <c r="BJ362" s="130"/>
      <c r="BK362" s="130"/>
      <c r="BL362" s="130"/>
      <c r="BM362" s="130"/>
      <c r="BN362" s="130"/>
      <c r="BO362" s="130"/>
      <c r="BP362" s="130"/>
      <c r="BQ362" s="130"/>
      <c r="BR362" s="130"/>
      <c r="BS362" s="130"/>
      <c r="BT362" s="130"/>
    </row>
    <row r="363" spans="1:72" ht="15" customHeight="1">
      <c r="A363" s="525"/>
      <c r="B363" s="135" t="s">
        <v>307</v>
      </c>
      <c r="C363" s="553"/>
      <c r="D363" s="510"/>
      <c r="E363" s="553"/>
      <c r="F363" s="510"/>
      <c r="G363" s="553"/>
      <c r="H363" s="510"/>
      <c r="I363" s="553"/>
      <c r="J363" s="510"/>
      <c r="K363" s="553"/>
      <c r="L363" s="510"/>
      <c r="M363" s="553"/>
      <c r="N363" s="510"/>
      <c r="O363" s="553"/>
      <c r="P363" s="510"/>
      <c r="Q363" s="553"/>
      <c r="R363" s="510"/>
      <c r="S363" s="553"/>
      <c r="T363" s="510"/>
      <c r="U363" s="134"/>
      <c r="V363" s="134"/>
      <c r="W363" s="553"/>
      <c r="X363" s="510"/>
      <c r="Y363" s="136"/>
      <c r="Z363" s="137"/>
      <c r="AA363" s="553"/>
      <c r="AB363" s="510"/>
      <c r="AC363" s="553"/>
      <c r="AD363" s="510"/>
      <c r="AE363" s="553"/>
      <c r="AF363" s="510"/>
      <c r="AG363" s="553"/>
      <c r="AH363" s="510"/>
      <c r="AI363" s="553"/>
      <c r="AJ363" s="510"/>
      <c r="AK363" s="553"/>
      <c r="AL363" s="510"/>
      <c r="AM363" s="553"/>
      <c r="AN363" s="510"/>
      <c r="AO363" s="553"/>
      <c r="AP363" s="510"/>
      <c r="AQ363" s="553"/>
      <c r="AR363" s="510"/>
      <c r="AS363" s="553"/>
      <c r="AT363" s="510"/>
      <c r="AU363" s="553"/>
      <c r="AV363" s="510"/>
      <c r="AW363" s="553"/>
      <c r="AX363" s="510"/>
      <c r="AY363" s="553"/>
      <c r="AZ363" s="510"/>
      <c r="BA363" s="130"/>
      <c r="BB363" s="130"/>
      <c r="BC363" s="130"/>
      <c r="BD363" s="130"/>
      <c r="BE363" s="130"/>
      <c r="BF363" s="130"/>
      <c r="BG363" s="130"/>
      <c r="BH363" s="130"/>
      <c r="BI363" s="130"/>
      <c r="BJ363" s="130"/>
      <c r="BK363" s="130"/>
      <c r="BL363" s="130"/>
      <c r="BM363" s="130"/>
      <c r="BN363" s="130"/>
      <c r="BO363" s="130"/>
      <c r="BP363" s="130"/>
      <c r="BQ363" s="130"/>
      <c r="BR363" s="130"/>
      <c r="BS363" s="130"/>
      <c r="BT363" s="130"/>
    </row>
    <row r="364" spans="1:72" ht="15.75" customHeight="1">
      <c r="A364" s="560" t="s">
        <v>671</v>
      </c>
      <c r="B364" s="86" t="s">
        <v>672</v>
      </c>
      <c r="C364" s="556">
        <v>0</v>
      </c>
      <c r="D364" s="510"/>
      <c r="E364" s="556">
        <v>0</v>
      </c>
      <c r="F364" s="510"/>
      <c r="G364" s="556">
        <v>0</v>
      </c>
      <c r="H364" s="510"/>
      <c r="I364" s="556">
        <v>0</v>
      </c>
      <c r="J364" s="510"/>
      <c r="K364" s="556">
        <v>0</v>
      </c>
      <c r="L364" s="510"/>
      <c r="M364" s="556">
        <v>0</v>
      </c>
      <c r="N364" s="510"/>
      <c r="O364" s="556">
        <v>0</v>
      </c>
      <c r="P364" s="510"/>
      <c r="Q364" s="556">
        <v>0</v>
      </c>
      <c r="R364" s="510"/>
      <c r="S364" s="556">
        <v>0</v>
      </c>
      <c r="T364" s="510"/>
      <c r="U364" s="556">
        <v>0</v>
      </c>
      <c r="V364" s="510"/>
      <c r="W364" s="556">
        <v>0</v>
      </c>
      <c r="X364" s="510"/>
      <c r="Y364" s="556">
        <v>0</v>
      </c>
      <c r="Z364" s="510"/>
      <c r="AA364" s="556">
        <v>0</v>
      </c>
      <c r="AB364" s="510"/>
      <c r="AC364" s="556">
        <v>0</v>
      </c>
      <c r="AD364" s="510"/>
      <c r="AE364" s="556">
        <v>0</v>
      </c>
      <c r="AF364" s="510"/>
      <c r="AG364" s="556">
        <v>0</v>
      </c>
      <c r="AH364" s="510"/>
      <c r="AI364" s="556">
        <v>0</v>
      </c>
      <c r="AJ364" s="510"/>
      <c r="AK364" s="556">
        <v>0</v>
      </c>
      <c r="AL364" s="510"/>
      <c r="AM364" s="556">
        <v>0</v>
      </c>
      <c r="AN364" s="510"/>
      <c r="AO364" s="556">
        <v>0</v>
      </c>
      <c r="AP364" s="510"/>
      <c r="AQ364" s="556">
        <v>0</v>
      </c>
      <c r="AR364" s="510"/>
      <c r="AS364" s="556">
        <v>0</v>
      </c>
      <c r="AT364" s="510"/>
      <c r="AU364" s="556">
        <v>0</v>
      </c>
      <c r="AV364" s="510"/>
      <c r="AW364" s="556">
        <v>0</v>
      </c>
      <c r="AX364" s="510"/>
      <c r="AY364" s="556">
        <v>0</v>
      </c>
      <c r="AZ364" s="510"/>
      <c r="BA364" s="130"/>
      <c r="BB364" s="130"/>
      <c r="BC364" s="130"/>
      <c r="BD364" s="130"/>
      <c r="BE364" s="130"/>
      <c r="BF364" s="130"/>
      <c r="BG364" s="130"/>
      <c r="BH364" s="130"/>
      <c r="BI364" s="130"/>
      <c r="BJ364" s="130"/>
      <c r="BK364" s="130"/>
      <c r="BL364" s="130"/>
      <c r="BM364" s="130"/>
      <c r="BN364" s="130"/>
      <c r="BO364" s="130"/>
      <c r="BP364" s="130"/>
      <c r="BQ364" s="130"/>
      <c r="BR364" s="130"/>
      <c r="BS364" s="130"/>
      <c r="BT364" s="130"/>
    </row>
    <row r="365" spans="1:72" ht="15" customHeight="1">
      <c r="A365" s="524"/>
      <c r="B365" s="138" t="s">
        <v>673</v>
      </c>
      <c r="C365" s="554" t="s">
        <v>674</v>
      </c>
      <c r="D365" s="510"/>
      <c r="E365" s="554" t="s">
        <v>674</v>
      </c>
      <c r="F365" s="510"/>
      <c r="G365" s="554" t="s">
        <v>674</v>
      </c>
      <c r="H365" s="510"/>
      <c r="I365" s="554" t="s">
        <v>674</v>
      </c>
      <c r="J365" s="510"/>
      <c r="K365" s="554" t="s">
        <v>674</v>
      </c>
      <c r="L365" s="510"/>
      <c r="M365" s="554" t="s">
        <v>674</v>
      </c>
      <c r="N365" s="510"/>
      <c r="O365" s="554" t="s">
        <v>674</v>
      </c>
      <c r="P365" s="510"/>
      <c r="Q365" s="554" t="s">
        <v>674</v>
      </c>
      <c r="R365" s="510"/>
      <c r="S365" s="554" t="s">
        <v>674</v>
      </c>
      <c r="T365" s="510"/>
      <c r="U365" s="139"/>
      <c r="V365" s="139"/>
      <c r="W365" s="554" t="s">
        <v>674</v>
      </c>
      <c r="X365" s="510"/>
      <c r="Y365" s="554" t="s">
        <v>674</v>
      </c>
      <c r="Z365" s="510"/>
      <c r="AA365" s="554" t="s">
        <v>674</v>
      </c>
      <c r="AB365" s="510"/>
      <c r="AC365" s="554" t="s">
        <v>674</v>
      </c>
      <c r="AD365" s="510"/>
      <c r="AE365" s="554" t="s">
        <v>674</v>
      </c>
      <c r="AF365" s="510"/>
      <c r="AG365" s="554" t="s">
        <v>674</v>
      </c>
      <c r="AH365" s="510"/>
      <c r="AI365" s="554" t="s">
        <v>674</v>
      </c>
      <c r="AJ365" s="510"/>
      <c r="AK365" s="554" t="s">
        <v>674</v>
      </c>
      <c r="AL365" s="510"/>
      <c r="AM365" s="554" t="s">
        <v>674</v>
      </c>
      <c r="AN365" s="510"/>
      <c r="AO365" s="554" t="s">
        <v>674</v>
      </c>
      <c r="AP365" s="510"/>
      <c r="AQ365" s="554" t="s">
        <v>674</v>
      </c>
      <c r="AR365" s="510"/>
      <c r="AS365" s="554" t="s">
        <v>674</v>
      </c>
      <c r="AT365" s="510"/>
      <c r="AU365" s="554" t="s">
        <v>674</v>
      </c>
      <c r="AV365" s="510"/>
      <c r="AW365" s="554" t="s">
        <v>674</v>
      </c>
      <c r="AX365" s="510"/>
      <c r="AY365" s="554" t="s">
        <v>674</v>
      </c>
      <c r="AZ365" s="510"/>
      <c r="BA365" s="130"/>
      <c r="BB365" s="130"/>
      <c r="BC365" s="130"/>
      <c r="BD365" s="130"/>
      <c r="BE365" s="130"/>
      <c r="BF365" s="130"/>
      <c r="BG365" s="130"/>
      <c r="BH365" s="130"/>
      <c r="BI365" s="130"/>
      <c r="BJ365" s="130"/>
      <c r="BK365" s="130"/>
      <c r="BL365" s="130"/>
      <c r="BM365" s="130"/>
      <c r="BN365" s="130"/>
      <c r="BO365" s="130"/>
      <c r="BP365" s="130"/>
      <c r="BQ365" s="130"/>
      <c r="BR365" s="130"/>
      <c r="BS365" s="130"/>
      <c r="BT365" s="130"/>
    </row>
    <row r="366" spans="1:72" ht="15" customHeight="1">
      <c r="A366" s="525"/>
      <c r="B366" s="135" t="s">
        <v>307</v>
      </c>
      <c r="C366" s="553"/>
      <c r="D366" s="510"/>
      <c r="E366" s="553"/>
      <c r="F366" s="510"/>
      <c r="G366" s="553"/>
      <c r="H366" s="510"/>
      <c r="I366" s="553"/>
      <c r="J366" s="510"/>
      <c r="K366" s="553"/>
      <c r="L366" s="510"/>
      <c r="M366" s="553"/>
      <c r="N366" s="510"/>
      <c r="O366" s="553"/>
      <c r="P366" s="510"/>
      <c r="Q366" s="553"/>
      <c r="R366" s="510"/>
      <c r="S366" s="553"/>
      <c r="T366" s="510"/>
      <c r="U366" s="134"/>
      <c r="V366" s="134"/>
      <c r="W366" s="553" t="s">
        <v>675</v>
      </c>
      <c r="X366" s="510"/>
      <c r="Y366" s="553" t="s">
        <v>676</v>
      </c>
      <c r="Z366" s="510"/>
      <c r="AA366" s="553"/>
      <c r="AB366" s="510"/>
      <c r="AC366" s="553"/>
      <c r="AD366" s="510"/>
      <c r="AE366" s="553"/>
      <c r="AF366" s="510"/>
      <c r="AG366" s="553"/>
      <c r="AH366" s="510"/>
      <c r="AI366" s="553"/>
      <c r="AJ366" s="510"/>
      <c r="AK366" s="553"/>
      <c r="AL366" s="510"/>
      <c r="AM366" s="553"/>
      <c r="AN366" s="510"/>
      <c r="AO366" s="553"/>
      <c r="AP366" s="510"/>
      <c r="AQ366" s="553"/>
      <c r="AR366" s="510"/>
      <c r="AS366" s="553"/>
      <c r="AT366" s="510"/>
      <c r="AU366" s="553"/>
      <c r="AV366" s="510"/>
      <c r="AW366" s="553"/>
      <c r="AX366" s="510"/>
      <c r="AY366" s="553"/>
      <c r="AZ366" s="510"/>
      <c r="BA366" s="130"/>
      <c r="BB366" s="130"/>
      <c r="BC366" s="130"/>
      <c r="BD366" s="130"/>
      <c r="BE366" s="130"/>
      <c r="BF366" s="130"/>
      <c r="BG366" s="130"/>
      <c r="BH366" s="130"/>
      <c r="BI366" s="130"/>
      <c r="BJ366" s="130"/>
      <c r="BK366" s="130"/>
      <c r="BL366" s="130"/>
      <c r="BM366" s="130"/>
      <c r="BN366" s="130"/>
      <c r="BO366" s="130"/>
      <c r="BP366" s="130"/>
      <c r="BQ366" s="130"/>
      <c r="BR366" s="130"/>
      <c r="BS366" s="130"/>
      <c r="BT366" s="130"/>
    </row>
    <row r="367" spans="1:72" ht="15.75" customHeight="1">
      <c r="A367" s="560" t="s">
        <v>677</v>
      </c>
      <c r="B367" s="86" t="s">
        <v>678</v>
      </c>
      <c r="C367" s="556">
        <v>0</v>
      </c>
      <c r="D367" s="510"/>
      <c r="E367" s="556">
        <v>0</v>
      </c>
      <c r="F367" s="510"/>
      <c r="G367" s="556">
        <v>0</v>
      </c>
      <c r="H367" s="510"/>
      <c r="I367" s="556">
        <v>0</v>
      </c>
      <c r="J367" s="510"/>
      <c r="K367" s="556">
        <v>0</v>
      </c>
      <c r="L367" s="510"/>
      <c r="M367" s="556">
        <v>0</v>
      </c>
      <c r="N367" s="510"/>
      <c r="O367" s="556">
        <v>0</v>
      </c>
      <c r="P367" s="510"/>
      <c r="Q367" s="556">
        <v>0</v>
      </c>
      <c r="R367" s="510"/>
      <c r="S367" s="556">
        <v>0</v>
      </c>
      <c r="T367" s="510"/>
      <c r="U367" s="556">
        <v>0</v>
      </c>
      <c r="V367" s="510"/>
      <c r="W367" s="556">
        <v>0</v>
      </c>
      <c r="X367" s="510"/>
      <c r="Y367" s="556">
        <v>0</v>
      </c>
      <c r="Z367" s="510"/>
      <c r="AA367" s="556">
        <v>0</v>
      </c>
      <c r="AB367" s="510"/>
      <c r="AC367" s="556">
        <v>0</v>
      </c>
      <c r="AD367" s="510"/>
      <c r="AE367" s="556">
        <v>0</v>
      </c>
      <c r="AF367" s="510"/>
      <c r="AG367" s="556">
        <v>0</v>
      </c>
      <c r="AH367" s="510"/>
      <c r="AI367" s="556">
        <v>0</v>
      </c>
      <c r="AJ367" s="510"/>
      <c r="AK367" s="556">
        <v>0</v>
      </c>
      <c r="AL367" s="510"/>
      <c r="AM367" s="556">
        <v>0</v>
      </c>
      <c r="AN367" s="510"/>
      <c r="AO367" s="556">
        <v>0</v>
      </c>
      <c r="AP367" s="510"/>
      <c r="AQ367" s="556">
        <v>0</v>
      </c>
      <c r="AR367" s="510"/>
      <c r="AS367" s="556">
        <v>0</v>
      </c>
      <c r="AT367" s="510"/>
      <c r="AU367" s="556">
        <v>0</v>
      </c>
      <c r="AV367" s="510"/>
      <c r="AW367" s="556">
        <v>0</v>
      </c>
      <c r="AX367" s="510"/>
      <c r="AY367" s="556">
        <v>0</v>
      </c>
      <c r="AZ367" s="510"/>
      <c r="BA367" s="130"/>
      <c r="BB367" s="130"/>
      <c r="BC367" s="130"/>
      <c r="BD367" s="130"/>
      <c r="BE367" s="130"/>
      <c r="BF367" s="130"/>
      <c r="BG367" s="130"/>
      <c r="BH367" s="130"/>
      <c r="BI367" s="130"/>
      <c r="BJ367" s="130"/>
      <c r="BK367" s="130"/>
      <c r="BL367" s="130"/>
      <c r="BM367" s="130"/>
      <c r="BN367" s="130"/>
      <c r="BO367" s="130"/>
      <c r="BP367" s="130"/>
      <c r="BQ367" s="130"/>
      <c r="BR367" s="130"/>
      <c r="BS367" s="130"/>
      <c r="BT367" s="130"/>
    </row>
    <row r="368" spans="1:72" ht="15.75" customHeight="1">
      <c r="A368" s="525"/>
      <c r="B368" s="135" t="s">
        <v>307</v>
      </c>
      <c r="C368" s="553"/>
      <c r="D368" s="510"/>
      <c r="E368" s="553"/>
      <c r="F368" s="510"/>
      <c r="G368" s="553"/>
      <c r="H368" s="510"/>
      <c r="I368" s="553"/>
      <c r="J368" s="510"/>
      <c r="K368" s="553"/>
      <c r="L368" s="510"/>
      <c r="M368" s="553"/>
      <c r="N368" s="510"/>
      <c r="O368" s="553"/>
      <c r="P368" s="510"/>
      <c r="Q368" s="553"/>
      <c r="R368" s="510"/>
      <c r="S368" s="553"/>
      <c r="T368" s="510"/>
      <c r="U368" s="134"/>
      <c r="V368" s="134"/>
      <c r="W368" s="553"/>
      <c r="X368" s="510"/>
      <c r="Y368" s="553"/>
      <c r="Z368" s="510"/>
      <c r="AA368" s="553"/>
      <c r="AB368" s="510"/>
      <c r="AC368" s="553"/>
      <c r="AD368" s="510"/>
      <c r="AE368" s="553"/>
      <c r="AF368" s="510"/>
      <c r="AG368" s="553"/>
      <c r="AH368" s="510"/>
      <c r="AI368" s="553"/>
      <c r="AJ368" s="510"/>
      <c r="AK368" s="553"/>
      <c r="AL368" s="510"/>
      <c r="AM368" s="553"/>
      <c r="AN368" s="510"/>
      <c r="AO368" s="553"/>
      <c r="AP368" s="510"/>
      <c r="AQ368" s="553"/>
      <c r="AR368" s="510"/>
      <c r="AS368" s="553"/>
      <c r="AT368" s="510"/>
      <c r="AU368" s="553"/>
      <c r="AV368" s="510"/>
      <c r="AW368" s="553"/>
      <c r="AX368" s="510"/>
      <c r="AY368" s="553"/>
      <c r="AZ368" s="510"/>
      <c r="BA368" s="130"/>
      <c r="BB368" s="130"/>
      <c r="BC368" s="130"/>
      <c r="BD368" s="130"/>
      <c r="BE368" s="130"/>
      <c r="BF368" s="130"/>
      <c r="BG368" s="130"/>
      <c r="BH368" s="130"/>
      <c r="BI368" s="130"/>
      <c r="BJ368" s="130"/>
      <c r="BK368" s="130"/>
      <c r="BL368" s="130"/>
      <c r="BM368" s="130"/>
      <c r="BN368" s="130"/>
      <c r="BO368" s="130"/>
      <c r="BP368" s="130"/>
      <c r="BQ368" s="130"/>
      <c r="BR368" s="130"/>
      <c r="BS368" s="130"/>
      <c r="BT368" s="130"/>
    </row>
    <row r="369" spans="1:72" ht="15.75" customHeight="1">
      <c r="A369" s="560" t="s">
        <v>679</v>
      </c>
      <c r="B369" s="86" t="s">
        <v>680</v>
      </c>
      <c r="C369" s="556">
        <v>1</v>
      </c>
      <c r="D369" s="510"/>
      <c r="E369" s="556">
        <v>1</v>
      </c>
      <c r="F369" s="510"/>
      <c r="G369" s="556">
        <v>1</v>
      </c>
      <c r="H369" s="510"/>
      <c r="I369" s="556">
        <v>1</v>
      </c>
      <c r="J369" s="510"/>
      <c r="K369" s="556">
        <v>1</v>
      </c>
      <c r="L369" s="510"/>
      <c r="M369" s="556">
        <v>1</v>
      </c>
      <c r="N369" s="510"/>
      <c r="O369" s="556">
        <v>1</v>
      </c>
      <c r="P369" s="510"/>
      <c r="Q369" s="556">
        <v>1</v>
      </c>
      <c r="R369" s="510"/>
      <c r="S369" s="556">
        <v>1</v>
      </c>
      <c r="T369" s="510"/>
      <c r="U369" s="556">
        <v>0</v>
      </c>
      <c r="V369" s="510"/>
      <c r="W369" s="556">
        <v>1</v>
      </c>
      <c r="X369" s="510"/>
      <c r="Y369" s="556">
        <v>1</v>
      </c>
      <c r="Z369" s="510"/>
      <c r="AA369" s="556">
        <v>1</v>
      </c>
      <c r="AB369" s="510"/>
      <c r="AC369" s="556">
        <v>1</v>
      </c>
      <c r="AD369" s="510"/>
      <c r="AE369" s="556">
        <v>1</v>
      </c>
      <c r="AF369" s="510"/>
      <c r="AG369" s="556">
        <v>1</v>
      </c>
      <c r="AH369" s="510"/>
      <c r="AI369" s="556">
        <v>1</v>
      </c>
      <c r="AJ369" s="510"/>
      <c r="AK369" s="556">
        <v>1</v>
      </c>
      <c r="AL369" s="510"/>
      <c r="AM369" s="556">
        <v>1</v>
      </c>
      <c r="AN369" s="510"/>
      <c r="AO369" s="556">
        <v>1</v>
      </c>
      <c r="AP369" s="510"/>
      <c r="AQ369" s="556">
        <v>1</v>
      </c>
      <c r="AR369" s="510"/>
      <c r="AS369" s="556">
        <v>1</v>
      </c>
      <c r="AT369" s="510"/>
      <c r="AU369" s="556">
        <v>1</v>
      </c>
      <c r="AV369" s="510"/>
      <c r="AW369" s="556">
        <v>1</v>
      </c>
      <c r="AX369" s="510"/>
      <c r="AY369" s="556">
        <v>1</v>
      </c>
      <c r="AZ369" s="510"/>
      <c r="BA369" s="130"/>
      <c r="BB369" s="130"/>
      <c r="BC369" s="130"/>
      <c r="BD369" s="130"/>
      <c r="BE369" s="130"/>
      <c r="BF369" s="130"/>
      <c r="BG369" s="130"/>
      <c r="BH369" s="130"/>
      <c r="BI369" s="130"/>
      <c r="BJ369" s="130"/>
      <c r="BK369" s="130"/>
      <c r="BL369" s="130"/>
      <c r="BM369" s="130"/>
      <c r="BN369" s="130"/>
      <c r="BO369" s="130"/>
      <c r="BP369" s="130"/>
      <c r="BQ369" s="130"/>
      <c r="BR369" s="130"/>
      <c r="BS369" s="130"/>
      <c r="BT369" s="130"/>
    </row>
    <row r="370" spans="1:72" ht="15" customHeight="1">
      <c r="A370" s="525"/>
      <c r="B370" s="135" t="s">
        <v>307</v>
      </c>
      <c r="C370" s="553"/>
      <c r="D370" s="510"/>
      <c r="E370" s="553"/>
      <c r="F370" s="510"/>
      <c r="G370" s="553"/>
      <c r="H370" s="510"/>
      <c r="I370" s="553"/>
      <c r="J370" s="510"/>
      <c r="K370" s="553"/>
      <c r="L370" s="510"/>
      <c r="M370" s="553"/>
      <c r="N370" s="510"/>
      <c r="O370" s="553"/>
      <c r="P370" s="510"/>
      <c r="Q370" s="553"/>
      <c r="R370" s="510"/>
      <c r="S370" s="553"/>
      <c r="T370" s="510"/>
      <c r="U370" s="134"/>
      <c r="V370" s="134"/>
      <c r="W370" s="553"/>
      <c r="X370" s="510"/>
      <c r="Y370" s="553"/>
      <c r="Z370" s="510"/>
      <c r="AA370" s="553"/>
      <c r="AB370" s="510"/>
      <c r="AC370" s="553"/>
      <c r="AD370" s="510"/>
      <c r="AE370" s="553"/>
      <c r="AF370" s="510"/>
      <c r="AG370" s="553"/>
      <c r="AH370" s="510"/>
      <c r="AI370" s="553"/>
      <c r="AJ370" s="510"/>
      <c r="AK370" s="553"/>
      <c r="AL370" s="510"/>
      <c r="AM370" s="553"/>
      <c r="AN370" s="510"/>
      <c r="AO370" s="553"/>
      <c r="AP370" s="510"/>
      <c r="AQ370" s="553"/>
      <c r="AR370" s="510"/>
      <c r="AS370" s="553"/>
      <c r="AT370" s="510"/>
      <c r="AU370" s="553"/>
      <c r="AV370" s="510"/>
      <c r="AW370" s="553"/>
      <c r="AX370" s="510"/>
      <c r="AY370" s="553"/>
      <c r="AZ370" s="510"/>
      <c r="BA370" s="130"/>
      <c r="BB370" s="130"/>
      <c r="BC370" s="130"/>
      <c r="BD370" s="130"/>
      <c r="BE370" s="130"/>
      <c r="BF370" s="130"/>
      <c r="BG370" s="130"/>
      <c r="BH370" s="130"/>
      <c r="BI370" s="130"/>
      <c r="BJ370" s="130"/>
      <c r="BK370" s="130"/>
      <c r="BL370" s="130"/>
      <c r="BM370" s="130"/>
      <c r="BN370" s="130"/>
      <c r="BO370" s="130"/>
      <c r="BP370" s="130"/>
      <c r="BQ370" s="130"/>
      <c r="BR370" s="130"/>
      <c r="BS370" s="130"/>
      <c r="BT370" s="130"/>
    </row>
    <row r="371" spans="1:72" ht="15.75" customHeight="1">
      <c r="A371" s="560" t="s">
        <v>681</v>
      </c>
      <c r="B371" s="93" t="s">
        <v>682</v>
      </c>
      <c r="C371" s="556">
        <v>0</v>
      </c>
      <c r="D371" s="510"/>
      <c r="E371" s="556">
        <v>0</v>
      </c>
      <c r="F371" s="510"/>
      <c r="G371" s="556">
        <v>0</v>
      </c>
      <c r="H371" s="510"/>
      <c r="I371" s="556">
        <v>0</v>
      </c>
      <c r="J371" s="510"/>
      <c r="K371" s="556">
        <v>0</v>
      </c>
      <c r="L371" s="510"/>
      <c r="M371" s="556">
        <v>0</v>
      </c>
      <c r="N371" s="510"/>
      <c r="O371" s="556">
        <v>0</v>
      </c>
      <c r="P371" s="510"/>
      <c r="Q371" s="556">
        <v>0</v>
      </c>
      <c r="R371" s="510"/>
      <c r="S371" s="556">
        <v>0</v>
      </c>
      <c r="T371" s="510"/>
      <c r="U371" s="556">
        <v>0</v>
      </c>
      <c r="V371" s="510"/>
      <c r="W371" s="556">
        <v>0</v>
      </c>
      <c r="X371" s="510"/>
      <c r="Y371" s="556">
        <v>0</v>
      </c>
      <c r="Z371" s="510"/>
      <c r="AA371" s="556">
        <v>0</v>
      </c>
      <c r="AB371" s="510"/>
      <c r="AC371" s="556">
        <v>0</v>
      </c>
      <c r="AD371" s="510"/>
      <c r="AE371" s="556">
        <v>0</v>
      </c>
      <c r="AF371" s="510"/>
      <c r="AG371" s="556">
        <v>0</v>
      </c>
      <c r="AH371" s="510"/>
      <c r="AI371" s="556">
        <v>0</v>
      </c>
      <c r="AJ371" s="510"/>
      <c r="AK371" s="556">
        <v>0</v>
      </c>
      <c r="AL371" s="510"/>
      <c r="AM371" s="556">
        <v>0</v>
      </c>
      <c r="AN371" s="510"/>
      <c r="AO371" s="556">
        <v>0</v>
      </c>
      <c r="AP371" s="510"/>
      <c r="AQ371" s="556">
        <v>0</v>
      </c>
      <c r="AR371" s="510"/>
      <c r="AS371" s="556">
        <v>0</v>
      </c>
      <c r="AT371" s="510"/>
      <c r="AU371" s="556">
        <v>0</v>
      </c>
      <c r="AV371" s="510"/>
      <c r="AW371" s="556">
        <v>0</v>
      </c>
      <c r="AX371" s="510"/>
      <c r="AY371" s="556">
        <v>0</v>
      </c>
      <c r="AZ371" s="510"/>
      <c r="BA371" s="130"/>
      <c r="BB371" s="130"/>
      <c r="BC371" s="130"/>
      <c r="BD371" s="130"/>
      <c r="BE371" s="130"/>
      <c r="BF371" s="130"/>
      <c r="BG371" s="130"/>
      <c r="BH371" s="130"/>
      <c r="BI371" s="130"/>
      <c r="BJ371" s="130"/>
      <c r="BK371" s="130"/>
      <c r="BL371" s="130"/>
      <c r="BM371" s="130"/>
      <c r="BN371" s="130"/>
      <c r="BO371" s="130"/>
      <c r="BP371" s="130"/>
      <c r="BQ371" s="130"/>
      <c r="BR371" s="130"/>
      <c r="BS371" s="130"/>
      <c r="BT371" s="130"/>
    </row>
    <row r="372" spans="1:72" ht="15" customHeight="1">
      <c r="A372" s="525"/>
      <c r="B372" s="135" t="s">
        <v>307</v>
      </c>
      <c r="C372" s="553"/>
      <c r="D372" s="510"/>
      <c r="E372" s="553"/>
      <c r="F372" s="510"/>
      <c r="G372" s="553"/>
      <c r="H372" s="510"/>
      <c r="I372" s="553"/>
      <c r="J372" s="510"/>
      <c r="K372" s="553"/>
      <c r="L372" s="510"/>
      <c r="M372" s="553"/>
      <c r="N372" s="510"/>
      <c r="O372" s="553"/>
      <c r="P372" s="510"/>
      <c r="Q372" s="553"/>
      <c r="R372" s="510"/>
      <c r="S372" s="553"/>
      <c r="T372" s="510"/>
      <c r="U372" s="134"/>
      <c r="V372" s="134"/>
      <c r="W372" s="553"/>
      <c r="X372" s="510"/>
      <c r="Y372" s="553"/>
      <c r="Z372" s="510"/>
      <c r="AA372" s="553"/>
      <c r="AB372" s="510"/>
      <c r="AC372" s="553"/>
      <c r="AD372" s="510"/>
      <c r="AE372" s="553"/>
      <c r="AF372" s="510"/>
      <c r="AG372" s="553"/>
      <c r="AH372" s="510"/>
      <c r="AI372" s="553"/>
      <c r="AJ372" s="510"/>
      <c r="AK372" s="553"/>
      <c r="AL372" s="510"/>
      <c r="AM372" s="553"/>
      <c r="AN372" s="510"/>
      <c r="AO372" s="553"/>
      <c r="AP372" s="510"/>
      <c r="AQ372" s="553"/>
      <c r="AR372" s="510"/>
      <c r="AS372" s="553"/>
      <c r="AT372" s="510"/>
      <c r="AU372" s="553"/>
      <c r="AV372" s="510"/>
      <c r="AW372" s="553"/>
      <c r="AX372" s="510"/>
      <c r="AY372" s="553"/>
      <c r="AZ372" s="510"/>
      <c r="BA372" s="130"/>
      <c r="BB372" s="130"/>
      <c r="BC372" s="130"/>
      <c r="BD372" s="130"/>
      <c r="BE372" s="130"/>
      <c r="BF372" s="130"/>
      <c r="BG372" s="130"/>
      <c r="BH372" s="130"/>
      <c r="BI372" s="130"/>
      <c r="BJ372" s="130"/>
      <c r="BK372" s="130"/>
      <c r="BL372" s="130"/>
      <c r="BM372" s="130"/>
      <c r="BN372" s="130"/>
      <c r="BO372" s="130"/>
      <c r="BP372" s="130"/>
      <c r="BQ372" s="130"/>
      <c r="BR372" s="130"/>
      <c r="BS372" s="130"/>
      <c r="BT372" s="130"/>
    </row>
    <row r="373" spans="1:72" ht="15.75" customHeight="1">
      <c r="A373" s="560" t="s">
        <v>683</v>
      </c>
      <c r="B373" s="86" t="s">
        <v>684</v>
      </c>
      <c r="C373" s="556">
        <v>1</v>
      </c>
      <c r="D373" s="510"/>
      <c r="E373" s="556">
        <v>1</v>
      </c>
      <c r="F373" s="510"/>
      <c r="G373" s="556">
        <v>1</v>
      </c>
      <c r="H373" s="510"/>
      <c r="I373" s="556">
        <v>1</v>
      </c>
      <c r="J373" s="510"/>
      <c r="K373" s="556">
        <v>1</v>
      </c>
      <c r="L373" s="510"/>
      <c r="M373" s="556">
        <v>1</v>
      </c>
      <c r="N373" s="510"/>
      <c r="O373" s="556">
        <v>1</v>
      </c>
      <c r="P373" s="510"/>
      <c r="Q373" s="556">
        <v>1</v>
      </c>
      <c r="R373" s="510"/>
      <c r="S373" s="556">
        <v>1</v>
      </c>
      <c r="T373" s="510"/>
      <c r="U373" s="556">
        <v>0</v>
      </c>
      <c r="V373" s="510"/>
      <c r="W373" s="556">
        <v>1</v>
      </c>
      <c r="X373" s="510"/>
      <c r="Y373" s="556">
        <v>1</v>
      </c>
      <c r="Z373" s="510"/>
      <c r="AA373" s="556">
        <v>1</v>
      </c>
      <c r="AB373" s="510"/>
      <c r="AC373" s="556">
        <v>1</v>
      </c>
      <c r="AD373" s="510"/>
      <c r="AE373" s="556">
        <v>1</v>
      </c>
      <c r="AF373" s="510"/>
      <c r="AG373" s="556">
        <v>1</v>
      </c>
      <c r="AH373" s="510"/>
      <c r="AI373" s="556">
        <v>1</v>
      </c>
      <c r="AJ373" s="510"/>
      <c r="AK373" s="556">
        <v>1</v>
      </c>
      <c r="AL373" s="510"/>
      <c r="AM373" s="556">
        <v>1</v>
      </c>
      <c r="AN373" s="510"/>
      <c r="AO373" s="556">
        <v>1</v>
      </c>
      <c r="AP373" s="510"/>
      <c r="AQ373" s="556">
        <v>1</v>
      </c>
      <c r="AR373" s="510"/>
      <c r="AS373" s="556">
        <v>1</v>
      </c>
      <c r="AT373" s="510"/>
      <c r="AU373" s="556">
        <v>1</v>
      </c>
      <c r="AV373" s="510"/>
      <c r="AW373" s="556">
        <v>1</v>
      </c>
      <c r="AX373" s="510"/>
      <c r="AY373" s="556">
        <v>1</v>
      </c>
      <c r="AZ373" s="510"/>
      <c r="BA373" s="130"/>
      <c r="BB373" s="130"/>
      <c r="BC373" s="130"/>
      <c r="BD373" s="130"/>
      <c r="BE373" s="130"/>
      <c r="BF373" s="130"/>
      <c r="BG373" s="130"/>
      <c r="BH373" s="130"/>
      <c r="BI373" s="130"/>
      <c r="BJ373" s="130"/>
      <c r="BK373" s="130"/>
      <c r="BL373" s="130"/>
      <c r="BM373" s="130"/>
      <c r="BN373" s="130"/>
      <c r="BO373" s="130"/>
      <c r="BP373" s="130"/>
      <c r="BQ373" s="130"/>
      <c r="BR373" s="130"/>
      <c r="BS373" s="130"/>
      <c r="BT373" s="130"/>
    </row>
    <row r="374" spans="1:72" ht="15.75" customHeight="1">
      <c r="A374" s="525"/>
      <c r="B374" s="135" t="s">
        <v>307</v>
      </c>
      <c r="C374" s="553"/>
      <c r="D374" s="510"/>
      <c r="E374" s="553"/>
      <c r="F374" s="510"/>
      <c r="G374" s="553"/>
      <c r="H374" s="510"/>
      <c r="I374" s="553"/>
      <c r="J374" s="510"/>
      <c r="K374" s="553"/>
      <c r="L374" s="510"/>
      <c r="M374" s="553"/>
      <c r="N374" s="510"/>
      <c r="O374" s="553"/>
      <c r="P374" s="510"/>
      <c r="Q374" s="553"/>
      <c r="R374" s="510"/>
      <c r="S374" s="553"/>
      <c r="T374" s="510"/>
      <c r="U374" s="134"/>
      <c r="V374" s="134"/>
      <c r="W374" s="553"/>
      <c r="X374" s="510"/>
      <c r="Y374" s="553"/>
      <c r="Z374" s="510"/>
      <c r="AA374" s="553"/>
      <c r="AB374" s="510"/>
      <c r="AC374" s="553"/>
      <c r="AD374" s="510"/>
      <c r="AE374" s="553"/>
      <c r="AF374" s="510"/>
      <c r="AG374" s="553"/>
      <c r="AH374" s="510"/>
      <c r="AI374" s="553"/>
      <c r="AJ374" s="510"/>
      <c r="AK374" s="553"/>
      <c r="AL374" s="510"/>
      <c r="AM374" s="553"/>
      <c r="AN374" s="510"/>
      <c r="AO374" s="553"/>
      <c r="AP374" s="510"/>
      <c r="AQ374" s="553"/>
      <c r="AR374" s="510"/>
      <c r="AS374" s="553"/>
      <c r="AT374" s="510"/>
      <c r="AU374" s="553"/>
      <c r="AV374" s="510"/>
      <c r="AW374" s="553"/>
      <c r="AX374" s="510"/>
      <c r="AY374" s="553"/>
      <c r="AZ374" s="510"/>
      <c r="BA374" s="130"/>
      <c r="BB374" s="130"/>
      <c r="BC374" s="130"/>
      <c r="BD374" s="130"/>
      <c r="BE374" s="130"/>
      <c r="BF374" s="130"/>
      <c r="BG374" s="130"/>
      <c r="BH374" s="130"/>
      <c r="BI374" s="130"/>
      <c r="BJ374" s="130"/>
      <c r="BK374" s="130"/>
      <c r="BL374" s="130"/>
      <c r="BM374" s="130"/>
      <c r="BN374" s="130"/>
      <c r="BO374" s="130"/>
      <c r="BP374" s="130"/>
      <c r="BQ374" s="130"/>
      <c r="BR374" s="130"/>
      <c r="BS374" s="130"/>
      <c r="BT374" s="130"/>
    </row>
    <row r="375" spans="1:72" ht="15.75" customHeight="1">
      <c r="A375" s="560" t="s">
        <v>685</v>
      </c>
      <c r="B375" s="93" t="s">
        <v>686</v>
      </c>
      <c r="C375" s="556">
        <v>1</v>
      </c>
      <c r="D375" s="510"/>
      <c r="E375" s="556">
        <v>1</v>
      </c>
      <c r="F375" s="510"/>
      <c r="G375" s="556">
        <v>1</v>
      </c>
      <c r="H375" s="510"/>
      <c r="I375" s="556">
        <v>1</v>
      </c>
      <c r="J375" s="510"/>
      <c r="K375" s="556">
        <v>1</v>
      </c>
      <c r="L375" s="510"/>
      <c r="M375" s="556">
        <v>1</v>
      </c>
      <c r="N375" s="510"/>
      <c r="O375" s="556">
        <v>1</v>
      </c>
      <c r="P375" s="510"/>
      <c r="Q375" s="556">
        <v>1</v>
      </c>
      <c r="R375" s="510"/>
      <c r="S375" s="556">
        <v>1</v>
      </c>
      <c r="T375" s="510"/>
      <c r="U375" s="556">
        <v>0</v>
      </c>
      <c r="V375" s="510"/>
      <c r="W375" s="556">
        <v>1</v>
      </c>
      <c r="X375" s="510"/>
      <c r="Y375" s="556">
        <v>1</v>
      </c>
      <c r="Z375" s="510"/>
      <c r="AA375" s="556">
        <v>1</v>
      </c>
      <c r="AB375" s="510"/>
      <c r="AC375" s="556">
        <v>1</v>
      </c>
      <c r="AD375" s="510"/>
      <c r="AE375" s="556">
        <v>1</v>
      </c>
      <c r="AF375" s="510"/>
      <c r="AG375" s="556">
        <v>1</v>
      </c>
      <c r="AH375" s="510"/>
      <c r="AI375" s="556">
        <v>1</v>
      </c>
      <c r="AJ375" s="510"/>
      <c r="AK375" s="556">
        <v>1</v>
      </c>
      <c r="AL375" s="510"/>
      <c r="AM375" s="556">
        <v>1</v>
      </c>
      <c r="AN375" s="510"/>
      <c r="AO375" s="556">
        <v>1</v>
      </c>
      <c r="AP375" s="510"/>
      <c r="AQ375" s="556">
        <v>1</v>
      </c>
      <c r="AR375" s="510"/>
      <c r="AS375" s="556">
        <v>1</v>
      </c>
      <c r="AT375" s="510"/>
      <c r="AU375" s="556">
        <v>1</v>
      </c>
      <c r="AV375" s="510"/>
      <c r="AW375" s="556">
        <v>1</v>
      </c>
      <c r="AX375" s="510"/>
      <c r="AY375" s="556">
        <v>1</v>
      </c>
      <c r="AZ375" s="510"/>
      <c r="BA375" s="130"/>
      <c r="BB375" s="130"/>
      <c r="BC375" s="130"/>
      <c r="BD375" s="130"/>
      <c r="BE375" s="130"/>
      <c r="BF375" s="130"/>
      <c r="BG375" s="130"/>
      <c r="BH375" s="130"/>
      <c r="BI375" s="130"/>
      <c r="BJ375" s="130"/>
      <c r="BK375" s="130"/>
      <c r="BL375" s="130"/>
      <c r="BM375" s="130"/>
      <c r="BN375" s="130"/>
      <c r="BO375" s="130"/>
      <c r="BP375" s="130"/>
      <c r="BQ375" s="130"/>
      <c r="BR375" s="130"/>
      <c r="BS375" s="130"/>
      <c r="BT375" s="130"/>
    </row>
    <row r="376" spans="1:72" ht="15.75" customHeight="1">
      <c r="A376" s="525"/>
      <c r="B376" s="135" t="s">
        <v>307</v>
      </c>
      <c r="C376" s="553"/>
      <c r="D376" s="510"/>
      <c r="E376" s="553"/>
      <c r="F376" s="510"/>
      <c r="G376" s="553"/>
      <c r="H376" s="510"/>
      <c r="I376" s="553"/>
      <c r="J376" s="510"/>
      <c r="K376" s="553"/>
      <c r="L376" s="510"/>
      <c r="M376" s="553"/>
      <c r="N376" s="510"/>
      <c r="O376" s="553"/>
      <c r="P376" s="510"/>
      <c r="Q376" s="553"/>
      <c r="R376" s="510"/>
      <c r="S376" s="553"/>
      <c r="T376" s="510"/>
      <c r="U376" s="134"/>
      <c r="V376" s="134"/>
      <c r="W376" s="553"/>
      <c r="X376" s="510"/>
      <c r="Y376" s="553"/>
      <c r="Z376" s="510"/>
      <c r="AA376" s="553"/>
      <c r="AB376" s="510"/>
      <c r="AC376" s="553"/>
      <c r="AD376" s="510"/>
      <c r="AE376" s="553"/>
      <c r="AF376" s="510"/>
      <c r="AG376" s="553"/>
      <c r="AH376" s="510"/>
      <c r="AI376" s="553"/>
      <c r="AJ376" s="510"/>
      <c r="AK376" s="553"/>
      <c r="AL376" s="510"/>
      <c r="AM376" s="553"/>
      <c r="AN376" s="510"/>
      <c r="AO376" s="553"/>
      <c r="AP376" s="510"/>
      <c r="AQ376" s="553"/>
      <c r="AR376" s="510"/>
      <c r="AS376" s="553"/>
      <c r="AT376" s="510"/>
      <c r="AU376" s="553"/>
      <c r="AV376" s="510"/>
      <c r="AW376" s="553"/>
      <c r="AX376" s="510"/>
      <c r="AY376" s="553"/>
      <c r="AZ376" s="510"/>
      <c r="BA376" s="130"/>
      <c r="BB376" s="130"/>
      <c r="BC376" s="130"/>
      <c r="BD376" s="130"/>
      <c r="BE376" s="130"/>
      <c r="BF376" s="130"/>
      <c r="BG376" s="130"/>
      <c r="BH376" s="130"/>
      <c r="BI376" s="130"/>
      <c r="BJ376" s="130"/>
      <c r="BK376" s="130"/>
      <c r="BL376" s="130"/>
      <c r="BM376" s="130"/>
      <c r="BN376" s="130"/>
      <c r="BO376" s="130"/>
      <c r="BP376" s="130"/>
      <c r="BQ376" s="130"/>
      <c r="BR376" s="130"/>
      <c r="BS376" s="130"/>
      <c r="BT376" s="130"/>
    </row>
    <row r="377" spans="1:72" ht="15.75" customHeight="1">
      <c r="A377" s="560" t="s">
        <v>687</v>
      </c>
      <c r="B377" s="93" t="s">
        <v>688</v>
      </c>
      <c r="C377" s="556">
        <v>1</v>
      </c>
      <c r="D377" s="510"/>
      <c r="E377" s="556">
        <v>1</v>
      </c>
      <c r="F377" s="510"/>
      <c r="G377" s="556">
        <v>1</v>
      </c>
      <c r="H377" s="510"/>
      <c r="I377" s="556">
        <v>1</v>
      </c>
      <c r="J377" s="510"/>
      <c r="K377" s="556">
        <v>1</v>
      </c>
      <c r="L377" s="510"/>
      <c r="M377" s="556">
        <v>1</v>
      </c>
      <c r="N377" s="510"/>
      <c r="O377" s="556">
        <v>1</v>
      </c>
      <c r="P377" s="510"/>
      <c r="Q377" s="556">
        <v>1</v>
      </c>
      <c r="R377" s="510"/>
      <c r="S377" s="556">
        <v>1</v>
      </c>
      <c r="T377" s="510"/>
      <c r="U377" s="556">
        <v>0</v>
      </c>
      <c r="V377" s="510"/>
      <c r="W377" s="556">
        <v>1</v>
      </c>
      <c r="X377" s="510"/>
      <c r="Y377" s="556">
        <v>1</v>
      </c>
      <c r="Z377" s="510"/>
      <c r="AA377" s="556">
        <v>1</v>
      </c>
      <c r="AB377" s="510"/>
      <c r="AC377" s="556">
        <v>1</v>
      </c>
      <c r="AD377" s="510"/>
      <c r="AE377" s="556">
        <v>1</v>
      </c>
      <c r="AF377" s="510"/>
      <c r="AG377" s="556">
        <v>1</v>
      </c>
      <c r="AH377" s="510"/>
      <c r="AI377" s="556">
        <v>1</v>
      </c>
      <c r="AJ377" s="510"/>
      <c r="AK377" s="556">
        <v>1</v>
      </c>
      <c r="AL377" s="510"/>
      <c r="AM377" s="556">
        <v>1</v>
      </c>
      <c r="AN377" s="510"/>
      <c r="AO377" s="556">
        <v>1</v>
      </c>
      <c r="AP377" s="510"/>
      <c r="AQ377" s="556">
        <v>1</v>
      </c>
      <c r="AR377" s="510"/>
      <c r="AS377" s="556">
        <v>1</v>
      </c>
      <c r="AT377" s="510"/>
      <c r="AU377" s="556">
        <v>1</v>
      </c>
      <c r="AV377" s="510"/>
      <c r="AW377" s="556">
        <v>1</v>
      </c>
      <c r="AX377" s="510"/>
      <c r="AY377" s="556">
        <v>1</v>
      </c>
      <c r="AZ377" s="510"/>
      <c r="BA377" s="130"/>
      <c r="BB377" s="130"/>
      <c r="BC377" s="130"/>
      <c r="BD377" s="130"/>
      <c r="BE377" s="130"/>
      <c r="BF377" s="130"/>
      <c r="BG377" s="130"/>
      <c r="BH377" s="130"/>
      <c r="BI377" s="130"/>
      <c r="BJ377" s="130"/>
      <c r="BK377" s="130"/>
      <c r="BL377" s="130"/>
      <c r="BM377" s="130"/>
      <c r="BN377" s="130"/>
      <c r="BO377" s="130"/>
      <c r="BP377" s="130"/>
      <c r="BQ377" s="130"/>
      <c r="BR377" s="130"/>
      <c r="BS377" s="130"/>
      <c r="BT377" s="130"/>
    </row>
    <row r="378" spans="1:72" ht="15" customHeight="1">
      <c r="A378" s="525"/>
      <c r="B378" s="135" t="s">
        <v>307</v>
      </c>
      <c r="C378" s="553"/>
      <c r="D378" s="510"/>
      <c r="E378" s="553"/>
      <c r="F378" s="510"/>
      <c r="G378" s="553"/>
      <c r="H378" s="510"/>
      <c r="I378" s="553"/>
      <c r="J378" s="510"/>
      <c r="K378" s="553"/>
      <c r="L378" s="510"/>
      <c r="M378" s="553"/>
      <c r="N378" s="510"/>
      <c r="O378" s="553"/>
      <c r="P378" s="510"/>
      <c r="Q378" s="553"/>
      <c r="R378" s="510"/>
      <c r="S378" s="553"/>
      <c r="T378" s="510"/>
      <c r="U378" s="134"/>
      <c r="V378" s="134"/>
      <c r="W378" s="553"/>
      <c r="X378" s="510"/>
      <c r="Y378" s="553"/>
      <c r="Z378" s="510"/>
      <c r="AA378" s="553"/>
      <c r="AB378" s="510"/>
      <c r="AC378" s="553"/>
      <c r="AD378" s="510"/>
      <c r="AE378" s="553"/>
      <c r="AF378" s="510"/>
      <c r="AG378" s="553"/>
      <c r="AH378" s="510"/>
      <c r="AI378" s="553"/>
      <c r="AJ378" s="510"/>
      <c r="AK378" s="553"/>
      <c r="AL378" s="510"/>
      <c r="AM378" s="553"/>
      <c r="AN378" s="510"/>
      <c r="AO378" s="553"/>
      <c r="AP378" s="510"/>
      <c r="AQ378" s="553"/>
      <c r="AR378" s="510"/>
      <c r="AS378" s="553"/>
      <c r="AT378" s="510"/>
      <c r="AU378" s="553"/>
      <c r="AV378" s="510"/>
      <c r="AW378" s="553"/>
      <c r="AX378" s="510"/>
      <c r="AY378" s="553"/>
      <c r="AZ378" s="510"/>
      <c r="BA378" s="130"/>
      <c r="BB378" s="130"/>
      <c r="BC378" s="130"/>
      <c r="BD378" s="130"/>
      <c r="BE378" s="130"/>
      <c r="BF378" s="130"/>
      <c r="BG378" s="130"/>
      <c r="BH378" s="130"/>
      <c r="BI378" s="130"/>
      <c r="BJ378" s="130"/>
      <c r="BK378" s="130"/>
      <c r="BL378" s="130"/>
      <c r="BM378" s="130"/>
      <c r="BN378" s="130"/>
      <c r="BO378" s="130"/>
      <c r="BP378" s="130"/>
      <c r="BQ378" s="130"/>
      <c r="BR378" s="130"/>
      <c r="BS378" s="130"/>
      <c r="BT378" s="130"/>
    </row>
    <row r="379" spans="1:72" ht="15.75" customHeight="1">
      <c r="A379" s="560" t="s">
        <v>689</v>
      </c>
      <c r="B379" s="93" t="s">
        <v>690</v>
      </c>
      <c r="C379" s="556">
        <v>1</v>
      </c>
      <c r="D379" s="510"/>
      <c r="E379" s="556"/>
      <c r="F379" s="510"/>
      <c r="G379" s="556">
        <v>1</v>
      </c>
      <c r="H379" s="510"/>
      <c r="I379" s="556">
        <v>0</v>
      </c>
      <c r="J379" s="510"/>
      <c r="K379" s="556"/>
      <c r="L379" s="510"/>
      <c r="M379" s="556">
        <v>1</v>
      </c>
      <c r="N379" s="510"/>
      <c r="O379" s="556">
        <v>1</v>
      </c>
      <c r="P379" s="510"/>
      <c r="Q379" s="556">
        <v>1</v>
      </c>
      <c r="R379" s="510"/>
      <c r="S379" s="556">
        <v>0</v>
      </c>
      <c r="T379" s="510"/>
      <c r="U379" s="556">
        <v>0</v>
      </c>
      <c r="V379" s="510"/>
      <c r="W379" s="556">
        <v>1</v>
      </c>
      <c r="X379" s="510"/>
      <c r="Y379" s="556">
        <v>0</v>
      </c>
      <c r="Z379" s="510"/>
      <c r="AA379" s="556">
        <v>1</v>
      </c>
      <c r="AB379" s="510"/>
      <c r="AC379" s="556">
        <v>1</v>
      </c>
      <c r="AD379" s="510"/>
      <c r="AE379" s="556">
        <v>0</v>
      </c>
      <c r="AF379" s="510"/>
      <c r="AG379" s="556">
        <v>0</v>
      </c>
      <c r="AH379" s="510"/>
      <c r="AI379" s="556">
        <v>1</v>
      </c>
      <c r="AJ379" s="510"/>
      <c r="AK379" s="556">
        <v>0</v>
      </c>
      <c r="AL379" s="510"/>
      <c r="AM379" s="556">
        <v>1</v>
      </c>
      <c r="AN379" s="510"/>
      <c r="AO379" s="556">
        <v>1</v>
      </c>
      <c r="AP379" s="510"/>
      <c r="AQ379" s="556">
        <v>1</v>
      </c>
      <c r="AR379" s="510"/>
      <c r="AS379" s="556">
        <v>1</v>
      </c>
      <c r="AT379" s="510"/>
      <c r="AU379" s="556">
        <v>0</v>
      </c>
      <c r="AV379" s="510"/>
      <c r="AW379" s="556">
        <v>0</v>
      </c>
      <c r="AX379" s="510"/>
      <c r="AY379" s="556">
        <v>0</v>
      </c>
      <c r="AZ379" s="510"/>
      <c r="BA379" s="130"/>
      <c r="BB379" s="130"/>
      <c r="BC379" s="130"/>
      <c r="BD379" s="130"/>
      <c r="BE379" s="130"/>
      <c r="BF379" s="130"/>
      <c r="BG379" s="130"/>
      <c r="BH379" s="130"/>
      <c r="BI379" s="130"/>
      <c r="BJ379" s="130"/>
      <c r="BK379" s="130"/>
      <c r="BL379" s="130"/>
      <c r="BM379" s="130"/>
      <c r="BN379" s="130"/>
      <c r="BO379" s="130"/>
      <c r="BP379" s="130"/>
      <c r="BQ379" s="130"/>
      <c r="BR379" s="130"/>
      <c r="BS379" s="130"/>
      <c r="BT379" s="130"/>
    </row>
    <row r="380" spans="1:72" ht="15" customHeight="1">
      <c r="A380" s="525"/>
      <c r="B380" s="135" t="s">
        <v>307</v>
      </c>
      <c r="C380" s="553">
        <v>2017</v>
      </c>
      <c r="D380" s="510"/>
      <c r="E380" s="553">
        <v>2017</v>
      </c>
      <c r="F380" s="510"/>
      <c r="G380" s="553">
        <v>2017</v>
      </c>
      <c r="H380" s="510"/>
      <c r="I380" s="553"/>
      <c r="J380" s="510"/>
      <c r="K380" s="553"/>
      <c r="L380" s="510"/>
      <c r="M380" s="553">
        <v>2017</v>
      </c>
      <c r="N380" s="510"/>
      <c r="O380" s="553">
        <v>2017</v>
      </c>
      <c r="P380" s="510"/>
      <c r="Q380" s="553" t="s">
        <v>691</v>
      </c>
      <c r="R380" s="510"/>
      <c r="S380" s="553"/>
      <c r="T380" s="510"/>
      <c r="U380" s="134"/>
      <c r="V380" s="134"/>
      <c r="W380" s="553">
        <v>2017</v>
      </c>
      <c r="X380" s="510"/>
      <c r="Y380" s="553"/>
      <c r="Z380" s="510"/>
      <c r="AA380" s="553">
        <v>2017</v>
      </c>
      <c r="AB380" s="510"/>
      <c r="AC380" s="553" t="s">
        <v>692</v>
      </c>
      <c r="AD380" s="510"/>
      <c r="AE380" s="553"/>
      <c r="AF380" s="510"/>
      <c r="AG380" s="553"/>
      <c r="AH380" s="510"/>
      <c r="AI380" s="553">
        <v>2017</v>
      </c>
      <c r="AJ380" s="510"/>
      <c r="AK380" s="553"/>
      <c r="AL380" s="510"/>
      <c r="AM380" s="553" t="s">
        <v>693</v>
      </c>
      <c r="AN380" s="510"/>
      <c r="AO380" s="553" t="s">
        <v>694</v>
      </c>
      <c r="AP380" s="510"/>
      <c r="AQ380" s="553" t="s">
        <v>694</v>
      </c>
      <c r="AR380" s="510"/>
      <c r="AS380" s="553">
        <v>2017</v>
      </c>
      <c r="AT380" s="510"/>
      <c r="AU380" s="553"/>
      <c r="AV380" s="510"/>
      <c r="AW380" s="553"/>
      <c r="AX380" s="510"/>
      <c r="AY380" s="553"/>
      <c r="AZ380" s="510"/>
      <c r="BA380" s="130"/>
      <c r="BB380" s="130"/>
      <c r="BC380" s="130"/>
      <c r="BD380" s="130"/>
      <c r="BE380" s="130"/>
      <c r="BF380" s="130"/>
      <c r="BG380" s="130"/>
      <c r="BH380" s="130"/>
      <c r="BI380" s="130"/>
      <c r="BJ380" s="130"/>
      <c r="BK380" s="130"/>
      <c r="BL380" s="130"/>
      <c r="BM380" s="130"/>
      <c r="BN380" s="130"/>
      <c r="BO380" s="130"/>
      <c r="BP380" s="130"/>
      <c r="BQ380" s="130"/>
      <c r="BR380" s="130"/>
      <c r="BS380" s="130"/>
      <c r="BT380" s="130"/>
    </row>
    <row r="381" spans="1:72" ht="15.75" customHeight="1">
      <c r="A381" s="560" t="s">
        <v>695</v>
      </c>
      <c r="B381" s="93" t="s">
        <v>696</v>
      </c>
      <c r="C381" s="556">
        <v>1</v>
      </c>
      <c r="D381" s="510"/>
      <c r="E381" s="556">
        <v>1</v>
      </c>
      <c r="F381" s="510"/>
      <c r="G381" s="556">
        <v>1</v>
      </c>
      <c r="H381" s="510"/>
      <c r="I381" s="556">
        <v>1</v>
      </c>
      <c r="J381" s="510"/>
      <c r="K381" s="556">
        <v>1</v>
      </c>
      <c r="L381" s="510"/>
      <c r="M381" s="556">
        <v>1</v>
      </c>
      <c r="N381" s="510"/>
      <c r="O381" s="556">
        <v>1</v>
      </c>
      <c r="P381" s="510"/>
      <c r="Q381" s="556">
        <v>1</v>
      </c>
      <c r="R381" s="510"/>
      <c r="S381" s="556">
        <v>1</v>
      </c>
      <c r="T381" s="510"/>
      <c r="U381" s="556">
        <v>1</v>
      </c>
      <c r="V381" s="510"/>
      <c r="W381" s="556">
        <v>1</v>
      </c>
      <c r="X381" s="510"/>
      <c r="Y381" s="556">
        <v>1</v>
      </c>
      <c r="Z381" s="510"/>
      <c r="AA381" s="556">
        <v>1</v>
      </c>
      <c r="AB381" s="510"/>
      <c r="AC381" s="556">
        <v>1</v>
      </c>
      <c r="AD381" s="510"/>
      <c r="AE381" s="556">
        <v>1</v>
      </c>
      <c r="AF381" s="510"/>
      <c r="AG381" s="556">
        <v>1</v>
      </c>
      <c r="AH381" s="510"/>
      <c r="AI381" s="556">
        <v>1</v>
      </c>
      <c r="AJ381" s="510"/>
      <c r="AK381" s="556">
        <v>1</v>
      </c>
      <c r="AL381" s="510"/>
      <c r="AM381" s="556">
        <v>1</v>
      </c>
      <c r="AN381" s="510"/>
      <c r="AO381" s="556">
        <v>1</v>
      </c>
      <c r="AP381" s="510"/>
      <c r="AQ381" s="556">
        <v>1</v>
      </c>
      <c r="AR381" s="510"/>
      <c r="AS381" s="556">
        <v>1</v>
      </c>
      <c r="AT381" s="510"/>
      <c r="AU381" s="556">
        <v>1</v>
      </c>
      <c r="AV381" s="510"/>
      <c r="AW381" s="556">
        <v>1</v>
      </c>
      <c r="AX381" s="510"/>
      <c r="AY381" s="556">
        <v>1</v>
      </c>
      <c r="AZ381" s="510"/>
      <c r="BA381" s="130"/>
      <c r="BB381" s="130"/>
      <c r="BC381" s="130"/>
      <c r="BD381" s="130"/>
      <c r="BE381" s="130"/>
      <c r="BF381" s="130"/>
      <c r="BG381" s="130"/>
      <c r="BH381" s="130"/>
      <c r="BI381" s="130"/>
      <c r="BJ381" s="130"/>
      <c r="BK381" s="130"/>
      <c r="BL381" s="130"/>
      <c r="BM381" s="130"/>
      <c r="BN381" s="130"/>
      <c r="BO381" s="130"/>
      <c r="BP381" s="130"/>
      <c r="BQ381" s="130"/>
      <c r="BR381" s="130"/>
      <c r="BS381" s="130"/>
      <c r="BT381" s="130"/>
    </row>
    <row r="382" spans="1:72" ht="15" customHeight="1">
      <c r="A382" s="525"/>
      <c r="B382" s="135" t="s">
        <v>307</v>
      </c>
      <c r="C382" s="559" t="s">
        <v>697</v>
      </c>
      <c r="D382" s="510"/>
      <c r="E382" s="553"/>
      <c r="F382" s="510"/>
      <c r="G382" s="553"/>
      <c r="H382" s="510"/>
      <c r="I382" s="553"/>
      <c r="J382" s="510"/>
      <c r="K382" s="553"/>
      <c r="L382" s="510"/>
      <c r="M382" s="553"/>
      <c r="N382" s="510"/>
      <c r="O382" s="553"/>
      <c r="P382" s="510"/>
      <c r="Q382" s="553"/>
      <c r="R382" s="510"/>
      <c r="S382" s="553"/>
      <c r="T382" s="510"/>
      <c r="U382" s="134"/>
      <c r="V382" s="134"/>
      <c r="W382" s="553"/>
      <c r="X382" s="510"/>
      <c r="Y382" s="553"/>
      <c r="Z382" s="510"/>
      <c r="AA382" s="553"/>
      <c r="AB382" s="510"/>
      <c r="AC382" s="553"/>
      <c r="AD382" s="510"/>
      <c r="AE382" s="553"/>
      <c r="AF382" s="510"/>
      <c r="AG382" s="553"/>
      <c r="AH382" s="510"/>
      <c r="AI382" s="553"/>
      <c r="AJ382" s="510"/>
      <c r="AK382" s="553"/>
      <c r="AL382" s="510"/>
      <c r="AM382" s="553"/>
      <c r="AN382" s="510"/>
      <c r="AO382" s="553"/>
      <c r="AP382" s="510"/>
      <c r="AQ382" s="553"/>
      <c r="AR382" s="510"/>
      <c r="AS382" s="553"/>
      <c r="AT382" s="510"/>
      <c r="AU382" s="553"/>
      <c r="AV382" s="510"/>
      <c r="AW382" s="553"/>
      <c r="AX382" s="510"/>
      <c r="AY382" s="553"/>
      <c r="AZ382" s="510"/>
      <c r="BA382" s="130"/>
      <c r="BB382" s="130"/>
      <c r="BC382" s="130"/>
      <c r="BD382" s="130"/>
      <c r="BE382" s="130"/>
      <c r="BF382" s="130"/>
      <c r="BG382" s="130"/>
      <c r="BH382" s="130"/>
      <c r="BI382" s="130"/>
      <c r="BJ382" s="130"/>
      <c r="BK382" s="130"/>
      <c r="BL382" s="130"/>
      <c r="BM382" s="130"/>
      <c r="BN382" s="130"/>
      <c r="BO382" s="130"/>
      <c r="BP382" s="130"/>
      <c r="BQ382" s="130"/>
      <c r="BR382" s="130"/>
      <c r="BS382" s="130"/>
      <c r="BT382" s="130"/>
    </row>
    <row r="383" spans="1:72" ht="15.75" customHeight="1">
      <c r="A383" s="560" t="s">
        <v>698</v>
      </c>
      <c r="B383" s="93" t="s">
        <v>699</v>
      </c>
      <c r="C383" s="556">
        <v>1</v>
      </c>
      <c r="D383" s="510"/>
      <c r="E383" s="556">
        <v>1</v>
      </c>
      <c r="F383" s="510"/>
      <c r="G383" s="556">
        <v>1</v>
      </c>
      <c r="H383" s="510"/>
      <c r="I383" s="556">
        <v>1</v>
      </c>
      <c r="J383" s="510"/>
      <c r="K383" s="556">
        <v>1</v>
      </c>
      <c r="L383" s="510"/>
      <c r="M383" s="556">
        <v>1</v>
      </c>
      <c r="N383" s="510"/>
      <c r="O383" s="556">
        <v>1</v>
      </c>
      <c r="P383" s="510"/>
      <c r="Q383" s="556">
        <v>1</v>
      </c>
      <c r="R383" s="510"/>
      <c r="S383" s="556">
        <v>1</v>
      </c>
      <c r="T383" s="510"/>
      <c r="U383" s="556">
        <v>1</v>
      </c>
      <c r="V383" s="510"/>
      <c r="W383" s="556">
        <v>1</v>
      </c>
      <c r="X383" s="510"/>
      <c r="Y383" s="556">
        <v>1</v>
      </c>
      <c r="Z383" s="510"/>
      <c r="AA383" s="556">
        <v>1</v>
      </c>
      <c r="AB383" s="510"/>
      <c r="AC383" s="556">
        <v>1</v>
      </c>
      <c r="AD383" s="510"/>
      <c r="AE383" s="556">
        <v>1</v>
      </c>
      <c r="AF383" s="510"/>
      <c r="AG383" s="556">
        <v>1</v>
      </c>
      <c r="AH383" s="510"/>
      <c r="AI383" s="556">
        <v>1</v>
      </c>
      <c r="AJ383" s="510"/>
      <c r="AK383" s="556">
        <v>1</v>
      </c>
      <c r="AL383" s="510"/>
      <c r="AM383" s="556">
        <v>1</v>
      </c>
      <c r="AN383" s="510"/>
      <c r="AO383" s="556">
        <v>1</v>
      </c>
      <c r="AP383" s="510"/>
      <c r="AQ383" s="556">
        <v>1</v>
      </c>
      <c r="AR383" s="510"/>
      <c r="AS383" s="556">
        <v>1</v>
      </c>
      <c r="AT383" s="510"/>
      <c r="AU383" s="556">
        <v>1</v>
      </c>
      <c r="AV383" s="510"/>
      <c r="AW383" s="556">
        <v>1</v>
      </c>
      <c r="AX383" s="510"/>
      <c r="AY383" s="556">
        <v>1</v>
      </c>
      <c r="AZ383" s="510"/>
      <c r="BA383" s="130"/>
      <c r="BB383" s="130"/>
      <c r="BC383" s="130"/>
      <c r="BD383" s="130"/>
      <c r="BE383" s="130"/>
      <c r="BF383" s="130"/>
      <c r="BG383" s="130"/>
      <c r="BH383" s="130"/>
      <c r="BI383" s="130"/>
      <c r="BJ383" s="130"/>
      <c r="BK383" s="130"/>
      <c r="BL383" s="130"/>
      <c r="BM383" s="130"/>
      <c r="BN383" s="130"/>
      <c r="BO383" s="130"/>
      <c r="BP383" s="130"/>
      <c r="BQ383" s="130"/>
      <c r="BR383" s="130"/>
      <c r="BS383" s="130"/>
      <c r="BT383" s="130"/>
    </row>
    <row r="384" spans="1:72" ht="25.5" customHeight="1">
      <c r="A384" s="525"/>
      <c r="B384" s="135" t="s">
        <v>307</v>
      </c>
      <c r="C384" s="559" t="s">
        <v>700</v>
      </c>
      <c r="D384" s="510"/>
      <c r="E384" s="559" t="s">
        <v>700</v>
      </c>
      <c r="F384" s="510"/>
      <c r="G384" s="559" t="s">
        <v>700</v>
      </c>
      <c r="H384" s="510"/>
      <c r="I384" s="559" t="s">
        <v>700</v>
      </c>
      <c r="J384" s="510"/>
      <c r="K384" s="559" t="s">
        <v>700</v>
      </c>
      <c r="L384" s="510"/>
      <c r="M384" s="559" t="s">
        <v>700</v>
      </c>
      <c r="N384" s="510"/>
      <c r="O384" s="559" t="s">
        <v>700</v>
      </c>
      <c r="P384" s="510"/>
      <c r="Q384" s="559" t="s">
        <v>700</v>
      </c>
      <c r="R384" s="510"/>
      <c r="S384" s="559" t="s">
        <v>700</v>
      </c>
      <c r="T384" s="510"/>
      <c r="U384" s="559" t="s">
        <v>700</v>
      </c>
      <c r="V384" s="510"/>
      <c r="W384" s="559" t="s">
        <v>700</v>
      </c>
      <c r="X384" s="510"/>
      <c r="Y384" s="559" t="s">
        <v>700</v>
      </c>
      <c r="Z384" s="510"/>
      <c r="AA384" s="559" t="s">
        <v>700</v>
      </c>
      <c r="AB384" s="510"/>
      <c r="AC384" s="559" t="s">
        <v>700</v>
      </c>
      <c r="AD384" s="510"/>
      <c r="AE384" s="559" t="s">
        <v>700</v>
      </c>
      <c r="AF384" s="510"/>
      <c r="AG384" s="559" t="s">
        <v>700</v>
      </c>
      <c r="AH384" s="510"/>
      <c r="AI384" s="559" t="s">
        <v>700</v>
      </c>
      <c r="AJ384" s="510"/>
      <c r="AK384" s="559" t="s">
        <v>700</v>
      </c>
      <c r="AL384" s="510"/>
      <c r="AM384" s="559" t="s">
        <v>700</v>
      </c>
      <c r="AN384" s="510"/>
      <c r="AO384" s="559" t="s">
        <v>700</v>
      </c>
      <c r="AP384" s="510"/>
      <c r="AQ384" s="559" t="s">
        <v>700</v>
      </c>
      <c r="AR384" s="510"/>
      <c r="AS384" s="559" t="s">
        <v>700</v>
      </c>
      <c r="AT384" s="510"/>
      <c r="AU384" s="559" t="s">
        <v>700</v>
      </c>
      <c r="AV384" s="510"/>
      <c r="AW384" s="559" t="s">
        <v>700</v>
      </c>
      <c r="AX384" s="510"/>
      <c r="AY384" s="559" t="s">
        <v>700</v>
      </c>
      <c r="AZ384" s="510"/>
      <c r="BA384" s="130"/>
      <c r="BB384" s="130"/>
      <c r="BC384" s="130"/>
      <c r="BD384" s="130"/>
      <c r="BE384" s="130"/>
      <c r="BF384" s="130"/>
      <c r="BG384" s="130"/>
      <c r="BH384" s="130"/>
      <c r="BI384" s="130"/>
      <c r="BJ384" s="130"/>
      <c r="BK384" s="130"/>
      <c r="BL384" s="130"/>
      <c r="BM384" s="130"/>
      <c r="BN384" s="130"/>
      <c r="BO384" s="130"/>
      <c r="BP384" s="130"/>
      <c r="BQ384" s="130"/>
      <c r="BR384" s="130"/>
      <c r="BS384" s="130"/>
      <c r="BT384" s="130"/>
    </row>
    <row r="385" spans="1:72" ht="15.75" customHeight="1">
      <c r="A385" s="560" t="s">
        <v>701</v>
      </c>
      <c r="B385" s="93" t="s">
        <v>702</v>
      </c>
      <c r="C385" s="556">
        <v>1</v>
      </c>
      <c r="D385" s="510"/>
      <c r="E385" s="556">
        <v>1</v>
      </c>
      <c r="F385" s="510"/>
      <c r="G385" s="556">
        <v>1</v>
      </c>
      <c r="H385" s="510"/>
      <c r="I385" s="556">
        <v>0</v>
      </c>
      <c r="J385" s="510"/>
      <c r="K385" s="556">
        <v>0</v>
      </c>
      <c r="L385" s="510"/>
      <c r="M385" s="556">
        <v>1</v>
      </c>
      <c r="N385" s="510"/>
      <c r="O385" s="556">
        <v>1</v>
      </c>
      <c r="P385" s="510"/>
      <c r="Q385" s="556">
        <v>1</v>
      </c>
      <c r="R385" s="510"/>
      <c r="S385" s="556">
        <v>0</v>
      </c>
      <c r="T385" s="510"/>
      <c r="U385" s="556">
        <v>0</v>
      </c>
      <c r="V385" s="510"/>
      <c r="W385" s="556">
        <v>1</v>
      </c>
      <c r="X385" s="510"/>
      <c r="Y385" s="556">
        <v>0</v>
      </c>
      <c r="Z385" s="510"/>
      <c r="AA385" s="556">
        <v>1</v>
      </c>
      <c r="AB385" s="510"/>
      <c r="AC385" s="556">
        <v>1</v>
      </c>
      <c r="AD385" s="510"/>
      <c r="AE385" s="556">
        <v>1</v>
      </c>
      <c r="AF385" s="510"/>
      <c r="AG385" s="556">
        <v>0</v>
      </c>
      <c r="AH385" s="510"/>
      <c r="AI385" s="556">
        <v>1</v>
      </c>
      <c r="AJ385" s="510"/>
      <c r="AK385" s="556">
        <v>1</v>
      </c>
      <c r="AL385" s="510"/>
      <c r="AM385" s="556">
        <v>1</v>
      </c>
      <c r="AN385" s="510"/>
      <c r="AO385" s="556">
        <v>1</v>
      </c>
      <c r="AP385" s="510"/>
      <c r="AQ385" s="556">
        <v>1</v>
      </c>
      <c r="AR385" s="510"/>
      <c r="AS385" s="556">
        <v>1</v>
      </c>
      <c r="AT385" s="510"/>
      <c r="AU385" s="556">
        <v>0</v>
      </c>
      <c r="AV385" s="510"/>
      <c r="AW385" s="556">
        <v>1</v>
      </c>
      <c r="AX385" s="510"/>
      <c r="AY385" s="556">
        <v>1</v>
      </c>
      <c r="AZ385" s="510"/>
      <c r="BA385" s="130"/>
      <c r="BB385" s="130"/>
      <c r="BC385" s="130"/>
      <c r="BD385" s="130"/>
      <c r="BE385" s="130"/>
      <c r="BF385" s="130"/>
      <c r="BG385" s="130"/>
      <c r="BH385" s="130"/>
      <c r="BI385" s="130"/>
      <c r="BJ385" s="130"/>
      <c r="BK385" s="130"/>
      <c r="BL385" s="130"/>
      <c r="BM385" s="130"/>
      <c r="BN385" s="130"/>
      <c r="BO385" s="130"/>
      <c r="BP385" s="130"/>
      <c r="BQ385" s="130"/>
      <c r="BR385" s="130"/>
      <c r="BS385" s="130"/>
      <c r="BT385" s="130"/>
    </row>
    <row r="386" spans="1:72" ht="15" customHeight="1">
      <c r="A386" s="525"/>
      <c r="B386" s="135" t="s">
        <v>307</v>
      </c>
      <c r="C386" s="553"/>
      <c r="D386" s="510"/>
      <c r="E386" s="553"/>
      <c r="F386" s="510"/>
      <c r="G386" s="553"/>
      <c r="H386" s="510"/>
      <c r="I386" s="553"/>
      <c r="J386" s="510"/>
      <c r="K386" s="553"/>
      <c r="L386" s="510"/>
      <c r="M386" s="553"/>
      <c r="N386" s="510"/>
      <c r="O386" s="553"/>
      <c r="P386" s="510"/>
      <c r="Q386" s="553"/>
      <c r="R386" s="510"/>
      <c r="S386" s="553"/>
      <c r="T386" s="510"/>
      <c r="U386" s="134"/>
      <c r="V386" s="134"/>
      <c r="W386" s="553"/>
      <c r="X386" s="510"/>
      <c r="Y386" s="553"/>
      <c r="Z386" s="510"/>
      <c r="AA386" s="553"/>
      <c r="AB386" s="510"/>
      <c r="AC386" s="553"/>
      <c r="AD386" s="510"/>
      <c r="AE386" s="553"/>
      <c r="AF386" s="510"/>
      <c r="AG386" s="553"/>
      <c r="AH386" s="510"/>
      <c r="AI386" s="553"/>
      <c r="AJ386" s="510"/>
      <c r="AK386" s="553"/>
      <c r="AL386" s="510"/>
      <c r="AM386" s="553"/>
      <c r="AN386" s="510"/>
      <c r="AO386" s="553"/>
      <c r="AP386" s="510"/>
      <c r="AQ386" s="553"/>
      <c r="AR386" s="510"/>
      <c r="AS386" s="553"/>
      <c r="AT386" s="510"/>
      <c r="AU386" s="553"/>
      <c r="AV386" s="510"/>
      <c r="AW386" s="553"/>
      <c r="AX386" s="510"/>
      <c r="AY386" s="553"/>
      <c r="AZ386" s="510"/>
      <c r="BA386" s="130"/>
      <c r="BB386" s="130"/>
      <c r="BC386" s="130"/>
      <c r="BD386" s="130"/>
      <c r="BE386" s="130"/>
      <c r="BF386" s="130"/>
      <c r="BG386" s="130"/>
      <c r="BH386" s="130"/>
      <c r="BI386" s="130"/>
      <c r="BJ386" s="130"/>
      <c r="BK386" s="130"/>
      <c r="BL386" s="130"/>
      <c r="BM386" s="130"/>
      <c r="BN386" s="130"/>
      <c r="BO386" s="130"/>
      <c r="BP386" s="130"/>
      <c r="BQ386" s="130"/>
      <c r="BR386" s="130"/>
      <c r="BS386" s="130"/>
      <c r="BT386" s="130"/>
    </row>
    <row r="387" spans="1:72" ht="15.75" customHeight="1">
      <c r="A387" s="560" t="s">
        <v>703</v>
      </c>
      <c r="B387" s="93" t="s">
        <v>704</v>
      </c>
      <c r="C387" s="556">
        <v>1</v>
      </c>
      <c r="D387" s="510"/>
      <c r="E387" s="556">
        <v>1</v>
      </c>
      <c r="F387" s="510"/>
      <c r="G387" s="556">
        <v>1</v>
      </c>
      <c r="H387" s="510"/>
      <c r="I387" s="556">
        <v>0</v>
      </c>
      <c r="J387" s="510"/>
      <c r="K387" s="556">
        <v>0</v>
      </c>
      <c r="L387" s="510"/>
      <c r="M387" s="556">
        <v>1</v>
      </c>
      <c r="N387" s="510"/>
      <c r="O387" s="556">
        <v>1</v>
      </c>
      <c r="P387" s="510"/>
      <c r="Q387" s="556">
        <v>1</v>
      </c>
      <c r="R387" s="510"/>
      <c r="S387" s="556">
        <v>0</v>
      </c>
      <c r="T387" s="510"/>
      <c r="U387" s="556">
        <v>0</v>
      </c>
      <c r="V387" s="510"/>
      <c r="W387" s="556">
        <v>1</v>
      </c>
      <c r="X387" s="510"/>
      <c r="Y387" s="556">
        <v>0</v>
      </c>
      <c r="Z387" s="510"/>
      <c r="AA387" s="556">
        <v>1</v>
      </c>
      <c r="AB387" s="510"/>
      <c r="AC387" s="556">
        <v>1</v>
      </c>
      <c r="AD387" s="510"/>
      <c r="AE387" s="556">
        <v>1</v>
      </c>
      <c r="AF387" s="510"/>
      <c r="AG387" s="556">
        <v>0</v>
      </c>
      <c r="AH387" s="510"/>
      <c r="AI387" s="556">
        <v>1</v>
      </c>
      <c r="AJ387" s="510"/>
      <c r="AK387" s="556">
        <v>1</v>
      </c>
      <c r="AL387" s="510"/>
      <c r="AM387" s="556">
        <v>1</v>
      </c>
      <c r="AN387" s="510"/>
      <c r="AO387" s="556">
        <v>1</v>
      </c>
      <c r="AP387" s="510"/>
      <c r="AQ387" s="556">
        <v>1</v>
      </c>
      <c r="AR387" s="510"/>
      <c r="AS387" s="556">
        <v>1</v>
      </c>
      <c r="AT387" s="510"/>
      <c r="AU387" s="556">
        <v>0</v>
      </c>
      <c r="AV387" s="510"/>
      <c r="AW387" s="556">
        <v>1</v>
      </c>
      <c r="AX387" s="510"/>
      <c r="AY387" s="556">
        <v>1</v>
      </c>
      <c r="AZ387" s="510"/>
      <c r="BA387" s="130"/>
      <c r="BB387" s="130"/>
      <c r="BC387" s="130"/>
      <c r="BD387" s="130"/>
      <c r="BE387" s="130"/>
      <c r="BF387" s="130"/>
      <c r="BG387" s="130"/>
      <c r="BH387" s="130"/>
      <c r="BI387" s="130"/>
      <c r="BJ387" s="130"/>
      <c r="BK387" s="130"/>
      <c r="BL387" s="130"/>
      <c r="BM387" s="130"/>
      <c r="BN387" s="130"/>
      <c r="BO387" s="130"/>
      <c r="BP387" s="130"/>
      <c r="BQ387" s="130"/>
      <c r="BR387" s="130"/>
      <c r="BS387" s="130"/>
      <c r="BT387" s="130"/>
    </row>
    <row r="388" spans="1:72" ht="15" customHeight="1">
      <c r="A388" s="525"/>
      <c r="B388" s="135" t="s">
        <v>307</v>
      </c>
      <c r="C388" s="553"/>
      <c r="D388" s="510"/>
      <c r="E388" s="553"/>
      <c r="F388" s="510"/>
      <c r="G388" s="553"/>
      <c r="H388" s="510"/>
      <c r="I388" s="553"/>
      <c r="J388" s="510"/>
      <c r="K388" s="553"/>
      <c r="L388" s="510"/>
      <c r="M388" s="553"/>
      <c r="N388" s="510"/>
      <c r="O388" s="553"/>
      <c r="P388" s="510"/>
      <c r="Q388" s="553"/>
      <c r="R388" s="510"/>
      <c r="S388" s="553"/>
      <c r="T388" s="510"/>
      <c r="U388" s="134"/>
      <c r="V388" s="134"/>
      <c r="W388" s="553"/>
      <c r="X388" s="510"/>
      <c r="Y388" s="553"/>
      <c r="Z388" s="510"/>
      <c r="AA388" s="553"/>
      <c r="AB388" s="510"/>
      <c r="AC388" s="553"/>
      <c r="AD388" s="510"/>
      <c r="AE388" s="553"/>
      <c r="AF388" s="510"/>
      <c r="AG388" s="553"/>
      <c r="AH388" s="510"/>
      <c r="AI388" s="553"/>
      <c r="AJ388" s="510"/>
      <c r="AK388" s="553"/>
      <c r="AL388" s="510"/>
      <c r="AM388" s="553"/>
      <c r="AN388" s="510"/>
      <c r="AO388" s="553"/>
      <c r="AP388" s="510"/>
      <c r="AQ388" s="553"/>
      <c r="AR388" s="510"/>
      <c r="AS388" s="553"/>
      <c r="AT388" s="510"/>
      <c r="AU388" s="553"/>
      <c r="AV388" s="510"/>
      <c r="AW388" s="553"/>
      <c r="AX388" s="510"/>
      <c r="AY388" s="553"/>
      <c r="AZ388" s="510"/>
      <c r="BA388" s="130"/>
      <c r="BB388" s="130"/>
      <c r="BC388" s="130"/>
      <c r="BD388" s="130"/>
      <c r="BE388" s="130"/>
      <c r="BF388" s="130"/>
      <c r="BG388" s="130"/>
      <c r="BH388" s="130"/>
      <c r="BI388" s="130"/>
      <c r="BJ388" s="130"/>
      <c r="BK388" s="130"/>
      <c r="BL388" s="130"/>
      <c r="BM388" s="130"/>
      <c r="BN388" s="130"/>
      <c r="BO388" s="130"/>
      <c r="BP388" s="130"/>
      <c r="BQ388" s="130"/>
      <c r="BR388" s="130"/>
      <c r="BS388" s="130"/>
      <c r="BT388" s="130"/>
    </row>
    <row r="389" spans="1:72" ht="15.75" customHeight="1">
      <c r="A389" s="560" t="s">
        <v>705</v>
      </c>
      <c r="B389" s="93" t="s">
        <v>706</v>
      </c>
      <c r="C389" s="556">
        <v>0</v>
      </c>
      <c r="D389" s="510"/>
      <c r="E389" s="556">
        <v>0</v>
      </c>
      <c r="F389" s="510"/>
      <c r="G389" s="556">
        <v>0</v>
      </c>
      <c r="H389" s="510"/>
      <c r="I389" s="556">
        <v>0</v>
      </c>
      <c r="J389" s="510"/>
      <c r="K389" s="556">
        <v>0</v>
      </c>
      <c r="L389" s="510"/>
      <c r="M389" s="556">
        <v>0</v>
      </c>
      <c r="N389" s="510"/>
      <c r="O389" s="556">
        <v>0</v>
      </c>
      <c r="P389" s="510"/>
      <c r="Q389" s="556">
        <v>0</v>
      </c>
      <c r="R389" s="510"/>
      <c r="S389" s="556">
        <v>0</v>
      </c>
      <c r="T389" s="510"/>
      <c r="U389" s="556">
        <v>0</v>
      </c>
      <c r="V389" s="510"/>
      <c r="W389" s="556">
        <v>0</v>
      </c>
      <c r="X389" s="510"/>
      <c r="Y389" s="556">
        <v>0</v>
      </c>
      <c r="Z389" s="510"/>
      <c r="AA389" s="556">
        <v>0</v>
      </c>
      <c r="AB389" s="510"/>
      <c r="AC389" s="556">
        <v>0</v>
      </c>
      <c r="AD389" s="510"/>
      <c r="AE389" s="556">
        <v>0</v>
      </c>
      <c r="AF389" s="510"/>
      <c r="AG389" s="556">
        <v>0</v>
      </c>
      <c r="AH389" s="510"/>
      <c r="AI389" s="556">
        <v>0</v>
      </c>
      <c r="AJ389" s="510"/>
      <c r="AK389" s="556">
        <v>0</v>
      </c>
      <c r="AL389" s="510"/>
      <c r="AM389" s="556">
        <v>0</v>
      </c>
      <c r="AN389" s="510"/>
      <c r="AO389" s="556">
        <v>0</v>
      </c>
      <c r="AP389" s="510"/>
      <c r="AQ389" s="556">
        <v>0</v>
      </c>
      <c r="AR389" s="510"/>
      <c r="AS389" s="556">
        <v>0</v>
      </c>
      <c r="AT389" s="510"/>
      <c r="AU389" s="556">
        <v>0</v>
      </c>
      <c r="AV389" s="510"/>
      <c r="AW389" s="556">
        <v>0</v>
      </c>
      <c r="AX389" s="510"/>
      <c r="AY389" s="556">
        <v>0</v>
      </c>
      <c r="AZ389" s="510"/>
      <c r="BA389" s="130"/>
      <c r="BB389" s="130"/>
      <c r="BC389" s="130"/>
      <c r="BD389" s="130"/>
      <c r="BE389" s="130"/>
      <c r="BF389" s="130"/>
      <c r="BG389" s="130"/>
      <c r="BH389" s="130"/>
      <c r="BI389" s="130"/>
      <c r="BJ389" s="130"/>
      <c r="BK389" s="130"/>
      <c r="BL389" s="130"/>
      <c r="BM389" s="130"/>
      <c r="BN389" s="130"/>
      <c r="BO389" s="130"/>
      <c r="BP389" s="130"/>
      <c r="BQ389" s="130"/>
      <c r="BR389" s="130"/>
      <c r="BS389" s="130"/>
      <c r="BT389" s="130"/>
    </row>
    <row r="390" spans="1:72" ht="15" customHeight="1">
      <c r="A390" s="524"/>
      <c r="B390" s="140" t="s">
        <v>707</v>
      </c>
      <c r="C390" s="554"/>
      <c r="D390" s="510"/>
      <c r="E390" s="554"/>
      <c r="F390" s="510"/>
      <c r="G390" s="554"/>
      <c r="H390" s="510"/>
      <c r="I390" s="554"/>
      <c r="J390" s="510"/>
      <c r="K390" s="554"/>
      <c r="L390" s="510"/>
      <c r="M390" s="554"/>
      <c r="N390" s="510"/>
      <c r="O390" s="554"/>
      <c r="P390" s="510"/>
      <c r="Q390" s="554"/>
      <c r="R390" s="510"/>
      <c r="S390" s="554"/>
      <c r="T390" s="510"/>
      <c r="U390" s="139"/>
      <c r="V390" s="139"/>
      <c r="W390" s="554"/>
      <c r="X390" s="510"/>
      <c r="Y390" s="554"/>
      <c r="Z390" s="510"/>
      <c r="AA390" s="554"/>
      <c r="AB390" s="510"/>
      <c r="AC390" s="554"/>
      <c r="AD390" s="510"/>
      <c r="AE390" s="554"/>
      <c r="AF390" s="510"/>
      <c r="AG390" s="554"/>
      <c r="AH390" s="510"/>
      <c r="AI390" s="554"/>
      <c r="AJ390" s="510"/>
      <c r="AK390" s="554"/>
      <c r="AL390" s="510"/>
      <c r="AM390" s="554"/>
      <c r="AN390" s="510"/>
      <c r="AO390" s="554"/>
      <c r="AP390" s="510"/>
      <c r="AQ390" s="554"/>
      <c r="AR390" s="510"/>
      <c r="AS390" s="554"/>
      <c r="AT390" s="510"/>
      <c r="AU390" s="554"/>
      <c r="AV390" s="510"/>
      <c r="AW390" s="554"/>
      <c r="AX390" s="510"/>
      <c r="AY390" s="554"/>
      <c r="AZ390" s="510"/>
      <c r="BA390" s="130"/>
      <c r="BB390" s="130"/>
      <c r="BC390" s="130"/>
      <c r="BD390" s="130"/>
      <c r="BE390" s="130"/>
      <c r="BF390" s="130"/>
      <c r="BG390" s="130"/>
      <c r="BH390" s="130"/>
      <c r="BI390" s="130"/>
      <c r="BJ390" s="130"/>
      <c r="BK390" s="130"/>
      <c r="BL390" s="130"/>
      <c r="BM390" s="130"/>
      <c r="BN390" s="130"/>
      <c r="BO390" s="130"/>
      <c r="BP390" s="130"/>
      <c r="BQ390" s="130"/>
      <c r="BR390" s="130"/>
      <c r="BS390" s="130"/>
      <c r="BT390" s="130"/>
    </row>
    <row r="391" spans="1:72" ht="15" customHeight="1">
      <c r="A391" s="525"/>
      <c r="B391" s="135" t="s">
        <v>307</v>
      </c>
      <c r="C391" s="553"/>
      <c r="D391" s="510"/>
      <c r="E391" s="553"/>
      <c r="F391" s="510"/>
      <c r="G391" s="553"/>
      <c r="H391" s="510"/>
      <c r="I391" s="553"/>
      <c r="J391" s="510"/>
      <c r="K391" s="553"/>
      <c r="L391" s="510"/>
      <c r="M391" s="553"/>
      <c r="N391" s="510"/>
      <c r="O391" s="553"/>
      <c r="P391" s="510"/>
      <c r="Q391" s="553"/>
      <c r="R391" s="510"/>
      <c r="S391" s="553"/>
      <c r="T391" s="510"/>
      <c r="U391" s="134"/>
      <c r="V391" s="134"/>
      <c r="W391" s="553"/>
      <c r="X391" s="510"/>
      <c r="Y391" s="553"/>
      <c r="Z391" s="510"/>
      <c r="AA391" s="553"/>
      <c r="AB391" s="510"/>
      <c r="AC391" s="553"/>
      <c r="AD391" s="510"/>
      <c r="AE391" s="553"/>
      <c r="AF391" s="510"/>
      <c r="AG391" s="553"/>
      <c r="AH391" s="510"/>
      <c r="AI391" s="553"/>
      <c r="AJ391" s="510"/>
      <c r="AK391" s="553"/>
      <c r="AL391" s="510"/>
      <c r="AM391" s="553"/>
      <c r="AN391" s="510"/>
      <c r="AO391" s="553"/>
      <c r="AP391" s="510"/>
      <c r="AQ391" s="553"/>
      <c r="AR391" s="510"/>
      <c r="AS391" s="553"/>
      <c r="AT391" s="510"/>
      <c r="AU391" s="553"/>
      <c r="AV391" s="510"/>
      <c r="AW391" s="553"/>
      <c r="AX391" s="510"/>
      <c r="AY391" s="553"/>
      <c r="AZ391" s="510"/>
      <c r="BA391" s="130"/>
      <c r="BB391" s="130"/>
      <c r="BC391" s="130"/>
      <c r="BD391" s="130"/>
      <c r="BE391" s="130"/>
      <c r="BF391" s="130"/>
      <c r="BG391" s="130"/>
      <c r="BH391" s="130"/>
      <c r="BI391" s="130"/>
      <c r="BJ391" s="130"/>
      <c r="BK391" s="130"/>
      <c r="BL391" s="130"/>
      <c r="BM391" s="130"/>
      <c r="BN391" s="130"/>
      <c r="BO391" s="130"/>
      <c r="BP391" s="130"/>
      <c r="BQ391" s="130"/>
      <c r="BR391" s="130"/>
      <c r="BS391" s="130"/>
      <c r="BT391" s="130"/>
    </row>
    <row r="392" spans="1:72" ht="15.75" customHeight="1">
      <c r="A392" s="560" t="s">
        <v>708</v>
      </c>
      <c r="B392" s="93" t="s">
        <v>709</v>
      </c>
      <c r="C392" s="555" t="s">
        <v>710</v>
      </c>
      <c r="D392" s="510"/>
      <c r="E392" s="555" t="s">
        <v>710</v>
      </c>
      <c r="F392" s="510"/>
      <c r="G392" s="555" t="s">
        <v>710</v>
      </c>
      <c r="H392" s="510"/>
      <c r="I392" s="555"/>
      <c r="J392" s="510"/>
      <c r="K392" s="555"/>
      <c r="L392" s="510"/>
      <c r="M392" s="555" t="s">
        <v>710</v>
      </c>
      <c r="N392" s="510"/>
      <c r="O392" s="555" t="s">
        <v>710</v>
      </c>
      <c r="P392" s="510"/>
      <c r="Q392" s="555" t="s">
        <v>710</v>
      </c>
      <c r="R392" s="510"/>
      <c r="S392" s="555"/>
      <c r="T392" s="510"/>
      <c r="U392" s="141"/>
      <c r="V392" s="141"/>
      <c r="W392" s="555" t="s">
        <v>710</v>
      </c>
      <c r="X392" s="510"/>
      <c r="Y392" s="555" t="s">
        <v>710</v>
      </c>
      <c r="Z392" s="510"/>
      <c r="AA392" s="555" t="s">
        <v>710</v>
      </c>
      <c r="AB392" s="510"/>
      <c r="AC392" s="555" t="s">
        <v>710</v>
      </c>
      <c r="AD392" s="510"/>
      <c r="AE392" s="555" t="s">
        <v>710</v>
      </c>
      <c r="AF392" s="510"/>
      <c r="AG392" s="555" t="s">
        <v>710</v>
      </c>
      <c r="AH392" s="510"/>
      <c r="AI392" s="555" t="s">
        <v>710</v>
      </c>
      <c r="AJ392" s="510"/>
      <c r="AK392" s="555" t="s">
        <v>710</v>
      </c>
      <c r="AL392" s="510"/>
      <c r="AM392" s="555" t="s">
        <v>710</v>
      </c>
      <c r="AN392" s="510"/>
      <c r="AO392" s="555" t="s">
        <v>710</v>
      </c>
      <c r="AP392" s="510"/>
      <c r="AQ392" s="555" t="s">
        <v>710</v>
      </c>
      <c r="AR392" s="510"/>
      <c r="AS392" s="555" t="s">
        <v>710</v>
      </c>
      <c r="AT392" s="510"/>
      <c r="AU392" s="556"/>
      <c r="AV392" s="510"/>
      <c r="AW392" s="555" t="s">
        <v>710</v>
      </c>
      <c r="AX392" s="510"/>
      <c r="AY392" s="555" t="s">
        <v>710</v>
      </c>
      <c r="AZ392" s="510"/>
      <c r="BA392" s="130"/>
      <c r="BB392" s="130"/>
      <c r="BC392" s="130"/>
      <c r="BD392" s="130"/>
      <c r="BE392" s="130"/>
      <c r="BF392" s="130"/>
      <c r="BG392" s="130"/>
      <c r="BH392" s="130"/>
      <c r="BI392" s="130"/>
      <c r="BJ392" s="130"/>
      <c r="BK392" s="130"/>
      <c r="BL392" s="130"/>
      <c r="BM392" s="130"/>
      <c r="BN392" s="130"/>
      <c r="BO392" s="130"/>
      <c r="BP392" s="130"/>
      <c r="BQ392" s="130"/>
      <c r="BR392" s="130"/>
      <c r="BS392" s="130"/>
      <c r="BT392" s="130"/>
    </row>
    <row r="393" spans="1:72" ht="15" customHeight="1">
      <c r="A393" s="524"/>
      <c r="B393" s="140" t="s">
        <v>711</v>
      </c>
      <c r="C393" s="554"/>
      <c r="D393" s="510"/>
      <c r="E393" s="554"/>
      <c r="F393" s="510"/>
      <c r="G393" s="554"/>
      <c r="H393" s="510"/>
      <c r="I393" s="554"/>
      <c r="J393" s="510"/>
      <c r="K393" s="554"/>
      <c r="L393" s="510"/>
      <c r="M393" s="554"/>
      <c r="N393" s="510"/>
      <c r="O393" s="554"/>
      <c r="P393" s="510"/>
      <c r="Q393" s="554"/>
      <c r="R393" s="510"/>
      <c r="S393" s="554"/>
      <c r="T393" s="510"/>
      <c r="U393" s="139"/>
      <c r="V393" s="139"/>
      <c r="W393" s="554"/>
      <c r="X393" s="510"/>
      <c r="Y393" s="554"/>
      <c r="Z393" s="510"/>
      <c r="AA393" s="554"/>
      <c r="AB393" s="510"/>
      <c r="AC393" s="554"/>
      <c r="AD393" s="510"/>
      <c r="AE393" s="554"/>
      <c r="AF393" s="510"/>
      <c r="AG393" s="554"/>
      <c r="AH393" s="510"/>
      <c r="AI393" s="554"/>
      <c r="AJ393" s="510"/>
      <c r="AK393" s="554"/>
      <c r="AL393" s="510"/>
      <c r="AM393" s="554"/>
      <c r="AN393" s="510"/>
      <c r="AO393" s="554"/>
      <c r="AP393" s="510"/>
      <c r="AQ393" s="554"/>
      <c r="AR393" s="510"/>
      <c r="AS393" s="554"/>
      <c r="AT393" s="510"/>
      <c r="AU393" s="554"/>
      <c r="AV393" s="510"/>
      <c r="AW393" s="554"/>
      <c r="AX393" s="510"/>
      <c r="AY393" s="554"/>
      <c r="AZ393" s="510"/>
      <c r="BA393" s="130"/>
      <c r="BB393" s="130"/>
      <c r="BC393" s="130"/>
      <c r="BD393" s="130"/>
      <c r="BE393" s="130"/>
      <c r="BF393" s="130"/>
      <c r="BG393" s="130"/>
      <c r="BH393" s="130"/>
      <c r="BI393" s="130"/>
      <c r="BJ393" s="130"/>
      <c r="BK393" s="130"/>
      <c r="BL393" s="130"/>
      <c r="BM393" s="130"/>
      <c r="BN393" s="130"/>
      <c r="BO393" s="130"/>
      <c r="BP393" s="130"/>
      <c r="BQ393" s="130"/>
      <c r="BR393" s="130"/>
      <c r="BS393" s="130"/>
      <c r="BT393" s="130"/>
    </row>
    <row r="394" spans="1:72" ht="15" customHeight="1">
      <c r="A394" s="525"/>
      <c r="B394" s="135" t="s">
        <v>307</v>
      </c>
      <c r="C394" s="553"/>
      <c r="D394" s="510"/>
      <c r="E394" s="553"/>
      <c r="F394" s="510"/>
      <c r="G394" s="553"/>
      <c r="H394" s="510"/>
      <c r="I394" s="553"/>
      <c r="J394" s="510"/>
      <c r="K394" s="553"/>
      <c r="L394" s="510"/>
      <c r="M394" s="553"/>
      <c r="N394" s="510"/>
      <c r="O394" s="553"/>
      <c r="P394" s="510"/>
      <c r="Q394" s="553"/>
      <c r="R394" s="510"/>
      <c r="S394" s="553"/>
      <c r="T394" s="510"/>
      <c r="U394" s="134"/>
      <c r="V394" s="134"/>
      <c r="W394" s="553"/>
      <c r="X394" s="510"/>
      <c r="Y394" s="553"/>
      <c r="Z394" s="510"/>
      <c r="AA394" s="553"/>
      <c r="AB394" s="510"/>
      <c r="AC394" s="553"/>
      <c r="AD394" s="510"/>
      <c r="AE394" s="553"/>
      <c r="AF394" s="510"/>
      <c r="AG394" s="553"/>
      <c r="AH394" s="510"/>
      <c r="AI394" s="553"/>
      <c r="AJ394" s="510"/>
      <c r="AK394" s="553"/>
      <c r="AL394" s="510"/>
      <c r="AM394" s="553"/>
      <c r="AN394" s="510"/>
      <c r="AO394" s="553"/>
      <c r="AP394" s="510"/>
      <c r="AQ394" s="553"/>
      <c r="AR394" s="510"/>
      <c r="AS394" s="553"/>
      <c r="AT394" s="510"/>
      <c r="AU394" s="553"/>
      <c r="AV394" s="510"/>
      <c r="AW394" s="553"/>
      <c r="AX394" s="510"/>
      <c r="AY394" s="553"/>
      <c r="AZ394" s="510"/>
      <c r="BA394" s="130"/>
      <c r="BB394" s="130"/>
      <c r="BC394" s="130"/>
      <c r="BD394" s="130"/>
      <c r="BE394" s="130"/>
      <c r="BF394" s="130"/>
      <c r="BG394" s="130"/>
      <c r="BH394" s="130"/>
      <c r="BI394" s="130"/>
      <c r="BJ394" s="130"/>
      <c r="BK394" s="130"/>
      <c r="BL394" s="130"/>
      <c r="BM394" s="130"/>
      <c r="BN394" s="130"/>
      <c r="BO394" s="130"/>
      <c r="BP394" s="130"/>
      <c r="BQ394" s="130"/>
      <c r="BR394" s="130"/>
      <c r="BS394" s="130"/>
      <c r="BT394" s="130"/>
    </row>
    <row r="395" spans="1:72" ht="15.75" customHeight="1">
      <c r="A395" s="560" t="s">
        <v>712</v>
      </c>
      <c r="B395" s="93" t="s">
        <v>713</v>
      </c>
      <c r="C395" s="555">
        <v>1</v>
      </c>
      <c r="D395" s="510"/>
      <c r="E395" s="555">
        <v>1</v>
      </c>
      <c r="F395" s="510"/>
      <c r="G395" s="555">
        <v>1</v>
      </c>
      <c r="H395" s="510"/>
      <c r="I395" s="555">
        <v>1</v>
      </c>
      <c r="J395" s="510"/>
      <c r="K395" s="555">
        <v>1</v>
      </c>
      <c r="L395" s="510"/>
      <c r="M395" s="555">
        <v>1</v>
      </c>
      <c r="N395" s="510"/>
      <c r="O395" s="555">
        <v>1</v>
      </c>
      <c r="P395" s="510"/>
      <c r="Q395" s="555">
        <v>1</v>
      </c>
      <c r="R395" s="510"/>
      <c r="S395" s="555">
        <v>1</v>
      </c>
      <c r="T395" s="510"/>
      <c r="U395" s="555">
        <v>1</v>
      </c>
      <c r="V395" s="510"/>
      <c r="W395" s="555">
        <v>1</v>
      </c>
      <c r="X395" s="510"/>
      <c r="Y395" s="555">
        <v>1</v>
      </c>
      <c r="Z395" s="510"/>
      <c r="AA395" s="555">
        <v>1</v>
      </c>
      <c r="AB395" s="510"/>
      <c r="AC395" s="555">
        <v>1</v>
      </c>
      <c r="AD395" s="510"/>
      <c r="AE395" s="555">
        <v>1</v>
      </c>
      <c r="AF395" s="510"/>
      <c r="AG395" s="555">
        <v>1</v>
      </c>
      <c r="AH395" s="510"/>
      <c r="AI395" s="555">
        <v>1</v>
      </c>
      <c r="AJ395" s="510"/>
      <c r="AK395" s="555">
        <v>1</v>
      </c>
      <c r="AL395" s="510"/>
      <c r="AM395" s="555">
        <v>1</v>
      </c>
      <c r="AN395" s="510"/>
      <c r="AO395" s="555">
        <v>1</v>
      </c>
      <c r="AP395" s="510"/>
      <c r="AQ395" s="555">
        <v>1</v>
      </c>
      <c r="AR395" s="510"/>
      <c r="AS395" s="555">
        <v>1</v>
      </c>
      <c r="AT395" s="510"/>
      <c r="AU395" s="555">
        <v>1</v>
      </c>
      <c r="AV395" s="510"/>
      <c r="AW395" s="555">
        <v>1</v>
      </c>
      <c r="AX395" s="510"/>
      <c r="AY395" s="555">
        <v>1</v>
      </c>
      <c r="AZ395" s="510"/>
      <c r="BA395" s="130"/>
      <c r="BB395" s="130"/>
      <c r="BC395" s="130"/>
      <c r="BD395" s="130"/>
      <c r="BE395" s="130"/>
      <c r="BF395" s="130"/>
      <c r="BG395" s="130"/>
      <c r="BH395" s="130"/>
      <c r="BI395" s="130"/>
      <c r="BJ395" s="130"/>
      <c r="BK395" s="130"/>
      <c r="BL395" s="130"/>
      <c r="BM395" s="130"/>
      <c r="BN395" s="130"/>
      <c r="BO395" s="130"/>
      <c r="BP395" s="130"/>
      <c r="BQ395" s="130"/>
      <c r="BR395" s="130"/>
      <c r="BS395" s="130"/>
      <c r="BT395" s="130"/>
    </row>
    <row r="396" spans="1:72" ht="15" customHeight="1">
      <c r="A396" s="524"/>
      <c r="B396" s="140" t="s">
        <v>714</v>
      </c>
      <c r="C396" s="554"/>
      <c r="D396" s="510"/>
      <c r="E396" s="554"/>
      <c r="F396" s="510"/>
      <c r="G396" s="554"/>
      <c r="H396" s="510"/>
      <c r="I396" s="554"/>
      <c r="J396" s="510"/>
      <c r="K396" s="554"/>
      <c r="L396" s="510"/>
      <c r="M396" s="554"/>
      <c r="N396" s="510"/>
      <c r="O396" s="610"/>
      <c r="P396" s="510"/>
      <c r="Q396" s="554"/>
      <c r="R396" s="510"/>
      <c r="S396" s="554"/>
      <c r="T396" s="510"/>
      <c r="U396" s="139"/>
      <c r="V396" s="139"/>
      <c r="W396" s="554"/>
      <c r="X396" s="510"/>
      <c r="Y396" s="554"/>
      <c r="Z396" s="510"/>
      <c r="AA396" s="554"/>
      <c r="AB396" s="510"/>
      <c r="AC396" s="554"/>
      <c r="AD396" s="510"/>
      <c r="AE396" s="554"/>
      <c r="AF396" s="510"/>
      <c r="AG396" s="554"/>
      <c r="AH396" s="510"/>
      <c r="AI396" s="554"/>
      <c r="AJ396" s="510"/>
      <c r="AK396" s="554"/>
      <c r="AL396" s="510"/>
      <c r="AM396" s="554"/>
      <c r="AN396" s="510"/>
      <c r="AO396" s="554"/>
      <c r="AP396" s="510"/>
      <c r="AQ396" s="554"/>
      <c r="AR396" s="510"/>
      <c r="AS396" s="554"/>
      <c r="AT396" s="510"/>
      <c r="AU396" s="554"/>
      <c r="AV396" s="510"/>
      <c r="AW396" s="554"/>
      <c r="AX396" s="510"/>
      <c r="AY396" s="554"/>
      <c r="AZ396" s="510"/>
      <c r="BA396" s="130"/>
      <c r="BB396" s="130"/>
      <c r="BC396" s="130"/>
      <c r="BD396" s="130"/>
      <c r="BE396" s="130"/>
      <c r="BF396" s="130"/>
      <c r="BG396" s="130"/>
      <c r="BH396" s="130"/>
      <c r="BI396" s="130"/>
      <c r="BJ396" s="130"/>
      <c r="BK396" s="130"/>
      <c r="BL396" s="130"/>
      <c r="BM396" s="130"/>
      <c r="BN396" s="130"/>
      <c r="BO396" s="130"/>
      <c r="BP396" s="130"/>
      <c r="BQ396" s="130"/>
      <c r="BR396" s="130"/>
      <c r="BS396" s="130"/>
      <c r="BT396" s="130"/>
    </row>
    <row r="397" spans="1:72" ht="15" customHeight="1">
      <c r="A397" s="525"/>
      <c r="B397" s="135" t="s">
        <v>307</v>
      </c>
      <c r="C397" s="553"/>
      <c r="D397" s="510"/>
      <c r="E397" s="553"/>
      <c r="F397" s="510"/>
      <c r="G397" s="553"/>
      <c r="H397" s="510"/>
      <c r="I397" s="553"/>
      <c r="J397" s="510"/>
      <c r="K397" s="553"/>
      <c r="L397" s="510"/>
      <c r="M397" s="553"/>
      <c r="N397" s="510"/>
      <c r="O397" s="553"/>
      <c r="P397" s="510"/>
      <c r="Q397" s="553"/>
      <c r="R397" s="510"/>
      <c r="S397" s="553"/>
      <c r="T397" s="510"/>
      <c r="U397" s="134"/>
      <c r="V397" s="134"/>
      <c r="W397" s="553"/>
      <c r="X397" s="510"/>
      <c r="Y397" s="553"/>
      <c r="Z397" s="510"/>
      <c r="AA397" s="553"/>
      <c r="AB397" s="510"/>
      <c r="AC397" s="553"/>
      <c r="AD397" s="510"/>
      <c r="AE397" s="553"/>
      <c r="AF397" s="510"/>
      <c r="AG397" s="553"/>
      <c r="AH397" s="510"/>
      <c r="AI397" s="553"/>
      <c r="AJ397" s="510"/>
      <c r="AK397" s="553"/>
      <c r="AL397" s="510"/>
      <c r="AM397" s="553"/>
      <c r="AN397" s="510"/>
      <c r="AO397" s="553"/>
      <c r="AP397" s="510"/>
      <c r="AQ397" s="553"/>
      <c r="AR397" s="510"/>
      <c r="AS397" s="553"/>
      <c r="AT397" s="510"/>
      <c r="AU397" s="553"/>
      <c r="AV397" s="510"/>
      <c r="AW397" s="553"/>
      <c r="AX397" s="510"/>
      <c r="AY397" s="553"/>
      <c r="AZ397" s="510"/>
      <c r="BA397" s="130"/>
      <c r="BB397" s="130"/>
      <c r="BC397" s="130"/>
      <c r="BD397" s="130"/>
      <c r="BE397" s="130"/>
      <c r="BF397" s="130"/>
      <c r="BG397" s="130"/>
      <c r="BH397" s="130"/>
      <c r="BI397" s="130"/>
      <c r="BJ397" s="130"/>
      <c r="BK397" s="130"/>
      <c r="BL397" s="130"/>
      <c r="BM397" s="130"/>
      <c r="BN397" s="130"/>
      <c r="BO397" s="130"/>
      <c r="BP397" s="130"/>
      <c r="BQ397" s="130"/>
      <c r="BR397" s="130"/>
      <c r="BS397" s="130"/>
      <c r="BT397" s="130"/>
    </row>
    <row r="398" spans="1:72" ht="15" customHeight="1">
      <c r="A398" s="561">
        <v>7</v>
      </c>
      <c r="B398" s="562" t="s">
        <v>715</v>
      </c>
      <c r="C398" s="558">
        <v>1</v>
      </c>
      <c r="D398" s="510"/>
      <c r="E398" s="558">
        <v>2</v>
      </c>
      <c r="F398" s="510"/>
      <c r="G398" s="558">
        <v>3</v>
      </c>
      <c r="H398" s="510"/>
      <c r="I398" s="558">
        <v>4</v>
      </c>
      <c r="J398" s="510"/>
      <c r="K398" s="558">
        <v>5</v>
      </c>
      <c r="L398" s="510"/>
      <c r="M398" s="558">
        <v>6</v>
      </c>
      <c r="N398" s="510"/>
      <c r="O398" s="558">
        <v>7</v>
      </c>
      <c r="P398" s="510"/>
      <c r="Q398" s="558">
        <v>8</v>
      </c>
      <c r="R398" s="510"/>
      <c r="S398" s="558">
        <v>9</v>
      </c>
      <c r="T398" s="510"/>
      <c r="U398" s="558">
        <v>10</v>
      </c>
      <c r="V398" s="510"/>
      <c r="W398" s="558">
        <v>11</v>
      </c>
      <c r="X398" s="510"/>
      <c r="Y398" s="558">
        <v>12</v>
      </c>
      <c r="Z398" s="510"/>
      <c r="AA398" s="558">
        <v>13</v>
      </c>
      <c r="AB398" s="510"/>
      <c r="AC398" s="558">
        <v>14</v>
      </c>
      <c r="AD398" s="510"/>
      <c r="AE398" s="558">
        <v>15</v>
      </c>
      <c r="AF398" s="510"/>
      <c r="AG398" s="558">
        <v>16</v>
      </c>
      <c r="AH398" s="510"/>
      <c r="AI398" s="558">
        <v>17</v>
      </c>
      <c r="AJ398" s="510"/>
      <c r="AK398" s="558">
        <v>18</v>
      </c>
      <c r="AL398" s="510"/>
      <c r="AM398" s="558">
        <v>19</v>
      </c>
      <c r="AN398" s="510"/>
      <c r="AO398" s="558">
        <v>20</v>
      </c>
      <c r="AP398" s="510"/>
      <c r="AQ398" s="558">
        <v>21</v>
      </c>
      <c r="AR398" s="510"/>
      <c r="AS398" s="558">
        <v>22</v>
      </c>
      <c r="AT398" s="510"/>
      <c r="AU398" s="558">
        <v>23</v>
      </c>
      <c r="AV398" s="510"/>
      <c r="AW398" s="558">
        <v>24</v>
      </c>
      <c r="AX398" s="510"/>
      <c r="AY398" s="558">
        <v>25</v>
      </c>
      <c r="AZ398" s="510"/>
      <c r="BA398" s="130"/>
      <c r="BB398" s="130"/>
      <c r="BC398" s="130"/>
      <c r="BD398" s="130"/>
      <c r="BE398" s="130"/>
      <c r="BF398" s="130"/>
      <c r="BG398" s="130"/>
      <c r="BH398" s="130"/>
      <c r="BI398" s="130"/>
      <c r="BJ398" s="130"/>
      <c r="BK398" s="130"/>
      <c r="BL398" s="130"/>
      <c r="BM398" s="130"/>
      <c r="BN398" s="130"/>
      <c r="BO398" s="130"/>
      <c r="BP398" s="130"/>
      <c r="BQ398" s="130"/>
      <c r="BR398" s="130"/>
      <c r="BS398" s="130"/>
      <c r="BT398" s="130"/>
    </row>
    <row r="399" spans="1:72" ht="15.75" customHeight="1">
      <c r="A399" s="525"/>
      <c r="B399" s="525"/>
      <c r="C399" s="116" t="s">
        <v>300</v>
      </c>
      <c r="D399" s="116" t="s">
        <v>301</v>
      </c>
      <c r="E399" s="116" t="s">
        <v>300</v>
      </c>
      <c r="F399" s="116" t="s">
        <v>301</v>
      </c>
      <c r="G399" s="116" t="s">
        <v>300</v>
      </c>
      <c r="H399" s="116" t="s">
        <v>301</v>
      </c>
      <c r="I399" s="116" t="s">
        <v>300</v>
      </c>
      <c r="J399" s="116" t="s">
        <v>301</v>
      </c>
      <c r="K399" s="116" t="s">
        <v>300</v>
      </c>
      <c r="L399" s="116" t="s">
        <v>301</v>
      </c>
      <c r="M399" s="116" t="s">
        <v>300</v>
      </c>
      <c r="N399" s="116" t="s">
        <v>301</v>
      </c>
      <c r="O399" s="116" t="s">
        <v>300</v>
      </c>
      <c r="P399" s="116" t="s">
        <v>301</v>
      </c>
      <c r="Q399" s="116" t="s">
        <v>300</v>
      </c>
      <c r="R399" s="116" t="s">
        <v>301</v>
      </c>
      <c r="S399" s="116" t="s">
        <v>300</v>
      </c>
      <c r="T399" s="116" t="s">
        <v>301</v>
      </c>
      <c r="U399" s="116" t="s">
        <v>300</v>
      </c>
      <c r="V399" s="116" t="s">
        <v>301</v>
      </c>
      <c r="W399" s="116" t="s">
        <v>300</v>
      </c>
      <c r="X399" s="116" t="s">
        <v>301</v>
      </c>
      <c r="Y399" s="116" t="s">
        <v>300</v>
      </c>
      <c r="Z399" s="116" t="s">
        <v>301</v>
      </c>
      <c r="AA399" s="116" t="s">
        <v>300</v>
      </c>
      <c r="AB399" s="116" t="s">
        <v>301</v>
      </c>
      <c r="AC399" s="116" t="s">
        <v>300</v>
      </c>
      <c r="AD399" s="116" t="s">
        <v>301</v>
      </c>
      <c r="AE399" s="116" t="s">
        <v>300</v>
      </c>
      <c r="AF399" s="116" t="s">
        <v>301</v>
      </c>
      <c r="AG399" s="116" t="s">
        <v>300</v>
      </c>
      <c r="AH399" s="116" t="s">
        <v>301</v>
      </c>
      <c r="AI399" s="116" t="s">
        <v>300</v>
      </c>
      <c r="AJ399" s="116" t="s">
        <v>301</v>
      </c>
      <c r="AK399" s="116" t="s">
        <v>300</v>
      </c>
      <c r="AL399" s="116" t="s">
        <v>301</v>
      </c>
      <c r="AM399" s="116" t="s">
        <v>300</v>
      </c>
      <c r="AN399" s="116" t="s">
        <v>301</v>
      </c>
      <c r="AO399" s="116" t="s">
        <v>300</v>
      </c>
      <c r="AP399" s="116" t="s">
        <v>301</v>
      </c>
      <c r="AQ399" s="116" t="s">
        <v>300</v>
      </c>
      <c r="AR399" s="116" t="s">
        <v>301</v>
      </c>
      <c r="AS399" s="116" t="s">
        <v>300</v>
      </c>
      <c r="AT399" s="116" t="s">
        <v>301</v>
      </c>
      <c r="AU399" s="116" t="s">
        <v>300</v>
      </c>
      <c r="AV399" s="116" t="s">
        <v>301</v>
      </c>
      <c r="AW399" s="116" t="s">
        <v>300</v>
      </c>
      <c r="AX399" s="116" t="s">
        <v>301</v>
      </c>
      <c r="AY399" s="116" t="s">
        <v>300</v>
      </c>
      <c r="AZ399" s="116" t="s">
        <v>301</v>
      </c>
      <c r="BA399" s="130"/>
      <c r="BB399" s="130"/>
      <c r="BC399" s="130"/>
      <c r="BD399" s="130"/>
      <c r="BE399" s="130"/>
      <c r="BF399" s="130"/>
      <c r="BG399" s="130"/>
      <c r="BH399" s="130"/>
      <c r="BI399" s="130"/>
      <c r="BJ399" s="130"/>
      <c r="BK399" s="130"/>
      <c r="BL399" s="130"/>
      <c r="BM399" s="130"/>
      <c r="BN399" s="130"/>
      <c r="BO399" s="130"/>
      <c r="BP399" s="130"/>
      <c r="BQ399" s="130"/>
      <c r="BR399" s="130"/>
      <c r="BS399" s="130"/>
      <c r="BT399" s="130"/>
    </row>
    <row r="400" spans="1:72" ht="15.75" customHeight="1">
      <c r="A400" s="560" t="s">
        <v>716</v>
      </c>
      <c r="B400" s="93" t="s">
        <v>717</v>
      </c>
      <c r="C400" s="555">
        <v>0</v>
      </c>
      <c r="D400" s="510"/>
      <c r="E400" s="555">
        <v>0</v>
      </c>
      <c r="F400" s="510"/>
      <c r="G400" s="555">
        <v>0</v>
      </c>
      <c r="H400" s="510"/>
      <c r="I400" s="555">
        <v>0</v>
      </c>
      <c r="J400" s="510"/>
      <c r="K400" s="555">
        <v>0</v>
      </c>
      <c r="L400" s="510"/>
      <c r="M400" s="555">
        <v>0</v>
      </c>
      <c r="N400" s="510"/>
      <c r="O400" s="555">
        <v>0</v>
      </c>
      <c r="P400" s="510"/>
      <c r="Q400" s="555">
        <v>0</v>
      </c>
      <c r="R400" s="510"/>
      <c r="S400" s="555">
        <v>0</v>
      </c>
      <c r="T400" s="510"/>
      <c r="U400" s="555">
        <v>0</v>
      </c>
      <c r="V400" s="510"/>
      <c r="W400" s="555">
        <v>0</v>
      </c>
      <c r="X400" s="510"/>
      <c r="Y400" s="555">
        <v>0</v>
      </c>
      <c r="Z400" s="510"/>
      <c r="AA400" s="555">
        <v>0</v>
      </c>
      <c r="AB400" s="510"/>
      <c r="AC400" s="555">
        <v>0</v>
      </c>
      <c r="AD400" s="510"/>
      <c r="AE400" s="555">
        <v>0</v>
      </c>
      <c r="AF400" s="510"/>
      <c r="AG400" s="555">
        <v>0</v>
      </c>
      <c r="AH400" s="510"/>
      <c r="AI400" s="555">
        <v>0</v>
      </c>
      <c r="AJ400" s="510"/>
      <c r="AK400" s="555">
        <v>0</v>
      </c>
      <c r="AL400" s="510"/>
      <c r="AM400" s="555">
        <v>0</v>
      </c>
      <c r="AN400" s="510"/>
      <c r="AO400" s="555">
        <v>0</v>
      </c>
      <c r="AP400" s="510"/>
      <c r="AQ400" s="555">
        <v>0</v>
      </c>
      <c r="AR400" s="510"/>
      <c r="AS400" s="555">
        <v>0</v>
      </c>
      <c r="AT400" s="510"/>
      <c r="AU400" s="555">
        <v>0</v>
      </c>
      <c r="AV400" s="510"/>
      <c r="AW400" s="555">
        <v>0</v>
      </c>
      <c r="AX400" s="510"/>
      <c r="AY400" s="555">
        <v>0</v>
      </c>
      <c r="AZ400" s="510"/>
      <c r="BA400" s="130"/>
      <c r="BB400" s="130"/>
      <c r="BC400" s="130"/>
      <c r="BD400" s="130"/>
      <c r="BE400" s="130"/>
      <c r="BF400" s="130"/>
      <c r="BG400" s="130"/>
      <c r="BH400" s="130"/>
      <c r="BI400" s="130"/>
      <c r="BJ400" s="130"/>
      <c r="BK400" s="130"/>
      <c r="BL400" s="130"/>
      <c r="BM400" s="130"/>
      <c r="BN400" s="130"/>
      <c r="BO400" s="130"/>
      <c r="BP400" s="130"/>
      <c r="BQ400" s="130"/>
      <c r="BR400" s="130"/>
      <c r="BS400" s="130"/>
      <c r="BT400" s="130"/>
    </row>
    <row r="401" spans="1:72" ht="15" customHeight="1">
      <c r="A401" s="524"/>
      <c r="B401" s="140" t="s">
        <v>718</v>
      </c>
      <c r="C401" s="554"/>
      <c r="D401" s="510"/>
      <c r="E401" s="554"/>
      <c r="F401" s="510"/>
      <c r="G401" s="554"/>
      <c r="H401" s="510"/>
      <c r="I401" s="554"/>
      <c r="J401" s="510"/>
      <c r="K401" s="554"/>
      <c r="L401" s="510"/>
      <c r="M401" s="554"/>
      <c r="N401" s="510"/>
      <c r="O401" s="554"/>
      <c r="P401" s="510"/>
      <c r="Q401" s="554"/>
      <c r="R401" s="510"/>
      <c r="S401" s="554"/>
      <c r="T401" s="510"/>
      <c r="U401" s="554"/>
      <c r="V401" s="510"/>
      <c r="W401" s="554"/>
      <c r="X401" s="510"/>
      <c r="Y401" s="554"/>
      <c r="Z401" s="510"/>
      <c r="AA401" s="554"/>
      <c r="AB401" s="510"/>
      <c r="AC401" s="554"/>
      <c r="AD401" s="510"/>
      <c r="AE401" s="554"/>
      <c r="AF401" s="510"/>
      <c r="AG401" s="554"/>
      <c r="AH401" s="510"/>
      <c r="AI401" s="554"/>
      <c r="AJ401" s="510"/>
      <c r="AK401" s="554"/>
      <c r="AL401" s="510"/>
      <c r="AM401" s="554"/>
      <c r="AN401" s="510"/>
      <c r="AO401" s="554"/>
      <c r="AP401" s="510"/>
      <c r="AQ401" s="554"/>
      <c r="AR401" s="510"/>
      <c r="AS401" s="554"/>
      <c r="AT401" s="510"/>
      <c r="AU401" s="554"/>
      <c r="AV401" s="510"/>
      <c r="AW401" s="554"/>
      <c r="AX401" s="510"/>
      <c r="AY401" s="554"/>
      <c r="AZ401" s="510"/>
      <c r="BA401" s="130"/>
      <c r="BB401" s="130"/>
      <c r="BC401" s="130"/>
      <c r="BD401" s="130"/>
      <c r="BE401" s="130"/>
      <c r="BF401" s="130"/>
      <c r="BG401" s="130"/>
      <c r="BH401" s="130"/>
      <c r="BI401" s="130"/>
      <c r="BJ401" s="130"/>
      <c r="BK401" s="130"/>
      <c r="BL401" s="130"/>
      <c r="BM401" s="130"/>
      <c r="BN401" s="130"/>
      <c r="BO401" s="130"/>
      <c r="BP401" s="130"/>
      <c r="BQ401" s="130"/>
      <c r="BR401" s="130"/>
      <c r="BS401" s="130"/>
      <c r="BT401" s="130"/>
    </row>
    <row r="402" spans="1:72" ht="15" customHeight="1">
      <c r="A402" s="525"/>
      <c r="B402" s="135" t="s">
        <v>307</v>
      </c>
      <c r="C402" s="553"/>
      <c r="D402" s="510"/>
      <c r="E402" s="553"/>
      <c r="F402" s="510"/>
      <c r="G402" s="553"/>
      <c r="H402" s="510"/>
      <c r="I402" s="553"/>
      <c r="J402" s="510"/>
      <c r="K402" s="553"/>
      <c r="L402" s="510"/>
      <c r="M402" s="553"/>
      <c r="N402" s="510"/>
      <c r="O402" s="553"/>
      <c r="P402" s="510"/>
      <c r="Q402" s="553"/>
      <c r="R402" s="510"/>
      <c r="S402" s="553"/>
      <c r="T402" s="510"/>
      <c r="U402" s="553"/>
      <c r="V402" s="510"/>
      <c r="W402" s="553"/>
      <c r="X402" s="510"/>
      <c r="Y402" s="553"/>
      <c r="Z402" s="510"/>
      <c r="AA402" s="553"/>
      <c r="AB402" s="510"/>
      <c r="AC402" s="553"/>
      <c r="AD402" s="510"/>
      <c r="AE402" s="553"/>
      <c r="AF402" s="510"/>
      <c r="AG402" s="553"/>
      <c r="AH402" s="510"/>
      <c r="AI402" s="553"/>
      <c r="AJ402" s="510"/>
      <c r="AK402" s="553"/>
      <c r="AL402" s="510"/>
      <c r="AM402" s="553"/>
      <c r="AN402" s="510"/>
      <c r="AO402" s="553"/>
      <c r="AP402" s="510"/>
      <c r="AQ402" s="553"/>
      <c r="AR402" s="510"/>
      <c r="AS402" s="553"/>
      <c r="AT402" s="510"/>
      <c r="AU402" s="553"/>
      <c r="AV402" s="510"/>
      <c r="AW402" s="553"/>
      <c r="AX402" s="510"/>
      <c r="AY402" s="553"/>
      <c r="AZ402" s="510"/>
      <c r="BA402" s="130"/>
      <c r="BB402" s="130"/>
      <c r="BC402" s="130"/>
      <c r="BD402" s="130"/>
      <c r="BE402" s="130"/>
      <c r="BF402" s="130"/>
      <c r="BG402" s="130"/>
      <c r="BH402" s="130"/>
      <c r="BI402" s="130"/>
      <c r="BJ402" s="130"/>
      <c r="BK402" s="130"/>
      <c r="BL402" s="130"/>
      <c r="BM402" s="130"/>
      <c r="BN402" s="130"/>
      <c r="BO402" s="130"/>
      <c r="BP402" s="130"/>
      <c r="BQ402" s="130"/>
      <c r="BR402" s="130"/>
      <c r="BS402" s="130"/>
      <c r="BT402" s="130"/>
    </row>
    <row r="403" spans="1:72" ht="15.75" customHeight="1">
      <c r="A403" s="560" t="s">
        <v>719</v>
      </c>
      <c r="B403" s="93" t="s">
        <v>720</v>
      </c>
      <c r="C403" s="556">
        <v>1</v>
      </c>
      <c r="D403" s="510"/>
      <c r="E403" s="556">
        <v>1</v>
      </c>
      <c r="F403" s="510"/>
      <c r="G403" s="556">
        <v>1</v>
      </c>
      <c r="H403" s="510"/>
      <c r="I403" s="556">
        <v>1</v>
      </c>
      <c r="J403" s="510"/>
      <c r="K403" s="556">
        <v>1</v>
      </c>
      <c r="L403" s="510"/>
      <c r="M403" s="556">
        <v>1</v>
      </c>
      <c r="N403" s="510"/>
      <c r="O403" s="556">
        <v>1</v>
      </c>
      <c r="P403" s="510"/>
      <c r="Q403" s="556">
        <v>1</v>
      </c>
      <c r="R403" s="510"/>
      <c r="S403" s="556">
        <v>1</v>
      </c>
      <c r="T403" s="510"/>
      <c r="U403" s="556">
        <v>1</v>
      </c>
      <c r="V403" s="510"/>
      <c r="W403" s="556">
        <v>1</v>
      </c>
      <c r="X403" s="510"/>
      <c r="Y403" s="556">
        <v>1</v>
      </c>
      <c r="Z403" s="510"/>
      <c r="AA403" s="556">
        <v>1</v>
      </c>
      <c r="AB403" s="510"/>
      <c r="AC403" s="556">
        <v>1</v>
      </c>
      <c r="AD403" s="510"/>
      <c r="AE403" s="556">
        <v>1</v>
      </c>
      <c r="AF403" s="510"/>
      <c r="AG403" s="556">
        <v>1</v>
      </c>
      <c r="AH403" s="510"/>
      <c r="AI403" s="556">
        <v>1</v>
      </c>
      <c r="AJ403" s="510"/>
      <c r="AK403" s="556">
        <v>1</v>
      </c>
      <c r="AL403" s="510"/>
      <c r="AM403" s="556">
        <v>1</v>
      </c>
      <c r="AN403" s="510"/>
      <c r="AO403" s="556">
        <v>1</v>
      </c>
      <c r="AP403" s="510"/>
      <c r="AQ403" s="556">
        <v>1</v>
      </c>
      <c r="AR403" s="510"/>
      <c r="AS403" s="556">
        <v>1</v>
      </c>
      <c r="AT403" s="510"/>
      <c r="AU403" s="556">
        <v>1</v>
      </c>
      <c r="AV403" s="510"/>
      <c r="AW403" s="556">
        <v>1</v>
      </c>
      <c r="AX403" s="510"/>
      <c r="AY403" s="556">
        <v>1</v>
      </c>
      <c r="AZ403" s="510"/>
      <c r="BA403" s="130"/>
      <c r="BB403" s="130"/>
      <c r="BC403" s="130"/>
      <c r="BD403" s="130"/>
      <c r="BE403" s="130"/>
      <c r="BF403" s="130"/>
      <c r="BG403" s="130"/>
      <c r="BH403" s="130"/>
      <c r="BI403" s="130"/>
      <c r="BJ403" s="130"/>
      <c r="BK403" s="130"/>
      <c r="BL403" s="130"/>
      <c r="BM403" s="130"/>
      <c r="BN403" s="130"/>
      <c r="BO403" s="130"/>
      <c r="BP403" s="130"/>
      <c r="BQ403" s="130"/>
      <c r="BR403" s="130"/>
      <c r="BS403" s="130"/>
      <c r="BT403" s="130"/>
    </row>
    <row r="404" spans="1:72" ht="15" customHeight="1">
      <c r="A404" s="524"/>
      <c r="B404" s="140" t="s">
        <v>721</v>
      </c>
      <c r="C404" s="554" t="s">
        <v>722</v>
      </c>
      <c r="D404" s="510"/>
      <c r="E404" s="554" t="s">
        <v>722</v>
      </c>
      <c r="F404" s="510"/>
      <c r="G404" s="554" t="s">
        <v>722</v>
      </c>
      <c r="H404" s="510"/>
      <c r="I404" s="554" t="s">
        <v>722</v>
      </c>
      <c r="J404" s="510"/>
      <c r="K404" s="554" t="s">
        <v>722</v>
      </c>
      <c r="L404" s="510"/>
      <c r="M404" s="554" t="s">
        <v>722</v>
      </c>
      <c r="N404" s="510"/>
      <c r="O404" s="554" t="s">
        <v>722</v>
      </c>
      <c r="P404" s="510"/>
      <c r="Q404" s="554" t="s">
        <v>722</v>
      </c>
      <c r="R404" s="510"/>
      <c r="S404" s="554" t="s">
        <v>722</v>
      </c>
      <c r="T404" s="510"/>
      <c r="U404" s="554" t="s">
        <v>722</v>
      </c>
      <c r="V404" s="510"/>
      <c r="W404" s="554" t="s">
        <v>722</v>
      </c>
      <c r="X404" s="510"/>
      <c r="Y404" s="554" t="s">
        <v>722</v>
      </c>
      <c r="Z404" s="510"/>
      <c r="AA404" s="554" t="s">
        <v>722</v>
      </c>
      <c r="AB404" s="510"/>
      <c r="AC404" s="554" t="s">
        <v>722</v>
      </c>
      <c r="AD404" s="510"/>
      <c r="AE404" s="554" t="s">
        <v>722</v>
      </c>
      <c r="AF404" s="510"/>
      <c r="AG404" s="554" t="s">
        <v>722</v>
      </c>
      <c r="AH404" s="510"/>
      <c r="AI404" s="554" t="s">
        <v>722</v>
      </c>
      <c r="AJ404" s="510"/>
      <c r="AK404" s="554" t="s">
        <v>722</v>
      </c>
      <c r="AL404" s="510"/>
      <c r="AM404" s="554" t="s">
        <v>722</v>
      </c>
      <c r="AN404" s="510"/>
      <c r="AO404" s="554" t="s">
        <v>722</v>
      </c>
      <c r="AP404" s="510"/>
      <c r="AQ404" s="554" t="s">
        <v>722</v>
      </c>
      <c r="AR404" s="510"/>
      <c r="AS404" s="554" t="s">
        <v>722</v>
      </c>
      <c r="AT404" s="510"/>
      <c r="AU404" s="554" t="s">
        <v>722</v>
      </c>
      <c r="AV404" s="510"/>
      <c r="AW404" s="557" t="s">
        <v>723</v>
      </c>
      <c r="AX404" s="510"/>
      <c r="AY404" s="554" t="s">
        <v>722</v>
      </c>
      <c r="AZ404" s="510"/>
      <c r="BA404" s="130"/>
      <c r="BB404" s="130"/>
      <c r="BC404" s="130"/>
      <c r="BD404" s="130"/>
      <c r="BE404" s="130"/>
      <c r="BF404" s="130"/>
      <c r="BG404" s="130"/>
      <c r="BH404" s="130"/>
      <c r="BI404" s="130"/>
      <c r="BJ404" s="130"/>
      <c r="BK404" s="130"/>
      <c r="BL404" s="130"/>
      <c r="BM404" s="130"/>
      <c r="BN404" s="130"/>
      <c r="BO404" s="130"/>
      <c r="BP404" s="130"/>
      <c r="BQ404" s="130"/>
      <c r="BR404" s="130"/>
      <c r="BS404" s="130"/>
      <c r="BT404" s="130"/>
    </row>
    <row r="405" spans="1:72" ht="15" customHeight="1">
      <c r="A405" s="525"/>
      <c r="B405" s="135" t="s">
        <v>307</v>
      </c>
      <c r="C405" s="553"/>
      <c r="D405" s="510"/>
      <c r="E405" s="553"/>
      <c r="F405" s="510"/>
      <c r="G405" s="553"/>
      <c r="H405" s="510"/>
      <c r="I405" s="553"/>
      <c r="J405" s="510"/>
      <c r="K405" s="553"/>
      <c r="L405" s="510"/>
      <c r="M405" s="553"/>
      <c r="N405" s="510"/>
      <c r="O405" s="553"/>
      <c r="P405" s="510"/>
      <c r="Q405" s="553"/>
      <c r="R405" s="510"/>
      <c r="S405" s="553"/>
      <c r="T405" s="510"/>
      <c r="U405" s="553"/>
      <c r="V405" s="510"/>
      <c r="W405" s="553"/>
      <c r="X405" s="510"/>
      <c r="Y405" s="553"/>
      <c r="Z405" s="510"/>
      <c r="AA405" s="553"/>
      <c r="AB405" s="510"/>
      <c r="AC405" s="553"/>
      <c r="AD405" s="510"/>
      <c r="AE405" s="553"/>
      <c r="AF405" s="510"/>
      <c r="AG405" s="553"/>
      <c r="AH405" s="510"/>
      <c r="AI405" s="553"/>
      <c r="AJ405" s="510"/>
      <c r="AK405" s="553"/>
      <c r="AL405" s="510"/>
      <c r="AM405" s="553"/>
      <c r="AN405" s="510"/>
      <c r="AO405" s="553"/>
      <c r="AP405" s="510"/>
      <c r="AQ405" s="553"/>
      <c r="AR405" s="510"/>
      <c r="AS405" s="553"/>
      <c r="AT405" s="510"/>
      <c r="AU405" s="553"/>
      <c r="AV405" s="510"/>
      <c r="AW405" s="553"/>
      <c r="AX405" s="510"/>
      <c r="AY405" s="553"/>
      <c r="AZ405" s="510"/>
      <c r="BA405" s="130"/>
      <c r="BB405" s="130"/>
      <c r="BC405" s="130"/>
      <c r="BD405" s="130"/>
      <c r="BE405" s="130"/>
      <c r="BF405" s="130"/>
      <c r="BG405" s="130"/>
      <c r="BH405" s="130"/>
      <c r="BI405" s="130"/>
      <c r="BJ405" s="130"/>
      <c r="BK405" s="130"/>
      <c r="BL405" s="130"/>
      <c r="BM405" s="130"/>
      <c r="BN405" s="130"/>
      <c r="BO405" s="130"/>
      <c r="BP405" s="130"/>
      <c r="BQ405" s="130"/>
      <c r="BR405" s="130"/>
      <c r="BS405" s="130"/>
      <c r="BT405" s="130"/>
    </row>
    <row r="406" spans="1:72" ht="15.75" customHeight="1">
      <c r="A406" s="560" t="s">
        <v>724</v>
      </c>
      <c r="B406" s="93" t="s">
        <v>725</v>
      </c>
      <c r="C406" s="556">
        <v>1</v>
      </c>
      <c r="D406" s="510"/>
      <c r="E406" s="556"/>
      <c r="F406" s="510"/>
      <c r="G406" s="556"/>
      <c r="H406" s="510"/>
      <c r="I406" s="556"/>
      <c r="J406" s="510"/>
      <c r="K406" s="556"/>
      <c r="L406" s="510"/>
      <c r="M406" s="556"/>
      <c r="N406" s="510"/>
      <c r="O406" s="556"/>
      <c r="P406" s="510"/>
      <c r="Q406" s="556"/>
      <c r="R406" s="510"/>
      <c r="S406" s="556"/>
      <c r="T406" s="510"/>
      <c r="U406" s="142"/>
      <c r="V406" s="142"/>
      <c r="W406" s="556"/>
      <c r="X406" s="510"/>
      <c r="Y406" s="556"/>
      <c r="Z406" s="510"/>
      <c r="AA406" s="556"/>
      <c r="AB406" s="510"/>
      <c r="AC406" s="556"/>
      <c r="AD406" s="510"/>
      <c r="AE406" s="556"/>
      <c r="AF406" s="510"/>
      <c r="AG406" s="556"/>
      <c r="AH406" s="510"/>
      <c r="AI406" s="556"/>
      <c r="AJ406" s="510"/>
      <c r="AK406" s="556"/>
      <c r="AL406" s="510"/>
      <c r="AM406" s="556"/>
      <c r="AN406" s="510"/>
      <c r="AO406" s="556"/>
      <c r="AP406" s="510"/>
      <c r="AQ406" s="556"/>
      <c r="AR406" s="510"/>
      <c r="AS406" s="556"/>
      <c r="AT406" s="510"/>
      <c r="AU406" s="556"/>
      <c r="AV406" s="510"/>
      <c r="AW406" s="556"/>
      <c r="AX406" s="510"/>
      <c r="AY406" s="556"/>
      <c r="AZ406" s="510"/>
      <c r="BA406" s="130"/>
      <c r="BB406" s="130"/>
      <c r="BC406" s="130"/>
      <c r="BD406" s="130"/>
      <c r="BE406" s="130"/>
      <c r="BF406" s="130"/>
      <c r="BG406" s="130"/>
      <c r="BH406" s="130"/>
      <c r="BI406" s="130"/>
      <c r="BJ406" s="130"/>
      <c r="BK406" s="130"/>
      <c r="BL406" s="130"/>
      <c r="BM406" s="130"/>
      <c r="BN406" s="130"/>
      <c r="BO406" s="130"/>
      <c r="BP406" s="130"/>
      <c r="BQ406" s="130"/>
      <c r="BR406" s="130"/>
      <c r="BS406" s="130"/>
      <c r="BT406" s="130"/>
    </row>
    <row r="407" spans="1:72" ht="38.25" customHeight="1">
      <c r="A407" s="524"/>
      <c r="B407" s="140" t="s">
        <v>726</v>
      </c>
      <c r="C407" s="554" t="s">
        <v>727</v>
      </c>
      <c r="D407" s="510"/>
      <c r="E407" s="554"/>
      <c r="F407" s="510"/>
      <c r="G407" s="554"/>
      <c r="H407" s="510"/>
      <c r="I407" s="554"/>
      <c r="J407" s="510"/>
      <c r="K407" s="554"/>
      <c r="L407" s="510"/>
      <c r="M407" s="554"/>
      <c r="N407" s="510"/>
      <c r="O407" s="554"/>
      <c r="P407" s="510"/>
      <c r="Q407" s="554"/>
      <c r="R407" s="510"/>
      <c r="S407" s="554"/>
      <c r="T407" s="510"/>
      <c r="U407" s="139"/>
      <c r="V407" s="139"/>
      <c r="W407" s="554"/>
      <c r="X407" s="510"/>
      <c r="Y407" s="554"/>
      <c r="Z407" s="510"/>
      <c r="AA407" s="554"/>
      <c r="AB407" s="510"/>
      <c r="AC407" s="554"/>
      <c r="AD407" s="510"/>
      <c r="AE407" s="554"/>
      <c r="AF407" s="510"/>
      <c r="AG407" s="554"/>
      <c r="AH407" s="510"/>
      <c r="AI407" s="554"/>
      <c r="AJ407" s="510"/>
      <c r="AK407" s="554"/>
      <c r="AL407" s="510"/>
      <c r="AM407" s="554"/>
      <c r="AN407" s="510"/>
      <c r="AO407" s="554"/>
      <c r="AP407" s="510"/>
      <c r="AQ407" s="554"/>
      <c r="AR407" s="510"/>
      <c r="AS407" s="554"/>
      <c r="AT407" s="510"/>
      <c r="AU407" s="554"/>
      <c r="AV407" s="510"/>
      <c r="AW407" s="554"/>
      <c r="AX407" s="510"/>
      <c r="AY407" s="554"/>
      <c r="AZ407" s="510"/>
      <c r="BA407" s="130"/>
      <c r="BB407" s="130"/>
      <c r="BC407" s="130"/>
      <c r="BD407" s="130"/>
      <c r="BE407" s="130"/>
      <c r="BF407" s="130"/>
      <c r="BG407" s="130"/>
      <c r="BH407" s="130"/>
      <c r="BI407" s="130"/>
      <c r="BJ407" s="130"/>
      <c r="BK407" s="130"/>
      <c r="BL407" s="130"/>
      <c r="BM407" s="130"/>
      <c r="BN407" s="130"/>
      <c r="BO407" s="130"/>
      <c r="BP407" s="130"/>
      <c r="BQ407" s="130"/>
      <c r="BR407" s="130"/>
      <c r="BS407" s="130"/>
      <c r="BT407" s="130"/>
    </row>
    <row r="408" spans="1:72" ht="15" customHeight="1">
      <c r="A408" s="525"/>
      <c r="B408" s="135" t="s">
        <v>307</v>
      </c>
      <c r="C408" s="553"/>
      <c r="D408" s="510"/>
      <c r="E408" s="553"/>
      <c r="F408" s="510"/>
      <c r="G408" s="553"/>
      <c r="H408" s="510"/>
      <c r="I408" s="553"/>
      <c r="J408" s="510"/>
      <c r="K408" s="553"/>
      <c r="L408" s="510"/>
      <c r="M408" s="553"/>
      <c r="N408" s="510"/>
      <c r="O408" s="553"/>
      <c r="P408" s="510"/>
      <c r="Q408" s="553"/>
      <c r="R408" s="510"/>
      <c r="S408" s="553"/>
      <c r="T408" s="510"/>
      <c r="U408" s="134"/>
      <c r="V408" s="134"/>
      <c r="W408" s="553"/>
      <c r="X408" s="510"/>
      <c r="Y408" s="553"/>
      <c r="Z408" s="510"/>
      <c r="AA408" s="553"/>
      <c r="AB408" s="510"/>
      <c r="AC408" s="553"/>
      <c r="AD408" s="510"/>
      <c r="AE408" s="553"/>
      <c r="AF408" s="510"/>
      <c r="AG408" s="553"/>
      <c r="AH408" s="510"/>
      <c r="AI408" s="553"/>
      <c r="AJ408" s="510"/>
      <c r="AK408" s="553"/>
      <c r="AL408" s="510"/>
      <c r="AM408" s="553"/>
      <c r="AN408" s="510"/>
      <c r="AO408" s="553"/>
      <c r="AP408" s="510"/>
      <c r="AQ408" s="553"/>
      <c r="AR408" s="510"/>
      <c r="AS408" s="553"/>
      <c r="AT408" s="510"/>
      <c r="AU408" s="553"/>
      <c r="AV408" s="510"/>
      <c r="AW408" s="553"/>
      <c r="AX408" s="510"/>
      <c r="AY408" s="553"/>
      <c r="AZ408" s="510"/>
      <c r="BA408" s="130"/>
      <c r="BB408" s="130"/>
      <c r="BC408" s="130"/>
      <c r="BD408" s="130"/>
      <c r="BE408" s="130"/>
      <c r="BF408" s="130"/>
      <c r="BG408" s="130"/>
      <c r="BH408" s="130"/>
      <c r="BI408" s="130"/>
      <c r="BJ408" s="130"/>
      <c r="BK408" s="130"/>
      <c r="BL408" s="130"/>
      <c r="BM408" s="130"/>
      <c r="BN408" s="130"/>
      <c r="BO408" s="130"/>
      <c r="BP408" s="130"/>
      <c r="BQ408" s="130"/>
      <c r="BR408" s="130"/>
      <c r="BS408" s="130"/>
      <c r="BT408" s="130"/>
    </row>
    <row r="409" spans="1:72" ht="15.75" customHeight="1">
      <c r="A409" s="560" t="s">
        <v>728</v>
      </c>
      <c r="B409" s="93" t="s">
        <v>729</v>
      </c>
      <c r="C409" s="556">
        <v>1</v>
      </c>
      <c r="D409" s="510"/>
      <c r="E409" s="556"/>
      <c r="F409" s="510"/>
      <c r="G409" s="556"/>
      <c r="H409" s="510"/>
      <c r="I409" s="556"/>
      <c r="J409" s="510"/>
      <c r="K409" s="556"/>
      <c r="L409" s="510"/>
      <c r="M409" s="556"/>
      <c r="N409" s="510"/>
      <c r="O409" s="556"/>
      <c r="P409" s="510"/>
      <c r="Q409" s="556"/>
      <c r="R409" s="510"/>
      <c r="S409" s="556"/>
      <c r="T409" s="510"/>
      <c r="U409" s="142"/>
      <c r="V409" s="142"/>
      <c r="W409" s="556"/>
      <c r="X409" s="510"/>
      <c r="Y409" s="556"/>
      <c r="Z409" s="510"/>
      <c r="AA409" s="556"/>
      <c r="AB409" s="510"/>
      <c r="AC409" s="556"/>
      <c r="AD409" s="510"/>
      <c r="AE409" s="556"/>
      <c r="AF409" s="510"/>
      <c r="AG409" s="556"/>
      <c r="AH409" s="510"/>
      <c r="AI409" s="556"/>
      <c r="AJ409" s="510"/>
      <c r="AK409" s="556"/>
      <c r="AL409" s="510"/>
      <c r="AM409" s="556"/>
      <c r="AN409" s="510"/>
      <c r="AO409" s="556"/>
      <c r="AP409" s="510"/>
      <c r="AQ409" s="556"/>
      <c r="AR409" s="510"/>
      <c r="AS409" s="556"/>
      <c r="AT409" s="510"/>
      <c r="AU409" s="556"/>
      <c r="AV409" s="510"/>
      <c r="AW409" s="556"/>
      <c r="AX409" s="510"/>
      <c r="AY409" s="556"/>
      <c r="AZ409" s="510"/>
      <c r="BA409" s="130"/>
      <c r="BB409" s="130"/>
      <c r="BC409" s="130"/>
      <c r="BD409" s="130"/>
      <c r="BE409" s="130"/>
      <c r="BF409" s="130"/>
      <c r="BG409" s="130"/>
      <c r="BH409" s="130"/>
      <c r="BI409" s="130"/>
      <c r="BJ409" s="130"/>
      <c r="BK409" s="130"/>
      <c r="BL409" s="130"/>
      <c r="BM409" s="130"/>
      <c r="BN409" s="130"/>
      <c r="BO409" s="130"/>
      <c r="BP409" s="130"/>
      <c r="BQ409" s="130"/>
      <c r="BR409" s="130"/>
      <c r="BS409" s="130"/>
      <c r="BT409" s="130"/>
    </row>
    <row r="410" spans="1:72" ht="15" customHeight="1">
      <c r="A410" s="524"/>
      <c r="B410" s="140" t="s">
        <v>730</v>
      </c>
      <c r="C410" s="554" t="s">
        <v>731</v>
      </c>
      <c r="D410" s="510"/>
      <c r="E410" s="554"/>
      <c r="F410" s="510"/>
      <c r="G410" s="554"/>
      <c r="H410" s="510"/>
      <c r="I410" s="554"/>
      <c r="J410" s="510"/>
      <c r="K410" s="554"/>
      <c r="L410" s="510"/>
      <c r="M410" s="554"/>
      <c r="N410" s="510"/>
      <c r="O410" s="554"/>
      <c r="P410" s="510"/>
      <c r="Q410" s="554"/>
      <c r="R410" s="510"/>
      <c r="S410" s="554"/>
      <c r="T410" s="510"/>
      <c r="U410" s="139"/>
      <c r="V410" s="139"/>
      <c r="W410" s="554"/>
      <c r="X410" s="510"/>
      <c r="Y410" s="554"/>
      <c r="Z410" s="510"/>
      <c r="AA410" s="554"/>
      <c r="AB410" s="510"/>
      <c r="AC410" s="554"/>
      <c r="AD410" s="510"/>
      <c r="AE410" s="554"/>
      <c r="AF410" s="510"/>
      <c r="AG410" s="554"/>
      <c r="AH410" s="510"/>
      <c r="AI410" s="554"/>
      <c r="AJ410" s="510"/>
      <c r="AK410" s="554"/>
      <c r="AL410" s="510"/>
      <c r="AM410" s="554"/>
      <c r="AN410" s="510"/>
      <c r="AO410" s="554"/>
      <c r="AP410" s="510"/>
      <c r="AQ410" s="554"/>
      <c r="AR410" s="510"/>
      <c r="AS410" s="554"/>
      <c r="AT410" s="510"/>
      <c r="AU410" s="554"/>
      <c r="AV410" s="510"/>
      <c r="AW410" s="554"/>
      <c r="AX410" s="510"/>
      <c r="AY410" s="554"/>
      <c r="AZ410" s="510"/>
      <c r="BA410" s="130"/>
      <c r="BB410" s="130"/>
      <c r="BC410" s="130"/>
      <c r="BD410" s="130"/>
      <c r="BE410" s="130"/>
      <c r="BF410" s="130"/>
      <c r="BG410" s="130"/>
      <c r="BH410" s="130"/>
      <c r="BI410" s="130"/>
      <c r="BJ410" s="130"/>
      <c r="BK410" s="130"/>
      <c r="BL410" s="130"/>
      <c r="BM410" s="130"/>
      <c r="BN410" s="130"/>
      <c r="BO410" s="130"/>
      <c r="BP410" s="130"/>
      <c r="BQ410" s="130"/>
      <c r="BR410" s="130"/>
      <c r="BS410" s="130"/>
      <c r="BT410" s="130"/>
    </row>
    <row r="411" spans="1:72" ht="15.75" customHeight="1">
      <c r="A411" s="525"/>
      <c r="B411" s="135" t="s">
        <v>307</v>
      </c>
      <c r="C411" s="553"/>
      <c r="D411" s="510"/>
      <c r="E411" s="553"/>
      <c r="F411" s="510"/>
      <c r="G411" s="553"/>
      <c r="H411" s="510"/>
      <c r="I411" s="553"/>
      <c r="J411" s="510"/>
      <c r="K411" s="553"/>
      <c r="L411" s="510"/>
      <c r="M411" s="553"/>
      <c r="N411" s="510"/>
      <c r="O411" s="553"/>
      <c r="P411" s="510"/>
      <c r="Q411" s="553"/>
      <c r="R411" s="510"/>
      <c r="S411" s="553"/>
      <c r="T411" s="510"/>
      <c r="U411" s="134"/>
      <c r="V411" s="134"/>
      <c r="W411" s="553"/>
      <c r="X411" s="510"/>
      <c r="Y411" s="553"/>
      <c r="Z411" s="510"/>
      <c r="AA411" s="553"/>
      <c r="AB411" s="510"/>
      <c r="AC411" s="553"/>
      <c r="AD411" s="510"/>
      <c r="AE411" s="553"/>
      <c r="AF411" s="510"/>
      <c r="AG411" s="553"/>
      <c r="AH411" s="510"/>
      <c r="AI411" s="553"/>
      <c r="AJ411" s="510"/>
      <c r="AK411" s="553"/>
      <c r="AL411" s="510"/>
      <c r="AM411" s="553"/>
      <c r="AN411" s="510"/>
      <c r="AO411" s="553"/>
      <c r="AP411" s="510"/>
      <c r="AQ411" s="553"/>
      <c r="AR411" s="510"/>
      <c r="AS411" s="553"/>
      <c r="AT411" s="510"/>
      <c r="AU411" s="553"/>
      <c r="AV411" s="510"/>
      <c r="AW411" s="553"/>
      <c r="AX411" s="510"/>
      <c r="AY411" s="553"/>
      <c r="AZ411" s="510"/>
      <c r="BA411" s="130"/>
      <c r="BB411" s="130"/>
      <c r="BC411" s="130"/>
      <c r="BD411" s="130"/>
      <c r="BE411" s="130"/>
      <c r="BF411" s="130"/>
      <c r="BG411" s="130"/>
      <c r="BH411" s="130"/>
      <c r="BI411" s="130"/>
      <c r="BJ411" s="130"/>
      <c r="BK411" s="130"/>
      <c r="BL411" s="130"/>
      <c r="BM411" s="130"/>
      <c r="BN411" s="130"/>
      <c r="BO411" s="130"/>
      <c r="BP411" s="130"/>
      <c r="BQ411" s="130"/>
      <c r="BR411" s="130"/>
      <c r="BS411" s="130"/>
      <c r="BT411" s="130"/>
    </row>
    <row r="412" spans="1:72" ht="15.75" customHeight="1">
      <c r="A412" s="560" t="s">
        <v>732</v>
      </c>
      <c r="B412" s="93" t="s">
        <v>733</v>
      </c>
      <c r="C412" s="556"/>
      <c r="D412" s="510"/>
      <c r="E412" s="556"/>
      <c r="F412" s="510"/>
      <c r="G412" s="556"/>
      <c r="H412" s="510"/>
      <c r="I412" s="556"/>
      <c r="J412" s="510"/>
      <c r="K412" s="556"/>
      <c r="L412" s="510"/>
      <c r="M412" s="556"/>
      <c r="N412" s="510"/>
      <c r="O412" s="556"/>
      <c r="P412" s="510"/>
      <c r="Q412" s="556"/>
      <c r="R412" s="510"/>
      <c r="S412" s="556"/>
      <c r="T412" s="510"/>
      <c r="U412" s="142"/>
      <c r="V412" s="142"/>
      <c r="W412" s="556"/>
      <c r="X412" s="510"/>
      <c r="Y412" s="556"/>
      <c r="Z412" s="510"/>
      <c r="AA412" s="556"/>
      <c r="AB412" s="510"/>
      <c r="AC412" s="556"/>
      <c r="AD412" s="510"/>
      <c r="AE412" s="556"/>
      <c r="AF412" s="510"/>
      <c r="AG412" s="556"/>
      <c r="AH412" s="510"/>
      <c r="AI412" s="556"/>
      <c r="AJ412" s="510"/>
      <c r="AK412" s="556"/>
      <c r="AL412" s="510"/>
      <c r="AM412" s="556"/>
      <c r="AN412" s="510"/>
      <c r="AO412" s="556"/>
      <c r="AP412" s="510"/>
      <c r="AQ412" s="556"/>
      <c r="AR412" s="510"/>
      <c r="AS412" s="556"/>
      <c r="AT412" s="510"/>
      <c r="AU412" s="556"/>
      <c r="AV412" s="510"/>
      <c r="AW412" s="556"/>
      <c r="AX412" s="510"/>
      <c r="AY412" s="556"/>
      <c r="AZ412" s="510"/>
      <c r="BA412" s="130"/>
      <c r="BB412" s="130"/>
      <c r="BC412" s="130"/>
      <c r="BD412" s="130"/>
      <c r="BE412" s="130"/>
      <c r="BF412" s="130"/>
      <c r="BG412" s="130"/>
      <c r="BH412" s="130"/>
      <c r="BI412" s="130"/>
      <c r="BJ412" s="130"/>
      <c r="BK412" s="130"/>
      <c r="BL412" s="130"/>
      <c r="BM412" s="130"/>
      <c r="BN412" s="130"/>
      <c r="BO412" s="130"/>
      <c r="BP412" s="130"/>
      <c r="BQ412" s="130"/>
      <c r="BR412" s="130"/>
      <c r="BS412" s="130"/>
      <c r="BT412" s="130"/>
    </row>
    <row r="413" spans="1:72" ht="15" customHeight="1">
      <c r="A413" s="524"/>
      <c r="B413" s="140" t="s">
        <v>734</v>
      </c>
      <c r="C413" s="554"/>
      <c r="D413" s="510"/>
      <c r="E413" s="554"/>
      <c r="F413" s="510"/>
      <c r="G413" s="554"/>
      <c r="H413" s="510"/>
      <c r="I413" s="554"/>
      <c r="J413" s="510"/>
      <c r="K413" s="554"/>
      <c r="L413" s="510"/>
      <c r="M413" s="554"/>
      <c r="N413" s="510"/>
      <c r="O413" s="554"/>
      <c r="P413" s="510"/>
      <c r="Q413" s="554"/>
      <c r="R413" s="510"/>
      <c r="S413" s="554"/>
      <c r="T413" s="510"/>
      <c r="U413" s="139"/>
      <c r="V413" s="139"/>
      <c r="W413" s="554"/>
      <c r="X413" s="510"/>
      <c r="Y413" s="554"/>
      <c r="Z413" s="510"/>
      <c r="AA413" s="554"/>
      <c r="AB413" s="510"/>
      <c r="AC413" s="554"/>
      <c r="AD413" s="510"/>
      <c r="AE413" s="554"/>
      <c r="AF413" s="510"/>
      <c r="AG413" s="554"/>
      <c r="AH413" s="510"/>
      <c r="AI413" s="554"/>
      <c r="AJ413" s="510"/>
      <c r="AK413" s="554"/>
      <c r="AL413" s="510"/>
      <c r="AM413" s="554"/>
      <c r="AN413" s="510"/>
      <c r="AO413" s="554"/>
      <c r="AP413" s="510"/>
      <c r="AQ413" s="554"/>
      <c r="AR413" s="510"/>
      <c r="AS413" s="554"/>
      <c r="AT413" s="510"/>
      <c r="AU413" s="554"/>
      <c r="AV413" s="510"/>
      <c r="AW413" s="554"/>
      <c r="AX413" s="510"/>
      <c r="AY413" s="554"/>
      <c r="AZ413" s="510"/>
      <c r="BA413" s="130"/>
      <c r="BB413" s="130"/>
      <c r="BC413" s="130"/>
      <c r="BD413" s="130"/>
      <c r="BE413" s="130"/>
      <c r="BF413" s="130"/>
      <c r="BG413" s="130"/>
      <c r="BH413" s="130"/>
      <c r="BI413" s="130"/>
      <c r="BJ413" s="130"/>
      <c r="BK413" s="130"/>
      <c r="BL413" s="130"/>
      <c r="BM413" s="130"/>
      <c r="BN413" s="130"/>
      <c r="BO413" s="130"/>
      <c r="BP413" s="130"/>
      <c r="BQ413" s="130"/>
      <c r="BR413" s="130"/>
      <c r="BS413" s="130"/>
      <c r="BT413" s="130"/>
    </row>
    <row r="414" spans="1:72" ht="15" customHeight="1">
      <c r="A414" s="525"/>
      <c r="B414" s="135" t="s">
        <v>307</v>
      </c>
      <c r="C414" s="553"/>
      <c r="D414" s="510"/>
      <c r="E414" s="553"/>
      <c r="F414" s="510"/>
      <c r="G414" s="553"/>
      <c r="H414" s="510"/>
      <c r="I414" s="553"/>
      <c r="J414" s="510"/>
      <c r="K414" s="553"/>
      <c r="L414" s="510"/>
      <c r="M414" s="553"/>
      <c r="N414" s="510"/>
      <c r="O414" s="553"/>
      <c r="P414" s="510"/>
      <c r="Q414" s="553"/>
      <c r="R414" s="510"/>
      <c r="S414" s="553"/>
      <c r="T414" s="510"/>
      <c r="U414" s="134"/>
      <c r="V414" s="134"/>
      <c r="W414" s="553"/>
      <c r="X414" s="510"/>
      <c r="Y414" s="553"/>
      <c r="Z414" s="510"/>
      <c r="AA414" s="553"/>
      <c r="AB414" s="510"/>
      <c r="AC414" s="553"/>
      <c r="AD414" s="510"/>
      <c r="AE414" s="553"/>
      <c r="AF414" s="510"/>
      <c r="AG414" s="553"/>
      <c r="AH414" s="510"/>
      <c r="AI414" s="553"/>
      <c r="AJ414" s="510"/>
      <c r="AK414" s="553"/>
      <c r="AL414" s="510"/>
      <c r="AM414" s="553"/>
      <c r="AN414" s="510"/>
      <c r="AO414" s="553"/>
      <c r="AP414" s="510"/>
      <c r="AQ414" s="553"/>
      <c r="AR414" s="510"/>
      <c r="AS414" s="553"/>
      <c r="AT414" s="510"/>
      <c r="AU414" s="553"/>
      <c r="AV414" s="510"/>
      <c r="AW414" s="553"/>
      <c r="AX414" s="510"/>
      <c r="AY414" s="553"/>
      <c r="AZ414" s="510"/>
      <c r="BA414" s="130"/>
      <c r="BB414" s="130"/>
      <c r="BC414" s="130"/>
      <c r="BD414" s="130"/>
      <c r="BE414" s="130"/>
      <c r="BF414" s="130"/>
      <c r="BG414" s="130"/>
      <c r="BH414" s="130"/>
      <c r="BI414" s="130"/>
      <c r="BJ414" s="130"/>
      <c r="BK414" s="130"/>
      <c r="BL414" s="130"/>
      <c r="BM414" s="130"/>
      <c r="BN414" s="130"/>
      <c r="BO414" s="130"/>
      <c r="BP414" s="130"/>
      <c r="BQ414" s="130"/>
      <c r="BR414" s="130"/>
      <c r="BS414" s="130"/>
      <c r="BT414" s="130"/>
    </row>
    <row r="415" spans="1:72" ht="38.25" customHeight="1">
      <c r="A415" s="560" t="s">
        <v>735</v>
      </c>
      <c r="B415" s="93" t="s">
        <v>736</v>
      </c>
      <c r="C415" s="556"/>
      <c r="D415" s="510"/>
      <c r="E415" s="556"/>
      <c r="F415" s="510"/>
      <c r="G415" s="556"/>
      <c r="H415" s="510"/>
      <c r="I415" s="556"/>
      <c r="J415" s="510"/>
      <c r="K415" s="556"/>
      <c r="L415" s="510"/>
      <c r="M415" s="556"/>
      <c r="N415" s="510"/>
      <c r="O415" s="556"/>
      <c r="P415" s="510"/>
      <c r="Q415" s="556"/>
      <c r="R415" s="510"/>
      <c r="S415" s="556"/>
      <c r="T415" s="510"/>
      <c r="U415" s="142"/>
      <c r="V415" s="142"/>
      <c r="W415" s="556"/>
      <c r="X415" s="510"/>
      <c r="Y415" s="556"/>
      <c r="Z415" s="510"/>
      <c r="AA415" s="556"/>
      <c r="AB415" s="510"/>
      <c r="AC415" s="556"/>
      <c r="AD415" s="510"/>
      <c r="AE415" s="556"/>
      <c r="AF415" s="510"/>
      <c r="AG415" s="556"/>
      <c r="AH415" s="510"/>
      <c r="AI415" s="556"/>
      <c r="AJ415" s="510"/>
      <c r="AK415" s="556"/>
      <c r="AL415" s="510"/>
      <c r="AM415" s="556"/>
      <c r="AN415" s="510"/>
      <c r="AO415" s="556"/>
      <c r="AP415" s="510"/>
      <c r="AQ415" s="556"/>
      <c r="AR415" s="510"/>
      <c r="AS415" s="556"/>
      <c r="AT415" s="510"/>
      <c r="AU415" s="556"/>
      <c r="AV415" s="510"/>
      <c r="AW415" s="556"/>
      <c r="AX415" s="510"/>
      <c r="AY415" s="556"/>
      <c r="AZ415" s="510"/>
      <c r="BA415" s="130"/>
      <c r="BB415" s="130"/>
      <c r="BC415" s="130"/>
      <c r="BD415" s="130"/>
      <c r="BE415" s="130"/>
      <c r="BF415" s="130"/>
      <c r="BG415" s="130"/>
      <c r="BH415" s="130"/>
      <c r="BI415" s="130"/>
      <c r="BJ415" s="130"/>
      <c r="BK415" s="130"/>
      <c r="BL415" s="130"/>
      <c r="BM415" s="130"/>
      <c r="BN415" s="130"/>
      <c r="BO415" s="130"/>
      <c r="BP415" s="130"/>
      <c r="BQ415" s="130"/>
      <c r="BR415" s="130"/>
      <c r="BS415" s="130"/>
      <c r="BT415" s="130"/>
    </row>
    <row r="416" spans="1:72" ht="15.75" customHeight="1">
      <c r="A416" s="525"/>
      <c r="B416" s="135" t="s">
        <v>307</v>
      </c>
      <c r="C416" s="553"/>
      <c r="D416" s="510"/>
      <c r="E416" s="553"/>
      <c r="F416" s="510"/>
      <c r="G416" s="553"/>
      <c r="H416" s="510"/>
      <c r="I416" s="553"/>
      <c r="J416" s="510"/>
      <c r="K416" s="553"/>
      <c r="L416" s="510"/>
      <c r="M416" s="553"/>
      <c r="N416" s="510"/>
      <c r="O416" s="553"/>
      <c r="P416" s="510"/>
      <c r="Q416" s="553"/>
      <c r="R416" s="510"/>
      <c r="S416" s="553"/>
      <c r="T416" s="510"/>
      <c r="U416" s="134"/>
      <c r="V416" s="134"/>
      <c r="W416" s="553"/>
      <c r="X416" s="510"/>
      <c r="Y416" s="553"/>
      <c r="Z416" s="510"/>
      <c r="AA416" s="553"/>
      <c r="AB416" s="510"/>
      <c r="AC416" s="553"/>
      <c r="AD416" s="510"/>
      <c r="AE416" s="553"/>
      <c r="AF416" s="510"/>
      <c r="AG416" s="553"/>
      <c r="AH416" s="510"/>
      <c r="AI416" s="553"/>
      <c r="AJ416" s="510"/>
      <c r="AK416" s="553"/>
      <c r="AL416" s="510"/>
      <c r="AM416" s="553"/>
      <c r="AN416" s="510"/>
      <c r="AO416" s="553"/>
      <c r="AP416" s="510"/>
      <c r="AQ416" s="553"/>
      <c r="AR416" s="510"/>
      <c r="AS416" s="553"/>
      <c r="AT416" s="510"/>
      <c r="AU416" s="553"/>
      <c r="AV416" s="510"/>
      <c r="AW416" s="553"/>
      <c r="AX416" s="510"/>
      <c r="AY416" s="553"/>
      <c r="AZ416" s="510"/>
      <c r="BA416" s="130"/>
      <c r="BB416" s="130"/>
      <c r="BC416" s="130"/>
      <c r="BD416" s="130"/>
      <c r="BE416" s="130"/>
      <c r="BF416" s="130"/>
      <c r="BG416" s="130"/>
      <c r="BH416" s="130"/>
      <c r="BI416" s="130"/>
      <c r="BJ416" s="130"/>
      <c r="BK416" s="130"/>
      <c r="BL416" s="130"/>
      <c r="BM416" s="130"/>
      <c r="BN416" s="130"/>
      <c r="BO416" s="130"/>
      <c r="BP416" s="130"/>
      <c r="BQ416" s="130"/>
      <c r="BR416" s="130"/>
      <c r="BS416" s="130"/>
      <c r="BT416" s="130"/>
    </row>
    <row r="417" spans="1:72" ht="15.75" customHeight="1">
      <c r="A417" s="560" t="s">
        <v>737</v>
      </c>
      <c r="B417" s="93" t="s">
        <v>738</v>
      </c>
      <c r="C417" s="556"/>
      <c r="D417" s="510"/>
      <c r="E417" s="556"/>
      <c r="F417" s="510"/>
      <c r="G417" s="556"/>
      <c r="H417" s="510"/>
      <c r="I417" s="556"/>
      <c r="J417" s="510"/>
      <c r="K417" s="556"/>
      <c r="L417" s="510"/>
      <c r="M417" s="556"/>
      <c r="N417" s="510"/>
      <c r="O417" s="556"/>
      <c r="P417" s="510"/>
      <c r="Q417" s="556"/>
      <c r="R417" s="510"/>
      <c r="S417" s="556"/>
      <c r="T417" s="510"/>
      <c r="U417" s="142"/>
      <c r="V417" s="142"/>
      <c r="W417" s="556"/>
      <c r="X417" s="510"/>
      <c r="Y417" s="556"/>
      <c r="Z417" s="510"/>
      <c r="AA417" s="556"/>
      <c r="AB417" s="510"/>
      <c r="AC417" s="556"/>
      <c r="AD417" s="510"/>
      <c r="AE417" s="556"/>
      <c r="AF417" s="510"/>
      <c r="AG417" s="556"/>
      <c r="AH417" s="510"/>
      <c r="AI417" s="556"/>
      <c r="AJ417" s="510"/>
      <c r="AK417" s="556"/>
      <c r="AL417" s="510"/>
      <c r="AM417" s="556"/>
      <c r="AN417" s="510"/>
      <c r="AO417" s="556"/>
      <c r="AP417" s="510"/>
      <c r="AQ417" s="556"/>
      <c r="AR417" s="510"/>
      <c r="AS417" s="556"/>
      <c r="AT417" s="510"/>
      <c r="AU417" s="556"/>
      <c r="AV417" s="510"/>
      <c r="AW417" s="556"/>
      <c r="AX417" s="510"/>
      <c r="AY417" s="556"/>
      <c r="AZ417" s="510"/>
      <c r="BA417" s="130"/>
      <c r="BB417" s="130"/>
      <c r="BC417" s="130"/>
      <c r="BD417" s="130"/>
      <c r="BE417" s="130"/>
      <c r="BF417" s="130"/>
      <c r="BG417" s="130"/>
      <c r="BH417" s="130"/>
      <c r="BI417" s="130"/>
      <c r="BJ417" s="130"/>
      <c r="BK417" s="130"/>
      <c r="BL417" s="130"/>
      <c r="BM417" s="130"/>
      <c r="BN417" s="130"/>
      <c r="BO417" s="130"/>
      <c r="BP417" s="130"/>
      <c r="BQ417" s="130"/>
      <c r="BR417" s="130"/>
      <c r="BS417" s="130"/>
      <c r="BT417" s="130"/>
    </row>
    <row r="418" spans="1:72" ht="15" customHeight="1">
      <c r="A418" s="524"/>
      <c r="B418" s="93" t="s">
        <v>739</v>
      </c>
      <c r="C418" s="556"/>
      <c r="D418" s="510"/>
      <c r="E418" s="556"/>
      <c r="F418" s="510"/>
      <c r="G418" s="556"/>
      <c r="H418" s="510"/>
      <c r="I418" s="556"/>
      <c r="J418" s="510"/>
      <c r="K418" s="556"/>
      <c r="L418" s="510"/>
      <c r="M418" s="556"/>
      <c r="N418" s="510"/>
      <c r="O418" s="556"/>
      <c r="P418" s="510"/>
      <c r="Q418" s="556"/>
      <c r="R418" s="510"/>
      <c r="S418" s="556"/>
      <c r="T418" s="510"/>
      <c r="U418" s="142"/>
      <c r="V418" s="142"/>
      <c r="W418" s="556"/>
      <c r="X418" s="510"/>
      <c r="Y418" s="556"/>
      <c r="Z418" s="510"/>
      <c r="AA418" s="556"/>
      <c r="AB418" s="510"/>
      <c r="AC418" s="556"/>
      <c r="AD418" s="510"/>
      <c r="AE418" s="556"/>
      <c r="AF418" s="510"/>
      <c r="AG418" s="556"/>
      <c r="AH418" s="510"/>
      <c r="AI418" s="556"/>
      <c r="AJ418" s="510"/>
      <c r="AK418" s="556"/>
      <c r="AL418" s="510"/>
      <c r="AM418" s="556"/>
      <c r="AN418" s="510"/>
      <c r="AO418" s="556"/>
      <c r="AP418" s="510"/>
      <c r="AQ418" s="556"/>
      <c r="AR418" s="510"/>
      <c r="AS418" s="556"/>
      <c r="AT418" s="510"/>
      <c r="AU418" s="556"/>
      <c r="AV418" s="510"/>
      <c r="AW418" s="556"/>
      <c r="AX418" s="510"/>
      <c r="AY418" s="556"/>
      <c r="AZ418" s="510"/>
      <c r="BA418" s="130"/>
      <c r="BB418" s="130"/>
      <c r="BC418" s="130"/>
      <c r="BD418" s="130"/>
      <c r="BE418" s="130"/>
      <c r="BF418" s="130"/>
      <c r="BG418" s="130"/>
      <c r="BH418" s="130"/>
      <c r="BI418" s="130"/>
      <c r="BJ418" s="130"/>
      <c r="BK418" s="130"/>
      <c r="BL418" s="130"/>
      <c r="BM418" s="130"/>
      <c r="BN418" s="130"/>
      <c r="BO418" s="130"/>
      <c r="BP418" s="130"/>
      <c r="BQ418" s="130"/>
      <c r="BR418" s="130"/>
      <c r="BS418" s="130"/>
      <c r="BT418" s="130"/>
    </row>
    <row r="419" spans="1:72" ht="15" customHeight="1">
      <c r="A419" s="524"/>
      <c r="B419" s="93" t="s">
        <v>740</v>
      </c>
      <c r="C419" s="556"/>
      <c r="D419" s="510"/>
      <c r="E419" s="556"/>
      <c r="F419" s="510"/>
      <c r="G419" s="556"/>
      <c r="H419" s="510"/>
      <c r="I419" s="556"/>
      <c r="J419" s="510"/>
      <c r="K419" s="556"/>
      <c r="L419" s="510"/>
      <c r="M419" s="556"/>
      <c r="N419" s="510"/>
      <c r="O419" s="556"/>
      <c r="P419" s="510"/>
      <c r="Q419" s="556"/>
      <c r="R419" s="510"/>
      <c r="S419" s="556"/>
      <c r="T419" s="510"/>
      <c r="U419" s="142"/>
      <c r="V419" s="142"/>
      <c r="W419" s="556"/>
      <c r="X419" s="510"/>
      <c r="Y419" s="556"/>
      <c r="Z419" s="510"/>
      <c r="AA419" s="556"/>
      <c r="AB419" s="510"/>
      <c r="AC419" s="556"/>
      <c r="AD419" s="510"/>
      <c r="AE419" s="556"/>
      <c r="AF419" s="510"/>
      <c r="AG419" s="556"/>
      <c r="AH419" s="510"/>
      <c r="AI419" s="556"/>
      <c r="AJ419" s="510"/>
      <c r="AK419" s="556"/>
      <c r="AL419" s="510"/>
      <c r="AM419" s="556"/>
      <c r="AN419" s="510"/>
      <c r="AO419" s="556"/>
      <c r="AP419" s="510"/>
      <c r="AQ419" s="556"/>
      <c r="AR419" s="510"/>
      <c r="AS419" s="556"/>
      <c r="AT419" s="510"/>
      <c r="AU419" s="556"/>
      <c r="AV419" s="510"/>
      <c r="AW419" s="556"/>
      <c r="AX419" s="510"/>
      <c r="AY419" s="556"/>
      <c r="AZ419" s="510"/>
      <c r="BA419" s="130"/>
      <c r="BB419" s="130"/>
      <c r="BC419" s="130"/>
      <c r="BD419" s="130"/>
      <c r="BE419" s="130"/>
      <c r="BF419" s="130"/>
      <c r="BG419" s="130"/>
      <c r="BH419" s="130"/>
      <c r="BI419" s="130"/>
      <c r="BJ419" s="130"/>
      <c r="BK419" s="130"/>
      <c r="BL419" s="130"/>
      <c r="BM419" s="130"/>
      <c r="BN419" s="130"/>
      <c r="BO419" s="130"/>
      <c r="BP419" s="130"/>
      <c r="BQ419" s="130"/>
      <c r="BR419" s="130"/>
      <c r="BS419" s="130"/>
      <c r="BT419" s="130"/>
    </row>
    <row r="420" spans="1:72" ht="15.75" customHeight="1">
      <c r="A420" s="524"/>
      <c r="B420" s="93" t="s">
        <v>741</v>
      </c>
      <c r="C420" s="556"/>
      <c r="D420" s="510"/>
      <c r="E420" s="556"/>
      <c r="F420" s="510"/>
      <c r="G420" s="556"/>
      <c r="H420" s="510"/>
      <c r="I420" s="556"/>
      <c r="J420" s="510"/>
      <c r="K420" s="556"/>
      <c r="L420" s="510"/>
      <c r="M420" s="556"/>
      <c r="N420" s="510"/>
      <c r="O420" s="556"/>
      <c r="P420" s="510"/>
      <c r="Q420" s="556"/>
      <c r="R420" s="510"/>
      <c r="S420" s="556"/>
      <c r="T420" s="510"/>
      <c r="U420" s="142"/>
      <c r="V420" s="142"/>
      <c r="W420" s="556"/>
      <c r="X420" s="510"/>
      <c r="Y420" s="556"/>
      <c r="Z420" s="510"/>
      <c r="AA420" s="556"/>
      <c r="AB420" s="510"/>
      <c r="AC420" s="556"/>
      <c r="AD420" s="510"/>
      <c r="AE420" s="556"/>
      <c r="AF420" s="510"/>
      <c r="AG420" s="556"/>
      <c r="AH420" s="510"/>
      <c r="AI420" s="556"/>
      <c r="AJ420" s="510"/>
      <c r="AK420" s="556"/>
      <c r="AL420" s="510"/>
      <c r="AM420" s="556"/>
      <c r="AN420" s="510"/>
      <c r="AO420" s="556"/>
      <c r="AP420" s="510"/>
      <c r="AQ420" s="556"/>
      <c r="AR420" s="510"/>
      <c r="AS420" s="556"/>
      <c r="AT420" s="510"/>
      <c r="AU420" s="556"/>
      <c r="AV420" s="510"/>
      <c r="AW420" s="556"/>
      <c r="AX420" s="510"/>
      <c r="AY420" s="556"/>
      <c r="AZ420" s="510"/>
      <c r="BA420" s="130"/>
      <c r="BB420" s="130"/>
      <c r="BC420" s="130"/>
      <c r="BD420" s="130"/>
      <c r="BE420" s="130"/>
      <c r="BF420" s="130"/>
      <c r="BG420" s="130"/>
      <c r="BH420" s="130"/>
      <c r="BI420" s="130"/>
      <c r="BJ420" s="130"/>
      <c r="BK420" s="130"/>
      <c r="BL420" s="130"/>
      <c r="BM420" s="130"/>
      <c r="BN420" s="130"/>
      <c r="BO420" s="130"/>
      <c r="BP420" s="130"/>
      <c r="BQ420" s="130"/>
      <c r="BR420" s="130"/>
      <c r="BS420" s="130"/>
      <c r="BT420" s="130"/>
    </row>
    <row r="421" spans="1:72" ht="15" customHeight="1">
      <c r="A421" s="525"/>
      <c r="B421" s="143" t="s">
        <v>307</v>
      </c>
      <c r="C421" s="566"/>
      <c r="D421" s="544"/>
      <c r="E421" s="566"/>
      <c r="F421" s="544"/>
      <c r="G421" s="566"/>
      <c r="H421" s="544"/>
      <c r="I421" s="566"/>
      <c r="J421" s="544"/>
      <c r="K421" s="566"/>
      <c r="L421" s="544"/>
      <c r="M421" s="566"/>
      <c r="N421" s="544"/>
      <c r="O421" s="566"/>
      <c r="P421" s="544"/>
      <c r="Q421" s="566"/>
      <c r="R421" s="544"/>
      <c r="S421" s="566"/>
      <c r="T421" s="544"/>
      <c r="U421" s="133"/>
      <c r="V421" s="133"/>
      <c r="W421" s="566"/>
      <c r="X421" s="544"/>
      <c r="Y421" s="553"/>
      <c r="Z421" s="510"/>
      <c r="AA421" s="553"/>
      <c r="AB421" s="510"/>
      <c r="AC421" s="553"/>
      <c r="AD421" s="510"/>
      <c r="AE421" s="553"/>
      <c r="AF421" s="510"/>
      <c r="AG421" s="553"/>
      <c r="AH421" s="510"/>
      <c r="AI421" s="553"/>
      <c r="AJ421" s="510"/>
      <c r="AK421" s="566"/>
      <c r="AL421" s="544"/>
      <c r="AM421" s="553"/>
      <c r="AN421" s="510"/>
      <c r="AO421" s="553"/>
      <c r="AP421" s="510"/>
      <c r="AQ421" s="553"/>
      <c r="AR421" s="510"/>
      <c r="AS421" s="553"/>
      <c r="AT421" s="510"/>
      <c r="AU421" s="553"/>
      <c r="AV421" s="510"/>
      <c r="AW421" s="553"/>
      <c r="AX421" s="510"/>
      <c r="AY421" s="553"/>
      <c r="AZ421" s="510"/>
      <c r="BA421" s="130"/>
      <c r="BB421" s="130"/>
      <c r="BC421" s="130"/>
      <c r="BD421" s="130"/>
      <c r="BE421" s="130"/>
      <c r="BF421" s="130"/>
      <c r="BG421" s="130"/>
      <c r="BH421" s="130"/>
      <c r="BI421" s="130"/>
      <c r="BJ421" s="130"/>
      <c r="BK421" s="130"/>
      <c r="BL421" s="130"/>
      <c r="BM421" s="130"/>
      <c r="BN421" s="130"/>
      <c r="BO421" s="130"/>
      <c r="BP421" s="130"/>
      <c r="BQ421" s="130"/>
      <c r="BR421" s="130"/>
      <c r="BS421" s="130"/>
      <c r="BT421" s="130"/>
    </row>
    <row r="422" spans="1:72" ht="15.75" customHeight="1">
      <c r="A422" s="560" t="s">
        <v>742</v>
      </c>
      <c r="B422" s="144" t="s">
        <v>743</v>
      </c>
      <c r="C422" s="605"/>
      <c r="D422" s="595"/>
      <c r="E422" s="609"/>
      <c r="F422" s="595"/>
      <c r="G422" s="609"/>
      <c r="H422" s="595"/>
      <c r="I422" s="609"/>
      <c r="J422" s="595"/>
      <c r="K422" s="609"/>
      <c r="L422" s="595"/>
      <c r="M422" s="609"/>
      <c r="N422" s="595"/>
      <c r="O422" s="609"/>
      <c r="P422" s="595"/>
      <c r="Q422" s="609"/>
      <c r="R422" s="595"/>
      <c r="S422" s="145"/>
      <c r="T422" s="145"/>
      <c r="U422" s="145"/>
      <c r="V422" s="145"/>
      <c r="W422" s="145"/>
      <c r="X422" s="145"/>
      <c r="Y422" s="145"/>
      <c r="Z422" s="145"/>
      <c r="AA422" s="145"/>
      <c r="AB422" s="145"/>
      <c r="AC422" s="145"/>
      <c r="AD422" s="145"/>
      <c r="AE422" s="145"/>
      <c r="AF422" s="145"/>
      <c r="AG422" s="145"/>
      <c r="AH422" s="145"/>
      <c r="AI422" s="145"/>
      <c r="AJ422" s="145"/>
      <c r="AK422" s="609"/>
      <c r="AL422" s="595"/>
      <c r="AM422" s="145"/>
      <c r="AN422" s="145"/>
      <c r="AO422" s="145"/>
      <c r="AP422" s="145"/>
      <c r="AQ422" s="145"/>
      <c r="AR422" s="145"/>
      <c r="AS422" s="609"/>
      <c r="AT422" s="595"/>
      <c r="AU422" s="609"/>
      <c r="AV422" s="595"/>
      <c r="AW422" s="609"/>
      <c r="AX422" s="595"/>
      <c r="AY422" s="609"/>
      <c r="AZ422" s="595"/>
      <c r="BA422" s="130"/>
      <c r="BB422" s="130"/>
      <c r="BC422" s="130"/>
      <c r="BD422" s="130"/>
      <c r="BE422" s="130"/>
      <c r="BF422" s="130"/>
      <c r="BG422" s="130"/>
      <c r="BH422" s="130"/>
      <c r="BI422" s="130"/>
      <c r="BJ422" s="130"/>
      <c r="BK422" s="130"/>
      <c r="BL422" s="130"/>
      <c r="BM422" s="130"/>
      <c r="BN422" s="130"/>
      <c r="BO422" s="130"/>
      <c r="BP422" s="130"/>
      <c r="BQ422" s="130"/>
      <c r="BR422" s="130"/>
      <c r="BS422" s="130"/>
      <c r="BT422" s="130"/>
    </row>
    <row r="423" spans="1:72" ht="15.75" customHeight="1">
      <c r="A423" s="524"/>
      <c r="B423" s="146" t="s">
        <v>744</v>
      </c>
      <c r="C423" s="577"/>
      <c r="D423" s="578"/>
      <c r="E423" s="577"/>
      <c r="F423" s="578"/>
      <c r="G423" s="577"/>
      <c r="H423" s="578"/>
      <c r="I423" s="577"/>
      <c r="J423" s="578"/>
      <c r="K423" s="577"/>
      <c r="L423" s="578"/>
      <c r="M423" s="577"/>
      <c r="N423" s="578"/>
      <c r="O423" s="577"/>
      <c r="P423" s="578"/>
      <c r="Q423" s="577"/>
      <c r="R423" s="578"/>
      <c r="S423" s="577"/>
      <c r="T423" s="578"/>
      <c r="U423" s="147"/>
      <c r="V423" s="147"/>
      <c r="W423" s="577"/>
      <c r="X423" s="578"/>
      <c r="Y423" s="577"/>
      <c r="Z423" s="578"/>
      <c r="AA423" s="577"/>
      <c r="AB423" s="578"/>
      <c r="AC423" s="577"/>
      <c r="AD423" s="578"/>
      <c r="AE423" s="577"/>
      <c r="AF423" s="578"/>
      <c r="AG423" s="577"/>
      <c r="AH423" s="578"/>
      <c r="AI423" s="577"/>
      <c r="AJ423" s="578"/>
      <c r="AK423" s="577"/>
      <c r="AL423" s="578"/>
      <c r="AM423" s="577"/>
      <c r="AN423" s="578"/>
      <c r="AO423" s="577"/>
      <c r="AP423" s="578"/>
      <c r="AQ423" s="556"/>
      <c r="AR423" s="510"/>
      <c r="AS423" s="556"/>
      <c r="AT423" s="510"/>
      <c r="AU423" s="556"/>
      <c r="AV423" s="510"/>
      <c r="AW423" s="556"/>
      <c r="AX423" s="510"/>
      <c r="AY423" s="556"/>
      <c r="AZ423" s="510"/>
      <c r="BA423" s="130"/>
      <c r="BB423" s="130"/>
      <c r="BC423" s="130"/>
      <c r="BD423" s="130"/>
      <c r="BE423" s="130"/>
      <c r="BF423" s="130"/>
      <c r="BG423" s="130"/>
      <c r="BH423" s="130"/>
      <c r="BI423" s="130"/>
      <c r="BJ423" s="130"/>
      <c r="BK423" s="130"/>
      <c r="BL423" s="130"/>
      <c r="BM423" s="130"/>
      <c r="BN423" s="130"/>
      <c r="BO423" s="130"/>
      <c r="BP423" s="130"/>
      <c r="BQ423" s="130"/>
      <c r="BR423" s="130"/>
      <c r="BS423" s="130"/>
      <c r="BT423" s="130"/>
    </row>
    <row r="424" spans="1:72" ht="15.75" customHeight="1">
      <c r="A424" s="524"/>
      <c r="B424" s="93" t="s">
        <v>745</v>
      </c>
      <c r="C424" s="556"/>
      <c r="D424" s="510"/>
      <c r="E424" s="556"/>
      <c r="F424" s="510"/>
      <c r="G424" s="556"/>
      <c r="H424" s="510"/>
      <c r="I424" s="556"/>
      <c r="J424" s="510"/>
      <c r="K424" s="556"/>
      <c r="L424" s="510"/>
      <c r="M424" s="556"/>
      <c r="N424" s="510"/>
      <c r="O424" s="556"/>
      <c r="P424" s="510"/>
      <c r="Q424" s="556"/>
      <c r="R424" s="510"/>
      <c r="S424" s="556"/>
      <c r="T424" s="510"/>
      <c r="U424" s="142"/>
      <c r="V424" s="142"/>
      <c r="W424" s="556"/>
      <c r="X424" s="510"/>
      <c r="Y424" s="556"/>
      <c r="Z424" s="510"/>
      <c r="AA424" s="556"/>
      <c r="AB424" s="510"/>
      <c r="AC424" s="556"/>
      <c r="AD424" s="510"/>
      <c r="AE424" s="556"/>
      <c r="AF424" s="510"/>
      <c r="AG424" s="556"/>
      <c r="AH424" s="510"/>
      <c r="AI424" s="556"/>
      <c r="AJ424" s="510"/>
      <c r="AK424" s="556"/>
      <c r="AL424" s="510"/>
      <c r="AM424" s="556"/>
      <c r="AN424" s="510"/>
      <c r="AO424" s="556"/>
      <c r="AP424" s="510"/>
      <c r="AQ424" s="556"/>
      <c r="AR424" s="510"/>
      <c r="AS424" s="556"/>
      <c r="AT424" s="510"/>
      <c r="AU424" s="556"/>
      <c r="AV424" s="510"/>
      <c r="AW424" s="556"/>
      <c r="AX424" s="510"/>
      <c r="AY424" s="556"/>
      <c r="AZ424" s="510"/>
      <c r="BA424" s="130"/>
      <c r="BB424" s="130"/>
      <c r="BC424" s="130"/>
      <c r="BD424" s="130"/>
      <c r="BE424" s="130"/>
      <c r="BF424" s="130"/>
      <c r="BG424" s="130"/>
      <c r="BH424" s="130"/>
      <c r="BI424" s="130"/>
      <c r="BJ424" s="130"/>
      <c r="BK424" s="130"/>
      <c r="BL424" s="130"/>
      <c r="BM424" s="130"/>
      <c r="BN424" s="130"/>
      <c r="BO424" s="130"/>
      <c r="BP424" s="130"/>
      <c r="BQ424" s="130"/>
      <c r="BR424" s="130"/>
      <c r="BS424" s="130"/>
      <c r="BT424" s="130"/>
    </row>
    <row r="425" spans="1:72" ht="15.75" customHeight="1">
      <c r="A425" s="524"/>
      <c r="B425" s="93" t="s">
        <v>746</v>
      </c>
      <c r="C425" s="556"/>
      <c r="D425" s="510"/>
      <c r="E425" s="556"/>
      <c r="F425" s="510"/>
      <c r="G425" s="556"/>
      <c r="H425" s="510"/>
      <c r="I425" s="556"/>
      <c r="J425" s="510"/>
      <c r="K425" s="556"/>
      <c r="L425" s="510"/>
      <c r="M425" s="556"/>
      <c r="N425" s="510"/>
      <c r="O425" s="556"/>
      <c r="P425" s="510"/>
      <c r="Q425" s="556"/>
      <c r="R425" s="510"/>
      <c r="S425" s="556"/>
      <c r="T425" s="510"/>
      <c r="U425" s="142"/>
      <c r="V425" s="142"/>
      <c r="W425" s="556"/>
      <c r="X425" s="510"/>
      <c r="Y425" s="556"/>
      <c r="Z425" s="510"/>
      <c r="AA425" s="556"/>
      <c r="AB425" s="510"/>
      <c r="AC425" s="556"/>
      <c r="AD425" s="510"/>
      <c r="AE425" s="556"/>
      <c r="AF425" s="510"/>
      <c r="AG425" s="556"/>
      <c r="AH425" s="510"/>
      <c r="AI425" s="556"/>
      <c r="AJ425" s="510"/>
      <c r="AK425" s="556"/>
      <c r="AL425" s="510"/>
      <c r="AM425" s="556"/>
      <c r="AN425" s="510"/>
      <c r="AO425" s="556"/>
      <c r="AP425" s="510"/>
      <c r="AQ425" s="556"/>
      <c r="AR425" s="510"/>
      <c r="AS425" s="556"/>
      <c r="AT425" s="510"/>
      <c r="AU425" s="556"/>
      <c r="AV425" s="510"/>
      <c r="AW425" s="556"/>
      <c r="AX425" s="510"/>
      <c r="AY425" s="556"/>
      <c r="AZ425" s="510"/>
      <c r="BA425" s="130"/>
      <c r="BB425" s="130"/>
      <c r="BC425" s="130"/>
      <c r="BD425" s="130"/>
      <c r="BE425" s="130"/>
      <c r="BF425" s="130"/>
      <c r="BG425" s="130"/>
      <c r="BH425" s="130"/>
      <c r="BI425" s="130"/>
      <c r="BJ425" s="130"/>
      <c r="BK425" s="130"/>
      <c r="BL425" s="130"/>
      <c r="BM425" s="130"/>
      <c r="BN425" s="130"/>
      <c r="BO425" s="130"/>
      <c r="BP425" s="130"/>
      <c r="BQ425" s="130"/>
      <c r="BR425" s="130"/>
      <c r="BS425" s="130"/>
      <c r="BT425" s="130"/>
    </row>
    <row r="426" spans="1:72" ht="15" customHeight="1">
      <c r="A426" s="525"/>
      <c r="B426" s="135" t="s">
        <v>307</v>
      </c>
      <c r="C426" s="553"/>
      <c r="D426" s="510"/>
      <c r="E426" s="553"/>
      <c r="F426" s="510"/>
      <c r="G426" s="553"/>
      <c r="H426" s="510"/>
      <c r="I426" s="553"/>
      <c r="J426" s="510"/>
      <c r="K426" s="553"/>
      <c r="L426" s="510"/>
      <c r="M426" s="553"/>
      <c r="N426" s="510"/>
      <c r="O426" s="553"/>
      <c r="P426" s="510"/>
      <c r="Q426" s="553"/>
      <c r="R426" s="510"/>
      <c r="S426" s="553"/>
      <c r="T426" s="510"/>
      <c r="U426" s="134"/>
      <c r="V426" s="134"/>
      <c r="W426" s="553"/>
      <c r="X426" s="510"/>
      <c r="Y426" s="553"/>
      <c r="Z426" s="510"/>
      <c r="AA426" s="553"/>
      <c r="AB426" s="510"/>
      <c r="AC426" s="553"/>
      <c r="AD426" s="510"/>
      <c r="AE426" s="553"/>
      <c r="AF426" s="510"/>
      <c r="AG426" s="553"/>
      <c r="AH426" s="510"/>
      <c r="AI426" s="553"/>
      <c r="AJ426" s="510"/>
      <c r="AK426" s="553"/>
      <c r="AL426" s="510"/>
      <c r="AM426" s="553"/>
      <c r="AN426" s="510"/>
      <c r="AO426" s="553"/>
      <c r="AP426" s="510"/>
      <c r="AQ426" s="553"/>
      <c r="AR426" s="510"/>
      <c r="AS426" s="553"/>
      <c r="AT426" s="510"/>
      <c r="AU426" s="553"/>
      <c r="AV426" s="510"/>
      <c r="AW426" s="553"/>
      <c r="AX426" s="510"/>
      <c r="AY426" s="553"/>
      <c r="AZ426" s="510"/>
      <c r="BA426" s="130"/>
      <c r="BB426" s="130"/>
      <c r="BC426" s="130"/>
      <c r="BD426" s="130"/>
      <c r="BE426" s="130"/>
      <c r="BF426" s="130"/>
      <c r="BG426" s="130"/>
      <c r="BH426" s="130"/>
      <c r="BI426" s="130"/>
      <c r="BJ426" s="130"/>
      <c r="BK426" s="130"/>
      <c r="BL426" s="130"/>
      <c r="BM426" s="130"/>
      <c r="BN426" s="130"/>
      <c r="BO426" s="130"/>
      <c r="BP426" s="130"/>
      <c r="BQ426" s="130"/>
      <c r="BR426" s="130"/>
      <c r="BS426" s="130"/>
      <c r="BT426" s="130"/>
    </row>
    <row r="427" spans="1:72" ht="15.75" customHeight="1">
      <c r="A427" s="560" t="s">
        <v>747</v>
      </c>
      <c r="B427" s="93" t="s">
        <v>748</v>
      </c>
      <c r="C427" s="556"/>
      <c r="D427" s="510"/>
      <c r="E427" s="556"/>
      <c r="F427" s="510"/>
      <c r="G427" s="556"/>
      <c r="H427" s="510"/>
      <c r="I427" s="556"/>
      <c r="J427" s="510"/>
      <c r="K427" s="556"/>
      <c r="L427" s="510"/>
      <c r="M427" s="556"/>
      <c r="N427" s="510"/>
      <c r="O427" s="556"/>
      <c r="P427" s="510"/>
      <c r="Q427" s="556"/>
      <c r="R427" s="510"/>
      <c r="S427" s="556"/>
      <c r="T427" s="510"/>
      <c r="U427" s="142"/>
      <c r="V427" s="142"/>
      <c r="W427" s="556"/>
      <c r="X427" s="510"/>
      <c r="Y427" s="556"/>
      <c r="Z427" s="510"/>
      <c r="AA427" s="556"/>
      <c r="AB427" s="510"/>
      <c r="AC427" s="556"/>
      <c r="AD427" s="510"/>
      <c r="AE427" s="556"/>
      <c r="AF427" s="510"/>
      <c r="AG427" s="556"/>
      <c r="AH427" s="510"/>
      <c r="AI427" s="556"/>
      <c r="AJ427" s="510"/>
      <c r="AK427" s="556"/>
      <c r="AL427" s="510"/>
      <c r="AM427" s="556"/>
      <c r="AN427" s="510"/>
      <c r="AO427" s="556"/>
      <c r="AP427" s="510"/>
      <c r="AQ427" s="556"/>
      <c r="AR427" s="510"/>
      <c r="AS427" s="556"/>
      <c r="AT427" s="510"/>
      <c r="AU427" s="556"/>
      <c r="AV427" s="510"/>
      <c r="AW427" s="555">
        <v>1</v>
      </c>
      <c r="AX427" s="510"/>
      <c r="AY427" s="556"/>
      <c r="AZ427" s="510"/>
      <c r="BA427" s="130"/>
      <c r="BB427" s="130"/>
      <c r="BC427" s="130"/>
      <c r="BD427" s="130"/>
      <c r="BE427" s="130"/>
      <c r="BF427" s="130"/>
      <c r="BG427" s="130"/>
      <c r="BH427" s="130"/>
      <c r="BI427" s="130"/>
      <c r="BJ427" s="130"/>
      <c r="BK427" s="130"/>
      <c r="BL427" s="130"/>
      <c r="BM427" s="130"/>
      <c r="BN427" s="130"/>
      <c r="BO427" s="130"/>
      <c r="BP427" s="130"/>
      <c r="BQ427" s="130"/>
      <c r="BR427" s="130"/>
      <c r="BS427" s="130"/>
      <c r="BT427" s="130"/>
    </row>
    <row r="428" spans="1:72" ht="15" customHeight="1">
      <c r="A428" s="524"/>
      <c r="B428" s="140" t="s">
        <v>749</v>
      </c>
      <c r="C428" s="554"/>
      <c r="D428" s="510"/>
      <c r="E428" s="554"/>
      <c r="F428" s="510"/>
      <c r="G428" s="554"/>
      <c r="H428" s="510"/>
      <c r="I428" s="554"/>
      <c r="J428" s="510"/>
      <c r="K428" s="554"/>
      <c r="L428" s="510"/>
      <c r="M428" s="554"/>
      <c r="N428" s="510"/>
      <c r="O428" s="554"/>
      <c r="P428" s="510"/>
      <c r="Q428" s="554"/>
      <c r="R428" s="510"/>
      <c r="S428" s="554"/>
      <c r="T428" s="510"/>
      <c r="U428" s="139"/>
      <c r="V428" s="139"/>
      <c r="W428" s="554"/>
      <c r="X428" s="510"/>
      <c r="Y428" s="554"/>
      <c r="Z428" s="510"/>
      <c r="AA428" s="554"/>
      <c r="AB428" s="510"/>
      <c r="AC428" s="554"/>
      <c r="AD428" s="510"/>
      <c r="AE428" s="554"/>
      <c r="AF428" s="510"/>
      <c r="AG428" s="554"/>
      <c r="AH428" s="510"/>
      <c r="AI428" s="554"/>
      <c r="AJ428" s="510"/>
      <c r="AK428" s="554"/>
      <c r="AL428" s="510"/>
      <c r="AM428" s="554"/>
      <c r="AN428" s="510"/>
      <c r="AO428" s="554"/>
      <c r="AP428" s="510"/>
      <c r="AQ428" s="554"/>
      <c r="AR428" s="510"/>
      <c r="AS428" s="554"/>
      <c r="AT428" s="510"/>
      <c r="AU428" s="554"/>
      <c r="AV428" s="510"/>
      <c r="AW428" s="557" t="s">
        <v>750</v>
      </c>
      <c r="AX428" s="510"/>
      <c r="AY428" s="554"/>
      <c r="AZ428" s="510"/>
      <c r="BA428" s="130"/>
      <c r="BB428" s="130"/>
      <c r="BC428" s="130"/>
      <c r="BD428" s="130"/>
      <c r="BE428" s="130"/>
      <c r="BF428" s="130"/>
      <c r="BG428" s="130"/>
      <c r="BH428" s="130"/>
      <c r="BI428" s="130"/>
      <c r="BJ428" s="130"/>
      <c r="BK428" s="130"/>
      <c r="BL428" s="130"/>
      <c r="BM428" s="130"/>
      <c r="BN428" s="130"/>
      <c r="BO428" s="130"/>
      <c r="BP428" s="130"/>
      <c r="BQ428" s="130"/>
      <c r="BR428" s="130"/>
      <c r="BS428" s="130"/>
      <c r="BT428" s="130"/>
    </row>
    <row r="429" spans="1:72" ht="15" customHeight="1">
      <c r="A429" s="525"/>
      <c r="B429" s="135" t="s">
        <v>307</v>
      </c>
      <c r="C429" s="553"/>
      <c r="D429" s="510"/>
      <c r="E429" s="553"/>
      <c r="F429" s="510"/>
      <c r="G429" s="553"/>
      <c r="H429" s="510"/>
      <c r="I429" s="553"/>
      <c r="J429" s="510"/>
      <c r="K429" s="553"/>
      <c r="L429" s="510"/>
      <c r="M429" s="553"/>
      <c r="N429" s="510"/>
      <c r="O429" s="553"/>
      <c r="P429" s="510"/>
      <c r="Q429" s="553"/>
      <c r="R429" s="510"/>
      <c r="S429" s="553"/>
      <c r="T429" s="510"/>
      <c r="U429" s="134"/>
      <c r="V429" s="134"/>
      <c r="W429" s="553"/>
      <c r="X429" s="510"/>
      <c r="Y429" s="553"/>
      <c r="Z429" s="510"/>
      <c r="AA429" s="553"/>
      <c r="AB429" s="510"/>
      <c r="AC429" s="553"/>
      <c r="AD429" s="510"/>
      <c r="AE429" s="553"/>
      <c r="AF429" s="510"/>
      <c r="AG429" s="553"/>
      <c r="AH429" s="510"/>
      <c r="AI429" s="553"/>
      <c r="AJ429" s="510"/>
      <c r="AK429" s="553"/>
      <c r="AL429" s="510"/>
      <c r="AM429" s="553"/>
      <c r="AN429" s="510"/>
      <c r="AO429" s="553"/>
      <c r="AP429" s="510"/>
      <c r="AQ429" s="553"/>
      <c r="AR429" s="510"/>
      <c r="AS429" s="553"/>
      <c r="AT429" s="510"/>
      <c r="AU429" s="553"/>
      <c r="AV429" s="510"/>
      <c r="AW429" s="553"/>
      <c r="AX429" s="510"/>
      <c r="AY429" s="553"/>
      <c r="AZ429" s="510"/>
      <c r="BA429" s="130"/>
      <c r="BB429" s="130"/>
      <c r="BC429" s="130"/>
      <c r="BD429" s="130"/>
      <c r="BE429" s="130"/>
      <c r="BF429" s="130"/>
      <c r="BG429" s="130"/>
      <c r="BH429" s="130"/>
      <c r="BI429" s="130"/>
      <c r="BJ429" s="130"/>
      <c r="BK429" s="130"/>
      <c r="BL429" s="130"/>
      <c r="BM429" s="130"/>
      <c r="BN429" s="130"/>
      <c r="BO429" s="130"/>
      <c r="BP429" s="130"/>
      <c r="BQ429" s="130"/>
      <c r="BR429" s="130"/>
      <c r="BS429" s="130"/>
      <c r="BT429" s="130"/>
    </row>
    <row r="430" spans="1:72" ht="15" customHeight="1">
      <c r="A430" s="126" t="s">
        <v>751</v>
      </c>
      <c r="B430" s="126" t="s">
        <v>752</v>
      </c>
      <c r="C430" s="148"/>
      <c r="D430" s="149"/>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130"/>
      <c r="BD430" s="130"/>
      <c r="BE430" s="130"/>
      <c r="BF430" s="130"/>
      <c r="BG430" s="130"/>
      <c r="BH430" s="130"/>
      <c r="BI430" s="130"/>
      <c r="BJ430" s="130"/>
      <c r="BK430" s="130"/>
      <c r="BL430" s="130"/>
      <c r="BM430" s="130"/>
      <c r="BN430" s="130"/>
      <c r="BO430" s="130"/>
      <c r="BP430" s="130"/>
      <c r="BQ430" s="130"/>
      <c r="BR430" s="130"/>
      <c r="BS430" s="130"/>
      <c r="BT430" s="130"/>
    </row>
    <row r="431" spans="1:72" ht="15" customHeight="1">
      <c r="A431" s="150"/>
      <c r="B431" s="151" t="s">
        <v>753</v>
      </c>
      <c r="C431" s="152"/>
      <c r="D431" s="153"/>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130"/>
      <c r="BD431" s="130"/>
      <c r="BE431" s="130"/>
      <c r="BF431" s="130"/>
      <c r="BG431" s="130"/>
      <c r="BH431" s="130"/>
      <c r="BI431" s="130"/>
      <c r="BJ431" s="130"/>
      <c r="BK431" s="130"/>
      <c r="BL431" s="130"/>
      <c r="BM431" s="130"/>
      <c r="BN431" s="130"/>
      <c r="BO431" s="130"/>
      <c r="BP431" s="130"/>
      <c r="BQ431" s="130"/>
      <c r="BR431" s="130"/>
      <c r="BS431" s="130"/>
      <c r="BT431" s="130"/>
    </row>
    <row r="432" spans="1:72" ht="15" customHeight="1">
      <c r="A432" s="612">
        <v>8</v>
      </c>
      <c r="B432" s="612" t="s">
        <v>754</v>
      </c>
      <c r="C432" s="613" t="s">
        <v>299</v>
      </c>
      <c r="D432" s="510"/>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130"/>
      <c r="BD432" s="130"/>
      <c r="BE432" s="130"/>
      <c r="BF432" s="130"/>
      <c r="BG432" s="130"/>
      <c r="BH432" s="130"/>
      <c r="BI432" s="130"/>
      <c r="BJ432" s="130"/>
      <c r="BK432" s="130"/>
      <c r="BL432" s="130"/>
      <c r="BM432" s="130"/>
      <c r="BN432" s="130"/>
      <c r="BO432" s="130"/>
      <c r="BP432" s="130"/>
      <c r="BQ432" s="130"/>
      <c r="BR432" s="130"/>
      <c r="BS432" s="130"/>
      <c r="BT432" s="130"/>
    </row>
    <row r="433" spans="1:72" ht="15.75" customHeight="1">
      <c r="A433" s="525"/>
      <c r="B433" s="525"/>
      <c r="C433" s="154" t="s">
        <v>300</v>
      </c>
      <c r="D433" s="154" t="s">
        <v>301</v>
      </c>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130"/>
      <c r="BD433" s="130"/>
      <c r="BE433" s="130"/>
      <c r="BF433" s="130"/>
      <c r="BG433" s="130"/>
      <c r="BH433" s="130"/>
      <c r="BI433" s="130"/>
      <c r="BJ433" s="130"/>
      <c r="BK433" s="130"/>
      <c r="BL433" s="130"/>
      <c r="BM433" s="130"/>
      <c r="BN433" s="130"/>
      <c r="BO433" s="130"/>
      <c r="BP433" s="130"/>
      <c r="BQ433" s="130"/>
      <c r="BR433" s="130"/>
      <c r="BS433" s="130"/>
      <c r="BT433" s="130"/>
    </row>
    <row r="434" spans="1:72" ht="15.75" customHeight="1">
      <c r="A434" s="560" t="s">
        <v>755</v>
      </c>
      <c r="B434" s="93" t="s">
        <v>756</v>
      </c>
      <c r="C434" s="556">
        <v>0</v>
      </c>
      <c r="D434" s="510"/>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130"/>
      <c r="BD434" s="130"/>
      <c r="BE434" s="130"/>
      <c r="BF434" s="130"/>
      <c r="BG434" s="130"/>
      <c r="BH434" s="130"/>
      <c r="BI434" s="130"/>
      <c r="BJ434" s="130"/>
      <c r="BK434" s="130"/>
      <c r="BL434" s="130"/>
      <c r="BM434" s="130"/>
      <c r="BN434" s="130"/>
      <c r="BO434" s="130"/>
      <c r="BP434" s="130"/>
      <c r="BQ434" s="130"/>
      <c r="BR434" s="130"/>
      <c r="BS434" s="130"/>
      <c r="BT434" s="130"/>
    </row>
    <row r="435" spans="1:72" ht="15.75" customHeight="1">
      <c r="A435" s="525"/>
      <c r="B435" s="73" t="s">
        <v>307</v>
      </c>
      <c r="C435" s="74"/>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155"/>
      <c r="BC435" s="130"/>
      <c r="BD435" s="130"/>
      <c r="BE435" s="130"/>
      <c r="BF435" s="130"/>
      <c r="BG435" s="130"/>
      <c r="BH435" s="130"/>
      <c r="BI435" s="130"/>
      <c r="BJ435" s="130"/>
      <c r="BK435" s="130"/>
      <c r="BL435" s="130"/>
      <c r="BM435" s="130"/>
      <c r="BN435" s="130"/>
      <c r="BO435" s="130"/>
      <c r="BP435" s="130"/>
      <c r="BQ435" s="130"/>
      <c r="BR435" s="130"/>
      <c r="BS435" s="130"/>
      <c r="BT435" s="130"/>
    </row>
    <row r="436" spans="1:72" ht="15.75" customHeight="1">
      <c r="A436" s="560" t="s">
        <v>757</v>
      </c>
      <c r="B436" s="93" t="s">
        <v>758</v>
      </c>
      <c r="C436" s="556">
        <v>0</v>
      </c>
      <c r="D436" s="510"/>
      <c r="E436" s="79"/>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156"/>
      <c r="BC436" s="130"/>
      <c r="BD436" s="130"/>
      <c r="BE436" s="130"/>
      <c r="BF436" s="130"/>
      <c r="BG436" s="130"/>
      <c r="BH436" s="130"/>
      <c r="BI436" s="130"/>
      <c r="BJ436" s="130"/>
      <c r="BK436" s="130"/>
      <c r="BL436" s="130"/>
      <c r="BM436" s="130"/>
      <c r="BN436" s="130"/>
      <c r="BO436" s="130"/>
      <c r="BP436" s="130"/>
      <c r="BQ436" s="130"/>
      <c r="BR436" s="130"/>
      <c r="BS436" s="130"/>
      <c r="BT436" s="130"/>
    </row>
    <row r="437" spans="1:72" ht="15.75" customHeight="1">
      <c r="A437" s="525"/>
      <c r="B437" s="73" t="s">
        <v>307</v>
      </c>
      <c r="C437" s="74"/>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155"/>
      <c r="BC437" s="130"/>
      <c r="BD437" s="130"/>
      <c r="BE437" s="130"/>
      <c r="BF437" s="130"/>
      <c r="BG437" s="130"/>
      <c r="BH437" s="130"/>
      <c r="BI437" s="130"/>
      <c r="BJ437" s="130"/>
      <c r="BK437" s="130"/>
      <c r="BL437" s="130"/>
      <c r="BM437" s="130"/>
      <c r="BN437" s="130"/>
      <c r="BO437" s="130"/>
      <c r="BP437" s="130"/>
      <c r="BQ437" s="130"/>
      <c r="BR437" s="130"/>
      <c r="BS437" s="130"/>
      <c r="BT437" s="130"/>
    </row>
    <row r="438" spans="1:72" ht="15" customHeight="1">
      <c r="A438" s="560" t="s">
        <v>759</v>
      </c>
      <c r="B438" s="93" t="s">
        <v>760</v>
      </c>
      <c r="C438" s="556">
        <v>0</v>
      </c>
      <c r="D438" s="510"/>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157"/>
      <c r="BC438" s="130"/>
      <c r="BD438" s="130"/>
      <c r="BE438" s="130"/>
      <c r="BF438" s="130"/>
      <c r="BG438" s="130"/>
      <c r="BH438" s="130"/>
      <c r="BI438" s="130"/>
      <c r="BJ438" s="130"/>
      <c r="BK438" s="130"/>
      <c r="BL438" s="130"/>
      <c r="BM438" s="130"/>
      <c r="BN438" s="130"/>
      <c r="BO438" s="130"/>
      <c r="BP438" s="130"/>
      <c r="BQ438" s="130"/>
      <c r="BR438" s="130"/>
      <c r="BS438" s="130"/>
      <c r="BT438" s="130"/>
    </row>
    <row r="439" spans="1:72" ht="15.75" customHeight="1">
      <c r="A439" s="525"/>
      <c r="B439" s="73" t="s">
        <v>307</v>
      </c>
      <c r="C439" s="74"/>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155"/>
      <c r="BC439" s="130"/>
      <c r="BD439" s="130"/>
      <c r="BE439" s="130"/>
      <c r="BF439" s="130"/>
      <c r="BG439" s="130"/>
      <c r="BH439" s="130"/>
      <c r="BI439" s="130"/>
      <c r="BJ439" s="130"/>
      <c r="BK439" s="130"/>
      <c r="BL439" s="130"/>
      <c r="BM439" s="130"/>
      <c r="BN439" s="130"/>
      <c r="BO439" s="130"/>
      <c r="BP439" s="130"/>
      <c r="BQ439" s="130"/>
      <c r="BR439" s="130"/>
      <c r="BS439" s="130"/>
      <c r="BT439" s="130"/>
    </row>
    <row r="440" spans="1:72" ht="15" customHeight="1">
      <c r="A440" s="560" t="s">
        <v>761</v>
      </c>
      <c r="B440" s="93" t="s">
        <v>762</v>
      </c>
      <c r="C440" s="556">
        <v>0</v>
      </c>
      <c r="D440" s="510"/>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157"/>
      <c r="BC440" s="130"/>
      <c r="BD440" s="130"/>
      <c r="BE440" s="130"/>
      <c r="BF440" s="130"/>
      <c r="BG440" s="130"/>
      <c r="BH440" s="130"/>
      <c r="BI440" s="130"/>
      <c r="BJ440" s="130"/>
      <c r="BK440" s="130"/>
      <c r="BL440" s="130"/>
      <c r="BM440" s="130"/>
      <c r="BN440" s="130"/>
      <c r="BO440" s="130"/>
      <c r="BP440" s="130"/>
      <c r="BQ440" s="130"/>
      <c r="BR440" s="130"/>
      <c r="BS440" s="130"/>
      <c r="BT440" s="130"/>
    </row>
    <row r="441" spans="1:72" ht="15.75" customHeight="1">
      <c r="A441" s="525"/>
      <c r="B441" s="73" t="s">
        <v>307</v>
      </c>
      <c r="C441" s="74"/>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155"/>
      <c r="BC441" s="130"/>
      <c r="BD441" s="130"/>
      <c r="BE441" s="130"/>
      <c r="BF441" s="130"/>
      <c r="BG441" s="130"/>
      <c r="BH441" s="130"/>
      <c r="BI441" s="130"/>
      <c r="BJ441" s="130"/>
      <c r="BK441" s="130"/>
      <c r="BL441" s="130"/>
      <c r="BM441" s="130"/>
      <c r="BN441" s="130"/>
      <c r="BO441" s="130"/>
      <c r="BP441" s="130"/>
      <c r="BQ441" s="130"/>
      <c r="BR441" s="130"/>
      <c r="BS441" s="130"/>
      <c r="BT441" s="130"/>
    </row>
    <row r="442" spans="1:72" ht="15.75" customHeight="1">
      <c r="A442" s="560" t="s">
        <v>763</v>
      </c>
      <c r="B442" s="93" t="s">
        <v>764</v>
      </c>
      <c r="C442" s="556">
        <v>0</v>
      </c>
      <c r="D442" s="510"/>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157"/>
      <c r="BC442" s="130"/>
      <c r="BD442" s="130"/>
      <c r="BE442" s="130"/>
      <c r="BF442" s="130"/>
      <c r="BG442" s="130"/>
      <c r="BH442" s="130"/>
      <c r="BI442" s="130"/>
      <c r="BJ442" s="130"/>
      <c r="BK442" s="130"/>
      <c r="BL442" s="130"/>
      <c r="BM442" s="130"/>
      <c r="BN442" s="130"/>
      <c r="BO442" s="130"/>
      <c r="BP442" s="130"/>
      <c r="BQ442" s="130"/>
      <c r="BR442" s="130"/>
      <c r="BS442" s="130"/>
      <c r="BT442" s="130"/>
    </row>
    <row r="443" spans="1:72" ht="15.75" customHeight="1">
      <c r="A443" s="525"/>
      <c r="B443" s="73" t="s">
        <v>307</v>
      </c>
      <c r="C443" s="74" t="s">
        <v>765</v>
      </c>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155"/>
      <c r="BC443" s="130"/>
      <c r="BD443" s="130"/>
      <c r="BE443" s="130"/>
      <c r="BF443" s="130"/>
      <c r="BG443" s="130"/>
      <c r="BH443" s="130"/>
      <c r="BI443" s="130"/>
      <c r="BJ443" s="130"/>
      <c r="BK443" s="130"/>
      <c r="BL443" s="130"/>
      <c r="BM443" s="130"/>
      <c r="BN443" s="130"/>
      <c r="BO443" s="130"/>
      <c r="BP443" s="130"/>
      <c r="BQ443" s="130"/>
      <c r="BR443" s="130"/>
      <c r="BS443" s="130"/>
      <c r="BT443" s="130"/>
    </row>
    <row r="444" spans="1:72" ht="15.75" customHeight="1">
      <c r="A444" s="560" t="s">
        <v>766</v>
      </c>
      <c r="B444" s="93" t="s">
        <v>767</v>
      </c>
      <c r="C444" s="556">
        <v>1</v>
      </c>
      <c r="D444" s="510"/>
      <c r="E444" s="79" t="s">
        <v>768</v>
      </c>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156"/>
      <c r="BC444" s="130"/>
      <c r="BD444" s="130"/>
      <c r="BE444" s="130"/>
      <c r="BF444" s="130"/>
      <c r="BG444" s="130"/>
      <c r="BH444" s="130"/>
      <c r="BI444" s="130"/>
      <c r="BJ444" s="130"/>
      <c r="BK444" s="130"/>
      <c r="BL444" s="130"/>
      <c r="BM444" s="130"/>
      <c r="BN444" s="130"/>
      <c r="BO444" s="130"/>
      <c r="BP444" s="130"/>
      <c r="BQ444" s="130"/>
      <c r="BR444" s="130"/>
      <c r="BS444" s="130"/>
      <c r="BT444" s="130"/>
    </row>
    <row r="445" spans="1:72" ht="15.75" customHeight="1">
      <c r="A445" s="525"/>
      <c r="B445" s="73" t="s">
        <v>307</v>
      </c>
      <c r="C445" s="75" t="s">
        <v>769</v>
      </c>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155"/>
      <c r="BC445" s="130"/>
      <c r="BD445" s="130"/>
      <c r="BE445" s="130"/>
      <c r="BF445" s="130"/>
      <c r="BG445" s="130"/>
      <c r="BH445" s="130"/>
      <c r="BI445" s="130"/>
      <c r="BJ445" s="130"/>
      <c r="BK445" s="130"/>
      <c r="BL445" s="130"/>
      <c r="BM445" s="130"/>
      <c r="BN445" s="130"/>
      <c r="BO445" s="130"/>
      <c r="BP445" s="130"/>
      <c r="BQ445" s="130"/>
      <c r="BR445" s="130"/>
      <c r="BS445" s="130"/>
      <c r="BT445" s="130"/>
    </row>
    <row r="446" spans="1:72" ht="15.75" customHeight="1">
      <c r="A446" s="560" t="s">
        <v>770</v>
      </c>
      <c r="B446" s="86" t="s">
        <v>771</v>
      </c>
      <c r="C446" s="556">
        <v>0</v>
      </c>
      <c r="D446" s="510"/>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c r="BA446" s="72"/>
      <c r="BB446" s="157"/>
      <c r="BC446" s="130"/>
      <c r="BD446" s="130"/>
      <c r="BE446" s="130"/>
      <c r="BF446" s="130"/>
      <c r="BG446" s="130"/>
      <c r="BH446" s="130"/>
      <c r="BI446" s="130"/>
      <c r="BJ446" s="130"/>
      <c r="BK446" s="130"/>
      <c r="BL446" s="130"/>
      <c r="BM446" s="130"/>
      <c r="BN446" s="130"/>
      <c r="BO446" s="130"/>
      <c r="BP446" s="130"/>
      <c r="BQ446" s="130"/>
      <c r="BR446" s="130"/>
      <c r="BS446" s="130"/>
      <c r="BT446" s="130"/>
    </row>
    <row r="447" spans="1:72" ht="15.75" customHeight="1">
      <c r="A447" s="525"/>
      <c r="B447" s="73" t="s">
        <v>307</v>
      </c>
      <c r="C447" s="74" t="s">
        <v>772</v>
      </c>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155"/>
      <c r="BC447" s="130"/>
      <c r="BD447" s="130"/>
      <c r="BE447" s="130"/>
      <c r="BF447" s="130"/>
      <c r="BG447" s="130"/>
      <c r="BH447" s="130"/>
      <c r="BI447" s="130"/>
      <c r="BJ447" s="130"/>
      <c r="BK447" s="130"/>
      <c r="BL447" s="130"/>
      <c r="BM447" s="130"/>
      <c r="BN447" s="130"/>
      <c r="BO447" s="130"/>
      <c r="BP447" s="130"/>
      <c r="BQ447" s="130"/>
      <c r="BR447" s="130"/>
      <c r="BS447" s="130"/>
      <c r="BT447" s="130"/>
    </row>
    <row r="448" spans="1:72" ht="15.75" customHeight="1">
      <c r="A448" s="560" t="s">
        <v>773</v>
      </c>
      <c r="B448" s="158" t="s">
        <v>774</v>
      </c>
      <c r="C448" s="556">
        <v>0</v>
      </c>
      <c r="D448" s="510"/>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c r="BA448" s="72"/>
      <c r="BB448" s="157"/>
      <c r="BC448" s="130"/>
      <c r="BD448" s="130"/>
      <c r="BE448" s="130"/>
      <c r="BF448" s="130"/>
      <c r="BG448" s="130"/>
      <c r="BH448" s="130"/>
      <c r="BI448" s="130"/>
      <c r="BJ448" s="130"/>
      <c r="BK448" s="130"/>
      <c r="BL448" s="130"/>
      <c r="BM448" s="130"/>
      <c r="BN448" s="130"/>
      <c r="BO448" s="130"/>
      <c r="BP448" s="130"/>
      <c r="BQ448" s="130"/>
      <c r="BR448" s="130"/>
      <c r="BS448" s="130"/>
      <c r="BT448" s="130"/>
    </row>
    <row r="449" spans="1:72" ht="15.75" customHeight="1">
      <c r="A449" s="525"/>
      <c r="B449" s="73" t="s">
        <v>307</v>
      </c>
      <c r="C449" s="74"/>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155"/>
      <c r="BC449" s="130"/>
      <c r="BD449" s="130"/>
      <c r="BE449" s="130"/>
      <c r="BF449" s="130"/>
      <c r="BG449" s="130"/>
      <c r="BH449" s="130"/>
      <c r="BI449" s="130"/>
      <c r="BJ449" s="130"/>
      <c r="BK449" s="130"/>
      <c r="BL449" s="130"/>
      <c r="BM449" s="130"/>
      <c r="BN449" s="130"/>
      <c r="BO449" s="130"/>
      <c r="BP449" s="130"/>
      <c r="BQ449" s="130"/>
      <c r="BR449" s="130"/>
      <c r="BS449" s="130"/>
      <c r="BT449" s="130"/>
    </row>
    <row r="450" spans="1:72" ht="15.75" customHeight="1">
      <c r="A450" s="560" t="s">
        <v>775</v>
      </c>
      <c r="B450" s="158" t="s">
        <v>776</v>
      </c>
      <c r="C450" s="556">
        <v>0</v>
      </c>
      <c r="D450" s="510"/>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c r="BA450" s="72"/>
      <c r="BB450" s="157"/>
      <c r="BC450" s="130"/>
      <c r="BD450" s="130"/>
      <c r="BE450" s="130"/>
      <c r="BF450" s="130"/>
      <c r="BG450" s="130"/>
      <c r="BH450" s="130"/>
      <c r="BI450" s="130"/>
      <c r="BJ450" s="130"/>
      <c r="BK450" s="130"/>
      <c r="BL450" s="130"/>
      <c r="BM450" s="130"/>
      <c r="BN450" s="130"/>
      <c r="BO450" s="130"/>
      <c r="BP450" s="130"/>
      <c r="BQ450" s="130"/>
      <c r="BR450" s="130"/>
      <c r="BS450" s="130"/>
      <c r="BT450" s="130"/>
    </row>
    <row r="451" spans="1:72" ht="15.75" customHeight="1">
      <c r="A451" s="525"/>
      <c r="B451" s="73" t="s">
        <v>307</v>
      </c>
      <c r="C451" s="74"/>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155"/>
      <c r="BC451" s="130"/>
      <c r="BD451" s="130"/>
      <c r="BE451" s="130"/>
      <c r="BF451" s="130"/>
      <c r="BG451" s="130"/>
      <c r="BH451" s="130"/>
      <c r="BI451" s="130"/>
      <c r="BJ451" s="130"/>
      <c r="BK451" s="130"/>
      <c r="BL451" s="130"/>
      <c r="BM451" s="130"/>
      <c r="BN451" s="130"/>
      <c r="BO451" s="130"/>
      <c r="BP451" s="130"/>
      <c r="BQ451" s="130"/>
      <c r="BR451" s="130"/>
      <c r="BS451" s="130"/>
      <c r="BT451" s="130"/>
    </row>
    <row r="452" spans="1:72" ht="15.75" customHeight="1">
      <c r="A452" s="560" t="s">
        <v>777</v>
      </c>
      <c r="B452" s="86" t="s">
        <v>778</v>
      </c>
      <c r="C452" s="556">
        <v>0</v>
      </c>
      <c r="D452" s="510"/>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c r="BA452" s="72"/>
      <c r="BB452" s="157"/>
      <c r="BC452" s="130"/>
      <c r="BD452" s="130"/>
      <c r="BE452" s="130"/>
      <c r="BF452" s="130"/>
      <c r="BG452" s="130"/>
      <c r="BH452" s="130"/>
      <c r="BI452" s="130"/>
      <c r="BJ452" s="130"/>
      <c r="BK452" s="130"/>
      <c r="BL452" s="130"/>
      <c r="BM452" s="130"/>
      <c r="BN452" s="130"/>
      <c r="BO452" s="130"/>
      <c r="BP452" s="130"/>
      <c r="BQ452" s="130"/>
      <c r="BR452" s="130"/>
      <c r="BS452" s="130"/>
      <c r="BT452" s="130"/>
    </row>
    <row r="453" spans="1:72" ht="15.75" customHeight="1">
      <c r="A453" s="525"/>
      <c r="B453" s="73" t="s">
        <v>307</v>
      </c>
      <c r="C453" s="74"/>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155"/>
      <c r="BC453" s="130"/>
      <c r="BD453" s="130"/>
      <c r="BE453" s="130"/>
      <c r="BF453" s="130"/>
      <c r="BG453" s="130"/>
      <c r="BH453" s="130"/>
      <c r="BI453" s="130"/>
      <c r="BJ453" s="130"/>
      <c r="BK453" s="130"/>
      <c r="BL453" s="130"/>
      <c r="BM453" s="130"/>
      <c r="BN453" s="130"/>
      <c r="BO453" s="130"/>
      <c r="BP453" s="130"/>
      <c r="BQ453" s="130"/>
      <c r="BR453" s="130"/>
      <c r="BS453" s="130"/>
      <c r="BT453" s="130"/>
    </row>
    <row r="454" spans="1:72" ht="15.75" customHeight="1">
      <c r="A454" s="560" t="s">
        <v>779</v>
      </c>
      <c r="B454" s="158" t="s">
        <v>780</v>
      </c>
      <c r="C454" s="556">
        <v>0</v>
      </c>
      <c r="D454" s="510"/>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c r="BA454" s="72"/>
      <c r="BB454" s="157"/>
      <c r="BC454" s="130"/>
      <c r="BD454" s="130"/>
      <c r="BE454" s="130"/>
      <c r="BF454" s="130"/>
      <c r="BG454" s="130"/>
      <c r="BH454" s="130"/>
      <c r="BI454" s="130"/>
      <c r="BJ454" s="130"/>
      <c r="BK454" s="130"/>
      <c r="BL454" s="130"/>
      <c r="BM454" s="130"/>
      <c r="BN454" s="130"/>
      <c r="BO454" s="130"/>
      <c r="BP454" s="130"/>
      <c r="BQ454" s="130"/>
      <c r="BR454" s="130"/>
      <c r="BS454" s="130"/>
      <c r="BT454" s="130"/>
    </row>
    <row r="455" spans="1:72" ht="15.75" customHeight="1">
      <c r="A455" s="525"/>
      <c r="B455" s="73" t="s">
        <v>307</v>
      </c>
      <c r="C455" s="74"/>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155"/>
      <c r="BC455" s="130"/>
      <c r="BD455" s="130"/>
      <c r="BE455" s="130"/>
      <c r="BF455" s="130"/>
      <c r="BG455" s="130"/>
      <c r="BH455" s="130"/>
      <c r="BI455" s="130"/>
      <c r="BJ455" s="130"/>
      <c r="BK455" s="130"/>
      <c r="BL455" s="130"/>
      <c r="BM455" s="130"/>
      <c r="BN455" s="130"/>
      <c r="BO455" s="130"/>
      <c r="BP455" s="130"/>
      <c r="BQ455" s="130"/>
      <c r="BR455" s="130"/>
      <c r="BS455" s="130"/>
      <c r="BT455" s="130"/>
    </row>
    <row r="456" spans="1:72" ht="15.75" customHeight="1">
      <c r="A456" s="560" t="s">
        <v>781</v>
      </c>
      <c r="B456" s="159" t="s">
        <v>782</v>
      </c>
      <c r="C456" s="556">
        <v>0</v>
      </c>
      <c r="D456" s="510"/>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c r="BA456" s="72"/>
      <c r="BB456" s="157"/>
      <c r="BC456" s="130"/>
      <c r="BD456" s="130"/>
      <c r="BE456" s="130"/>
      <c r="BF456" s="130"/>
      <c r="BG456" s="130"/>
      <c r="BH456" s="130"/>
      <c r="BI456" s="130"/>
      <c r="BJ456" s="130"/>
      <c r="BK456" s="130"/>
      <c r="BL456" s="130"/>
      <c r="BM456" s="130"/>
      <c r="BN456" s="130"/>
      <c r="BO456" s="130"/>
      <c r="BP456" s="130"/>
      <c r="BQ456" s="130"/>
      <c r="BR456" s="130"/>
      <c r="BS456" s="130"/>
      <c r="BT456" s="130"/>
    </row>
    <row r="457" spans="1:72" ht="15.75" customHeight="1">
      <c r="A457" s="525"/>
      <c r="B457" s="73" t="s">
        <v>307</v>
      </c>
      <c r="C457" s="74"/>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155"/>
      <c r="BC457" s="130"/>
      <c r="BD457" s="130"/>
      <c r="BE457" s="130"/>
      <c r="BF457" s="130"/>
      <c r="BG457" s="130"/>
      <c r="BH457" s="130"/>
      <c r="BI457" s="130"/>
      <c r="BJ457" s="130"/>
      <c r="BK457" s="130"/>
      <c r="BL457" s="130"/>
      <c r="BM457" s="130"/>
      <c r="BN457" s="130"/>
      <c r="BO457" s="130"/>
      <c r="BP457" s="130"/>
      <c r="BQ457" s="130"/>
      <c r="BR457" s="130"/>
      <c r="BS457" s="130"/>
      <c r="BT457" s="130"/>
    </row>
    <row r="458" spans="1:72" ht="15.75" customHeight="1">
      <c r="A458" s="560" t="s">
        <v>783</v>
      </c>
      <c r="B458" s="158" t="s">
        <v>784</v>
      </c>
      <c r="C458" s="556">
        <v>0</v>
      </c>
      <c r="D458" s="510"/>
      <c r="E458" s="160"/>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c r="BA458" s="72"/>
      <c r="BB458" s="157"/>
      <c r="BC458" s="130"/>
      <c r="BD458" s="130"/>
      <c r="BE458" s="130"/>
      <c r="BF458" s="130"/>
      <c r="BG458" s="130"/>
      <c r="BH458" s="130"/>
      <c r="BI458" s="130"/>
      <c r="BJ458" s="130"/>
      <c r="BK458" s="130"/>
      <c r="BL458" s="130"/>
      <c r="BM458" s="130"/>
      <c r="BN458" s="130"/>
      <c r="BO458" s="130"/>
      <c r="BP458" s="130"/>
      <c r="BQ458" s="130"/>
      <c r="BR458" s="130"/>
      <c r="BS458" s="130"/>
      <c r="BT458" s="130"/>
    </row>
    <row r="459" spans="1:72" ht="15.75" customHeight="1">
      <c r="A459" s="525"/>
      <c r="B459" s="73" t="s">
        <v>307</v>
      </c>
      <c r="C459" s="74"/>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155"/>
      <c r="BC459" s="130"/>
      <c r="BD459" s="130"/>
      <c r="BE459" s="130"/>
      <c r="BF459" s="130"/>
      <c r="BG459" s="130"/>
      <c r="BH459" s="130"/>
      <c r="BI459" s="130"/>
      <c r="BJ459" s="130"/>
      <c r="BK459" s="130"/>
      <c r="BL459" s="130"/>
      <c r="BM459" s="130"/>
      <c r="BN459" s="130"/>
      <c r="BO459" s="130"/>
      <c r="BP459" s="130"/>
      <c r="BQ459" s="130"/>
      <c r="BR459" s="130"/>
      <c r="BS459" s="130"/>
      <c r="BT459" s="130"/>
    </row>
    <row r="460" spans="1:72" ht="15.75" customHeight="1">
      <c r="A460" s="560" t="s">
        <v>785</v>
      </c>
      <c r="B460" s="158" t="s">
        <v>786</v>
      </c>
      <c r="C460" s="556">
        <v>1</v>
      </c>
      <c r="D460" s="510"/>
      <c r="E460" s="79" t="s">
        <v>787</v>
      </c>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156"/>
      <c r="BC460" s="130"/>
      <c r="BD460" s="130"/>
      <c r="BE460" s="130"/>
      <c r="BF460" s="130"/>
      <c r="BG460" s="130"/>
      <c r="BH460" s="130"/>
      <c r="BI460" s="130"/>
      <c r="BJ460" s="130"/>
      <c r="BK460" s="130"/>
      <c r="BL460" s="130"/>
      <c r="BM460" s="130"/>
      <c r="BN460" s="130"/>
      <c r="BO460" s="130"/>
      <c r="BP460" s="130"/>
      <c r="BQ460" s="130"/>
      <c r="BR460" s="130"/>
      <c r="BS460" s="130"/>
      <c r="BT460" s="130"/>
    </row>
    <row r="461" spans="1:72" ht="15.75" customHeight="1">
      <c r="A461" s="525"/>
      <c r="B461" s="73" t="s">
        <v>307</v>
      </c>
      <c r="C461" s="74" t="s">
        <v>788</v>
      </c>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155"/>
      <c r="BC461" s="130"/>
      <c r="BD461" s="130"/>
      <c r="BE461" s="130"/>
      <c r="BF461" s="130"/>
      <c r="BG461" s="130"/>
      <c r="BH461" s="130"/>
      <c r="BI461" s="130"/>
      <c r="BJ461" s="130"/>
      <c r="BK461" s="130"/>
      <c r="BL461" s="130"/>
      <c r="BM461" s="130"/>
      <c r="BN461" s="130"/>
      <c r="BO461" s="130"/>
      <c r="BP461" s="130"/>
      <c r="BQ461" s="130"/>
      <c r="BR461" s="130"/>
      <c r="BS461" s="130"/>
      <c r="BT461" s="130"/>
    </row>
    <row r="462" spans="1:72" ht="15.75" customHeight="1">
      <c r="A462" s="560" t="s">
        <v>789</v>
      </c>
      <c r="B462" s="158" t="s">
        <v>790</v>
      </c>
      <c r="C462" s="556">
        <v>0</v>
      </c>
      <c r="D462" s="510"/>
      <c r="E462" s="79"/>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156"/>
      <c r="BC462" s="130"/>
      <c r="BD462" s="130"/>
      <c r="BE462" s="130"/>
      <c r="BF462" s="130"/>
      <c r="BG462" s="130"/>
      <c r="BH462" s="130"/>
      <c r="BI462" s="130"/>
      <c r="BJ462" s="130"/>
      <c r="BK462" s="130"/>
      <c r="BL462" s="130"/>
      <c r="BM462" s="130"/>
      <c r="BN462" s="130"/>
      <c r="BO462" s="130"/>
      <c r="BP462" s="130"/>
      <c r="BQ462" s="130"/>
      <c r="BR462" s="130"/>
      <c r="BS462" s="130"/>
      <c r="BT462" s="130"/>
    </row>
    <row r="463" spans="1:72" ht="15.75" customHeight="1">
      <c r="A463" s="525"/>
      <c r="B463" s="73" t="s">
        <v>307</v>
      </c>
      <c r="C463" s="74"/>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155"/>
      <c r="BC463" s="130"/>
      <c r="BD463" s="130"/>
      <c r="BE463" s="130"/>
      <c r="BF463" s="130"/>
      <c r="BG463" s="130"/>
      <c r="BH463" s="130"/>
      <c r="BI463" s="130"/>
      <c r="BJ463" s="130"/>
      <c r="BK463" s="130"/>
      <c r="BL463" s="130"/>
      <c r="BM463" s="130"/>
      <c r="BN463" s="130"/>
      <c r="BO463" s="130"/>
      <c r="BP463" s="130"/>
      <c r="BQ463" s="130"/>
      <c r="BR463" s="130"/>
      <c r="BS463" s="130"/>
      <c r="BT463" s="130"/>
    </row>
    <row r="464" spans="1:72" ht="15.75" customHeight="1">
      <c r="A464" s="560" t="s">
        <v>791</v>
      </c>
      <c r="B464" s="158" t="s">
        <v>792</v>
      </c>
      <c r="C464" s="556">
        <v>1</v>
      </c>
      <c r="D464" s="510"/>
      <c r="E464" s="79" t="s">
        <v>793</v>
      </c>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156"/>
      <c r="BC464" s="130"/>
      <c r="BD464" s="130"/>
      <c r="BE464" s="130"/>
      <c r="BF464" s="130"/>
      <c r="BG464" s="130"/>
      <c r="BH464" s="130"/>
      <c r="BI464" s="130"/>
      <c r="BJ464" s="130"/>
      <c r="BK464" s="130"/>
      <c r="BL464" s="130"/>
      <c r="BM464" s="130"/>
      <c r="BN464" s="130"/>
      <c r="BO464" s="130"/>
      <c r="BP464" s="130"/>
      <c r="BQ464" s="130"/>
      <c r="BR464" s="130"/>
      <c r="BS464" s="130"/>
      <c r="BT464" s="130"/>
    </row>
    <row r="465" spans="1:72" ht="15.75" customHeight="1">
      <c r="A465" s="525"/>
      <c r="B465" s="73" t="s">
        <v>307</v>
      </c>
      <c r="C465" s="74" t="s">
        <v>794</v>
      </c>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155"/>
      <c r="BC465" s="130"/>
      <c r="BD465" s="130"/>
      <c r="BE465" s="130"/>
      <c r="BF465" s="130"/>
      <c r="BG465" s="130"/>
      <c r="BH465" s="130"/>
      <c r="BI465" s="130"/>
      <c r="BJ465" s="130"/>
      <c r="BK465" s="130"/>
      <c r="BL465" s="130"/>
      <c r="BM465" s="130"/>
      <c r="BN465" s="130"/>
      <c r="BO465" s="130"/>
      <c r="BP465" s="130"/>
      <c r="BQ465" s="130"/>
      <c r="BR465" s="130"/>
      <c r="BS465" s="130"/>
      <c r="BT465" s="130"/>
    </row>
    <row r="466" spans="1:72" ht="15.75" customHeight="1">
      <c r="A466" s="560" t="s">
        <v>795</v>
      </c>
      <c r="B466" s="93" t="s">
        <v>796</v>
      </c>
      <c r="C466" s="556">
        <v>1</v>
      </c>
      <c r="D466" s="510"/>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c r="BA466" s="72"/>
      <c r="BB466" s="157"/>
      <c r="BC466" s="130"/>
      <c r="BD466" s="130"/>
      <c r="BE466" s="130"/>
      <c r="BF466" s="130"/>
      <c r="BG466" s="130"/>
      <c r="BH466" s="130"/>
      <c r="BI466" s="130"/>
      <c r="BJ466" s="130"/>
      <c r="BK466" s="130"/>
      <c r="BL466" s="130"/>
      <c r="BM466" s="130"/>
      <c r="BN466" s="130"/>
      <c r="BO466" s="130"/>
      <c r="BP466" s="130"/>
      <c r="BQ466" s="130"/>
      <c r="BR466" s="130"/>
      <c r="BS466" s="130"/>
      <c r="BT466" s="130"/>
    </row>
    <row r="467" spans="1:72" ht="15.75" customHeight="1">
      <c r="A467" s="525"/>
      <c r="B467" s="73" t="s">
        <v>307</v>
      </c>
      <c r="C467" s="74" t="s">
        <v>797</v>
      </c>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155"/>
      <c r="BC467" s="130"/>
      <c r="BD467" s="130"/>
      <c r="BE467" s="130"/>
      <c r="BF467" s="130"/>
      <c r="BG467" s="130"/>
      <c r="BH467" s="130"/>
      <c r="BI467" s="130"/>
      <c r="BJ467" s="130"/>
      <c r="BK467" s="130"/>
      <c r="BL467" s="130"/>
      <c r="BM467" s="130"/>
      <c r="BN467" s="130"/>
      <c r="BO467" s="130"/>
      <c r="BP467" s="130"/>
      <c r="BQ467" s="130"/>
      <c r="BR467" s="130"/>
      <c r="BS467" s="130"/>
      <c r="BT467" s="130"/>
    </row>
    <row r="468" spans="1:72" ht="15.75" customHeight="1">
      <c r="A468" s="560" t="s">
        <v>798</v>
      </c>
      <c r="B468" s="158" t="s">
        <v>799</v>
      </c>
      <c r="C468" s="556">
        <v>0</v>
      </c>
      <c r="D468" s="510"/>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c r="BA468" s="72"/>
      <c r="BB468" s="157"/>
      <c r="BC468" s="130"/>
      <c r="BD468" s="130"/>
      <c r="BE468" s="130"/>
      <c r="BF468" s="130"/>
      <c r="BG468" s="130"/>
      <c r="BH468" s="130"/>
      <c r="BI468" s="130"/>
      <c r="BJ468" s="130"/>
      <c r="BK468" s="130"/>
      <c r="BL468" s="130"/>
      <c r="BM468" s="130"/>
      <c r="BN468" s="130"/>
      <c r="BO468" s="130"/>
      <c r="BP468" s="130"/>
      <c r="BQ468" s="130"/>
      <c r="BR468" s="130"/>
      <c r="BS468" s="130"/>
      <c r="BT468" s="130"/>
    </row>
    <row r="469" spans="1:72" ht="15.75" customHeight="1">
      <c r="A469" s="525"/>
      <c r="B469" s="73" t="s">
        <v>307</v>
      </c>
      <c r="C469" s="74"/>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155"/>
      <c r="BC469" s="130"/>
      <c r="BD469" s="130"/>
      <c r="BE469" s="130"/>
      <c r="BF469" s="130"/>
      <c r="BG469" s="130"/>
      <c r="BH469" s="130"/>
      <c r="BI469" s="130"/>
      <c r="BJ469" s="130"/>
      <c r="BK469" s="130"/>
      <c r="BL469" s="130"/>
      <c r="BM469" s="130"/>
      <c r="BN469" s="130"/>
      <c r="BO469" s="130"/>
      <c r="BP469" s="130"/>
      <c r="BQ469" s="130"/>
      <c r="BR469" s="130"/>
      <c r="BS469" s="130"/>
      <c r="BT469" s="130"/>
    </row>
    <row r="470" spans="1:72" ht="15.75" customHeight="1">
      <c r="A470" s="560" t="s">
        <v>800</v>
      </c>
      <c r="B470" s="158" t="s">
        <v>801</v>
      </c>
      <c r="C470" s="556">
        <v>0</v>
      </c>
      <c r="D470" s="510"/>
      <c r="E470" s="79"/>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156"/>
      <c r="BC470" s="130"/>
      <c r="BD470" s="130"/>
      <c r="BE470" s="130"/>
      <c r="BF470" s="130"/>
      <c r="BG470" s="130"/>
      <c r="BH470" s="130"/>
      <c r="BI470" s="130"/>
      <c r="BJ470" s="130"/>
      <c r="BK470" s="130"/>
      <c r="BL470" s="130"/>
      <c r="BM470" s="130"/>
      <c r="BN470" s="130"/>
      <c r="BO470" s="130"/>
      <c r="BP470" s="130"/>
      <c r="BQ470" s="130"/>
      <c r="BR470" s="130"/>
      <c r="BS470" s="130"/>
      <c r="BT470" s="130"/>
    </row>
    <row r="471" spans="1:72" ht="15.75" customHeight="1">
      <c r="A471" s="525"/>
      <c r="B471" s="73" t="s">
        <v>307</v>
      </c>
      <c r="C471" s="74"/>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155"/>
      <c r="BC471" s="130"/>
      <c r="BD471" s="130"/>
      <c r="BE471" s="130"/>
      <c r="BF471" s="130"/>
      <c r="BG471" s="130"/>
      <c r="BH471" s="130"/>
      <c r="BI471" s="130"/>
      <c r="BJ471" s="130"/>
      <c r="BK471" s="130"/>
      <c r="BL471" s="130"/>
      <c r="BM471" s="130"/>
      <c r="BN471" s="130"/>
      <c r="BO471" s="130"/>
      <c r="BP471" s="130"/>
      <c r="BQ471" s="130"/>
      <c r="BR471" s="130"/>
      <c r="BS471" s="130"/>
      <c r="BT471" s="130"/>
    </row>
    <row r="472" spans="1:72" ht="15.75" customHeight="1">
      <c r="A472" s="560" t="s">
        <v>802</v>
      </c>
      <c r="B472" s="93" t="s">
        <v>803</v>
      </c>
      <c r="C472" s="556">
        <v>0</v>
      </c>
      <c r="D472" s="510"/>
      <c r="E472" s="79"/>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156"/>
      <c r="BC472" s="130"/>
      <c r="BD472" s="130"/>
      <c r="BE472" s="130"/>
      <c r="BF472" s="130"/>
      <c r="BG472" s="130"/>
      <c r="BH472" s="130"/>
      <c r="BI472" s="130"/>
      <c r="BJ472" s="130"/>
      <c r="BK472" s="130"/>
      <c r="BL472" s="130"/>
      <c r="BM472" s="130"/>
      <c r="BN472" s="130"/>
      <c r="BO472" s="130"/>
      <c r="BP472" s="130"/>
      <c r="BQ472" s="130"/>
      <c r="BR472" s="130"/>
      <c r="BS472" s="130"/>
      <c r="BT472" s="130"/>
    </row>
    <row r="473" spans="1:72" ht="15.75" customHeight="1">
      <c r="A473" s="525"/>
      <c r="B473" s="73" t="s">
        <v>307</v>
      </c>
      <c r="C473" s="74" t="s">
        <v>804</v>
      </c>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155"/>
      <c r="BC473" s="130"/>
      <c r="BD473" s="130"/>
      <c r="BE473" s="130"/>
      <c r="BF473" s="130"/>
      <c r="BG473" s="130"/>
      <c r="BH473" s="130"/>
      <c r="BI473" s="130"/>
      <c r="BJ473" s="130"/>
      <c r="BK473" s="130"/>
      <c r="BL473" s="130"/>
      <c r="BM473" s="130"/>
      <c r="BN473" s="130"/>
      <c r="BO473" s="130"/>
      <c r="BP473" s="130"/>
      <c r="BQ473" s="130"/>
      <c r="BR473" s="130"/>
      <c r="BS473" s="130"/>
      <c r="BT473" s="130"/>
    </row>
    <row r="474" spans="1:72" ht="15.75" customHeight="1">
      <c r="A474" s="560" t="s">
        <v>805</v>
      </c>
      <c r="B474" s="161" t="s">
        <v>806</v>
      </c>
      <c r="C474" s="556">
        <v>1</v>
      </c>
      <c r="D474" s="510"/>
      <c r="E474" s="79"/>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156"/>
      <c r="BC474" s="130"/>
      <c r="BD474" s="130"/>
      <c r="BE474" s="130"/>
      <c r="BF474" s="130"/>
      <c r="BG474" s="130"/>
      <c r="BH474" s="130"/>
      <c r="BI474" s="130"/>
      <c r="BJ474" s="130"/>
      <c r="BK474" s="130"/>
      <c r="BL474" s="130"/>
      <c r="BM474" s="130"/>
      <c r="BN474" s="130"/>
      <c r="BO474" s="130"/>
      <c r="BP474" s="130"/>
      <c r="BQ474" s="130"/>
      <c r="BR474" s="130"/>
      <c r="BS474" s="130"/>
      <c r="BT474" s="130"/>
    </row>
    <row r="475" spans="1:72" ht="15.75" customHeight="1">
      <c r="A475" s="525"/>
      <c r="B475" s="73" t="s">
        <v>307</v>
      </c>
      <c r="C475" s="74" t="s">
        <v>807</v>
      </c>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155"/>
      <c r="BC475" s="130"/>
      <c r="BD475" s="130"/>
      <c r="BE475" s="130"/>
      <c r="BF475" s="130"/>
      <c r="BG475" s="130"/>
      <c r="BH475" s="130"/>
      <c r="BI475" s="130"/>
      <c r="BJ475" s="130"/>
      <c r="BK475" s="130"/>
      <c r="BL475" s="130"/>
      <c r="BM475" s="130"/>
      <c r="BN475" s="130"/>
      <c r="BO475" s="130"/>
      <c r="BP475" s="130"/>
      <c r="BQ475" s="130"/>
      <c r="BR475" s="130"/>
      <c r="BS475" s="130"/>
      <c r="BT475" s="130"/>
    </row>
    <row r="476" spans="1:72" ht="15" customHeight="1">
      <c r="A476" s="126" t="s">
        <v>808</v>
      </c>
      <c r="B476" s="126" t="s">
        <v>809</v>
      </c>
      <c r="C476" s="148"/>
      <c r="D476" s="148"/>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c r="AD476" s="162"/>
      <c r="AE476" s="162"/>
      <c r="AF476" s="162"/>
      <c r="AG476" s="162"/>
      <c r="AH476" s="162"/>
      <c r="AI476" s="162"/>
      <c r="AJ476" s="162"/>
      <c r="AK476" s="162"/>
      <c r="AL476" s="162"/>
      <c r="AM476" s="162"/>
      <c r="AN476" s="162"/>
      <c r="AO476" s="162"/>
      <c r="AP476" s="162"/>
      <c r="AQ476" s="162"/>
      <c r="AR476" s="162"/>
      <c r="AS476" s="162"/>
      <c r="AT476" s="162"/>
      <c r="AU476" s="162"/>
      <c r="AV476" s="162"/>
      <c r="AW476" s="162"/>
      <c r="AX476" s="162"/>
      <c r="AY476" s="162"/>
      <c r="AZ476" s="162"/>
      <c r="BA476" s="162"/>
      <c r="BB476" s="163"/>
      <c r="BC476" s="130"/>
      <c r="BD476" s="130"/>
      <c r="BE476" s="130"/>
      <c r="BF476" s="130"/>
      <c r="BG476" s="130"/>
      <c r="BH476" s="130"/>
      <c r="BI476" s="130"/>
      <c r="BJ476" s="130"/>
      <c r="BK476" s="130"/>
      <c r="BL476" s="130"/>
      <c r="BM476" s="130"/>
      <c r="BN476" s="130"/>
      <c r="BO476" s="130"/>
      <c r="BP476" s="130"/>
      <c r="BQ476" s="130"/>
      <c r="BR476" s="130"/>
      <c r="BS476" s="130"/>
      <c r="BT476" s="130"/>
    </row>
    <row r="477" spans="1:72" ht="15" customHeight="1">
      <c r="A477" s="611">
        <v>9</v>
      </c>
      <c r="B477" s="611" t="s">
        <v>810</v>
      </c>
      <c r="C477" s="614" t="s">
        <v>299</v>
      </c>
      <c r="D477" s="508"/>
      <c r="E477" s="164"/>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c r="AE477" s="165"/>
      <c r="AF477" s="165"/>
      <c r="AG477" s="165"/>
      <c r="AH477" s="165"/>
      <c r="AI477" s="165"/>
      <c r="AJ477" s="165"/>
      <c r="AK477" s="165"/>
      <c r="AL477" s="165"/>
      <c r="AM477" s="165"/>
      <c r="AN477" s="165"/>
      <c r="AO477" s="165"/>
      <c r="AP477" s="165"/>
      <c r="AQ477" s="165"/>
      <c r="AR477" s="165"/>
      <c r="AS477" s="165"/>
      <c r="AT477" s="165"/>
      <c r="AU477" s="165"/>
      <c r="AV477" s="165"/>
      <c r="AW477" s="165"/>
      <c r="AX477" s="165"/>
      <c r="AY477" s="165"/>
      <c r="AZ477" s="165"/>
      <c r="BA477" s="165"/>
      <c r="BB477" s="166"/>
      <c r="BC477" s="130"/>
      <c r="BD477" s="130"/>
      <c r="BE477" s="130"/>
      <c r="BF477" s="130"/>
      <c r="BG477" s="130"/>
      <c r="BH477" s="130"/>
      <c r="BI477" s="130"/>
      <c r="BJ477" s="130"/>
      <c r="BK477" s="130"/>
      <c r="BL477" s="130"/>
      <c r="BM477" s="130"/>
      <c r="BN477" s="130"/>
      <c r="BO477" s="130"/>
      <c r="BP477" s="130"/>
      <c r="BQ477" s="130"/>
      <c r="BR477" s="130"/>
      <c r="BS477" s="130"/>
      <c r="BT477" s="130"/>
    </row>
    <row r="478" spans="1:72" ht="15.75" customHeight="1">
      <c r="A478" s="525"/>
      <c r="B478" s="525"/>
      <c r="C478" s="154" t="s">
        <v>300</v>
      </c>
      <c r="D478" s="154" t="s">
        <v>301</v>
      </c>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c r="AA478" s="167"/>
      <c r="AB478" s="167"/>
      <c r="AC478" s="167"/>
      <c r="AD478" s="167"/>
      <c r="AE478" s="167"/>
      <c r="AF478" s="167"/>
      <c r="AG478" s="167"/>
      <c r="AH478" s="167"/>
      <c r="AI478" s="167"/>
      <c r="AJ478" s="167"/>
      <c r="AK478" s="167"/>
      <c r="AL478" s="167"/>
      <c r="AM478" s="167"/>
      <c r="AN478" s="167"/>
      <c r="AO478" s="167"/>
      <c r="AP478" s="167"/>
      <c r="AQ478" s="167"/>
      <c r="AR478" s="167"/>
      <c r="AS478" s="167"/>
      <c r="AT478" s="167"/>
      <c r="AU478" s="167"/>
      <c r="AV478" s="167"/>
      <c r="AW478" s="167"/>
      <c r="AX478" s="167"/>
      <c r="AY478" s="167"/>
      <c r="AZ478" s="167"/>
      <c r="BA478" s="167"/>
      <c r="BB478" s="168"/>
      <c r="BC478" s="130"/>
      <c r="BD478" s="130"/>
      <c r="BE478" s="130"/>
      <c r="BF478" s="130"/>
      <c r="BG478" s="130"/>
      <c r="BH478" s="130"/>
      <c r="BI478" s="130"/>
      <c r="BJ478" s="130"/>
      <c r="BK478" s="130"/>
      <c r="BL478" s="130"/>
      <c r="BM478" s="130"/>
      <c r="BN478" s="130"/>
      <c r="BO478" s="130"/>
      <c r="BP478" s="130"/>
      <c r="BQ478" s="130"/>
      <c r="BR478" s="130"/>
      <c r="BS478" s="130"/>
      <c r="BT478" s="130"/>
    </row>
    <row r="479" spans="1:72" ht="15.75" customHeight="1">
      <c r="A479" s="560" t="s">
        <v>811</v>
      </c>
      <c r="B479" s="93" t="s">
        <v>812</v>
      </c>
      <c r="C479" s="556">
        <v>0</v>
      </c>
      <c r="D479" s="510"/>
      <c r="E479" s="79"/>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156"/>
      <c r="BC479" s="130"/>
      <c r="BD479" s="130"/>
      <c r="BE479" s="130"/>
      <c r="BF479" s="130"/>
      <c r="BG479" s="130"/>
      <c r="BH479" s="130"/>
      <c r="BI479" s="130"/>
      <c r="BJ479" s="130"/>
      <c r="BK479" s="130"/>
      <c r="BL479" s="130"/>
      <c r="BM479" s="130"/>
      <c r="BN479" s="130"/>
      <c r="BO479" s="130"/>
      <c r="BP479" s="130"/>
      <c r="BQ479" s="130"/>
      <c r="BR479" s="130"/>
      <c r="BS479" s="130"/>
      <c r="BT479" s="130"/>
    </row>
    <row r="480" spans="1:72" ht="15.75" customHeight="1">
      <c r="A480" s="525"/>
      <c r="B480" s="73" t="s">
        <v>307</v>
      </c>
      <c r="C480" s="74" t="s">
        <v>813</v>
      </c>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155"/>
      <c r="BC480" s="130"/>
      <c r="BD480" s="130"/>
      <c r="BE480" s="130"/>
      <c r="BF480" s="130"/>
      <c r="BG480" s="130"/>
      <c r="BH480" s="130"/>
      <c r="BI480" s="130"/>
      <c r="BJ480" s="130"/>
      <c r="BK480" s="130"/>
      <c r="BL480" s="130"/>
      <c r="BM480" s="130"/>
      <c r="BN480" s="130"/>
      <c r="BO480" s="130"/>
      <c r="BP480" s="130"/>
      <c r="BQ480" s="130"/>
      <c r="BR480" s="130"/>
      <c r="BS480" s="130"/>
      <c r="BT480" s="130"/>
    </row>
    <row r="481" spans="1:72" ht="15.75" customHeight="1">
      <c r="A481" s="560" t="s">
        <v>814</v>
      </c>
      <c r="B481" s="93" t="s">
        <v>815</v>
      </c>
      <c r="C481" s="556">
        <v>1</v>
      </c>
      <c r="D481" s="510"/>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c r="AE481" s="165"/>
      <c r="AF481" s="165"/>
      <c r="AG481" s="165"/>
      <c r="AH481" s="165"/>
      <c r="AI481" s="165"/>
      <c r="AJ481" s="165"/>
      <c r="AK481" s="165"/>
      <c r="AL481" s="165"/>
      <c r="AM481" s="165"/>
      <c r="AN481" s="165"/>
      <c r="AO481" s="165"/>
      <c r="AP481" s="165"/>
      <c r="AQ481" s="165"/>
      <c r="AR481" s="165"/>
      <c r="AS481" s="165"/>
      <c r="AT481" s="165"/>
      <c r="AU481" s="165"/>
      <c r="AV481" s="165"/>
      <c r="AW481" s="165"/>
      <c r="AX481" s="165"/>
      <c r="AY481" s="165"/>
      <c r="AZ481" s="165"/>
      <c r="BA481" s="165"/>
      <c r="BB481" s="166"/>
      <c r="BC481" s="130"/>
      <c r="BD481" s="130"/>
      <c r="BE481" s="130"/>
      <c r="BF481" s="130"/>
      <c r="BG481" s="130"/>
      <c r="BH481" s="130"/>
      <c r="BI481" s="130"/>
      <c r="BJ481" s="130"/>
      <c r="BK481" s="130"/>
      <c r="BL481" s="130"/>
      <c r="BM481" s="130"/>
      <c r="BN481" s="130"/>
      <c r="BO481" s="130"/>
      <c r="BP481" s="130"/>
      <c r="BQ481" s="130"/>
      <c r="BR481" s="130"/>
      <c r="BS481" s="130"/>
      <c r="BT481" s="130"/>
    </row>
    <row r="482" spans="1:72" ht="15.75" customHeight="1">
      <c r="A482" s="525"/>
      <c r="B482" s="73" t="s">
        <v>307</v>
      </c>
      <c r="C482" s="74" t="s">
        <v>816</v>
      </c>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155"/>
      <c r="BC482" s="130"/>
      <c r="BD482" s="130"/>
      <c r="BE482" s="130"/>
      <c r="BF482" s="130"/>
      <c r="BG482" s="130"/>
      <c r="BH482" s="130"/>
      <c r="BI482" s="130"/>
      <c r="BJ482" s="130"/>
      <c r="BK482" s="130"/>
      <c r="BL482" s="130"/>
      <c r="BM482" s="130"/>
      <c r="BN482" s="130"/>
      <c r="BO482" s="130"/>
      <c r="BP482" s="130"/>
      <c r="BQ482" s="130"/>
      <c r="BR482" s="130"/>
      <c r="BS482" s="130"/>
      <c r="BT482" s="130"/>
    </row>
    <row r="483" spans="1:72" ht="15.75" customHeight="1">
      <c r="A483" s="560" t="s">
        <v>817</v>
      </c>
      <c r="B483" s="93" t="s">
        <v>818</v>
      </c>
      <c r="C483" s="556">
        <v>0</v>
      </c>
      <c r="D483" s="510"/>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c r="AE483" s="165"/>
      <c r="AF483" s="165"/>
      <c r="AG483" s="165"/>
      <c r="AH483" s="165"/>
      <c r="AI483" s="165"/>
      <c r="AJ483" s="165"/>
      <c r="AK483" s="165"/>
      <c r="AL483" s="165"/>
      <c r="AM483" s="165"/>
      <c r="AN483" s="165"/>
      <c r="AO483" s="165"/>
      <c r="AP483" s="165"/>
      <c r="AQ483" s="165"/>
      <c r="AR483" s="165"/>
      <c r="AS483" s="165"/>
      <c r="AT483" s="165"/>
      <c r="AU483" s="165"/>
      <c r="AV483" s="165"/>
      <c r="AW483" s="165"/>
      <c r="AX483" s="165"/>
      <c r="AY483" s="165"/>
      <c r="AZ483" s="165"/>
      <c r="BA483" s="165"/>
      <c r="BB483" s="166"/>
      <c r="BC483" s="130"/>
      <c r="BD483" s="130"/>
      <c r="BE483" s="130"/>
      <c r="BF483" s="130"/>
      <c r="BG483" s="130"/>
      <c r="BH483" s="130"/>
      <c r="BI483" s="130"/>
      <c r="BJ483" s="130"/>
      <c r="BK483" s="130"/>
      <c r="BL483" s="130"/>
      <c r="BM483" s="130"/>
      <c r="BN483" s="130"/>
      <c r="BO483" s="130"/>
      <c r="BP483" s="130"/>
      <c r="BQ483" s="130"/>
      <c r="BR483" s="130"/>
      <c r="BS483" s="130"/>
      <c r="BT483" s="130"/>
    </row>
    <row r="484" spans="1:72" ht="15.75" customHeight="1">
      <c r="A484" s="525"/>
      <c r="B484" s="73" t="s">
        <v>307</v>
      </c>
      <c r="C484" s="74"/>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155"/>
      <c r="BC484" s="130"/>
      <c r="BD484" s="130"/>
      <c r="BE484" s="130"/>
      <c r="BF484" s="130"/>
      <c r="BG484" s="130"/>
      <c r="BH484" s="130"/>
      <c r="BI484" s="130"/>
      <c r="BJ484" s="130"/>
      <c r="BK484" s="130"/>
      <c r="BL484" s="130"/>
      <c r="BM484" s="130"/>
      <c r="BN484" s="130"/>
      <c r="BO484" s="130"/>
      <c r="BP484" s="130"/>
      <c r="BQ484" s="130"/>
      <c r="BR484" s="130"/>
      <c r="BS484" s="130"/>
      <c r="BT484" s="130"/>
    </row>
    <row r="485" spans="1:72" ht="15.75" customHeight="1">
      <c r="A485" s="560" t="s">
        <v>819</v>
      </c>
      <c r="B485" s="93" t="s">
        <v>820</v>
      </c>
      <c r="C485" s="556">
        <v>0</v>
      </c>
      <c r="D485" s="510"/>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c r="AE485" s="165"/>
      <c r="AF485" s="165"/>
      <c r="AG485" s="165"/>
      <c r="AH485" s="165"/>
      <c r="AI485" s="165"/>
      <c r="AJ485" s="165"/>
      <c r="AK485" s="165"/>
      <c r="AL485" s="165"/>
      <c r="AM485" s="165"/>
      <c r="AN485" s="165"/>
      <c r="AO485" s="165"/>
      <c r="AP485" s="165"/>
      <c r="AQ485" s="165"/>
      <c r="AR485" s="165"/>
      <c r="AS485" s="165"/>
      <c r="AT485" s="165"/>
      <c r="AU485" s="165"/>
      <c r="AV485" s="165"/>
      <c r="AW485" s="165"/>
      <c r="AX485" s="165"/>
      <c r="AY485" s="165"/>
      <c r="AZ485" s="165"/>
      <c r="BA485" s="165"/>
      <c r="BB485" s="166"/>
      <c r="BC485" s="130"/>
      <c r="BD485" s="130"/>
      <c r="BE485" s="130"/>
      <c r="BF485" s="130"/>
      <c r="BG485" s="130"/>
      <c r="BH485" s="130"/>
      <c r="BI485" s="130"/>
      <c r="BJ485" s="130"/>
      <c r="BK485" s="130"/>
      <c r="BL485" s="130"/>
      <c r="BM485" s="130"/>
      <c r="BN485" s="130"/>
      <c r="BO485" s="130"/>
      <c r="BP485" s="130"/>
      <c r="BQ485" s="130"/>
      <c r="BR485" s="130"/>
      <c r="BS485" s="130"/>
      <c r="BT485" s="130"/>
    </row>
    <row r="486" spans="1:72" ht="15.75" customHeight="1">
      <c r="A486" s="525"/>
      <c r="B486" s="73" t="s">
        <v>307</v>
      </c>
      <c r="C486" s="74"/>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155"/>
      <c r="BC486" s="130"/>
      <c r="BD486" s="130"/>
      <c r="BE486" s="130"/>
      <c r="BF486" s="130"/>
      <c r="BG486" s="130"/>
      <c r="BH486" s="130"/>
      <c r="BI486" s="130"/>
      <c r="BJ486" s="130"/>
      <c r="BK486" s="130"/>
      <c r="BL486" s="130"/>
      <c r="BM486" s="130"/>
      <c r="BN486" s="130"/>
      <c r="BO486" s="130"/>
      <c r="BP486" s="130"/>
      <c r="BQ486" s="130"/>
      <c r="BR486" s="130"/>
      <c r="BS486" s="130"/>
      <c r="BT486" s="130"/>
    </row>
    <row r="487" spans="1:72" ht="15.75" customHeight="1">
      <c r="A487" s="560" t="s">
        <v>821</v>
      </c>
      <c r="B487" s="81" t="s">
        <v>822</v>
      </c>
      <c r="C487" s="579">
        <v>1</v>
      </c>
      <c r="D487" s="590"/>
      <c r="E487" s="79" t="s">
        <v>823</v>
      </c>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156"/>
      <c r="BC487" s="130"/>
      <c r="BD487" s="130"/>
      <c r="BE487" s="130"/>
      <c r="BF487" s="130"/>
      <c r="BG487" s="130"/>
      <c r="BH487" s="130"/>
      <c r="BI487" s="130"/>
      <c r="BJ487" s="130"/>
      <c r="BK487" s="130"/>
      <c r="BL487" s="130"/>
      <c r="BM487" s="130"/>
      <c r="BN487" s="130"/>
      <c r="BO487" s="130"/>
      <c r="BP487" s="130"/>
      <c r="BQ487" s="130"/>
      <c r="BR487" s="130"/>
      <c r="BS487" s="130"/>
      <c r="BT487" s="130"/>
    </row>
    <row r="488" spans="1:72" ht="15.75" customHeight="1">
      <c r="A488" s="525"/>
      <c r="B488" s="73" t="s">
        <v>307</v>
      </c>
      <c r="C488" s="74"/>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155"/>
      <c r="BC488" s="130"/>
      <c r="BD488" s="130"/>
      <c r="BE488" s="130"/>
      <c r="BF488" s="130"/>
      <c r="BG488" s="130"/>
      <c r="BH488" s="130"/>
      <c r="BI488" s="130"/>
      <c r="BJ488" s="130"/>
      <c r="BK488" s="130"/>
      <c r="BL488" s="130"/>
      <c r="BM488" s="130"/>
      <c r="BN488" s="130"/>
      <c r="BO488" s="130"/>
      <c r="BP488" s="130"/>
      <c r="BQ488" s="130"/>
      <c r="BR488" s="130"/>
      <c r="BS488" s="130"/>
      <c r="BT488" s="130"/>
    </row>
    <row r="489" spans="1:72" ht="15" customHeight="1">
      <c r="A489" s="126" t="s">
        <v>824</v>
      </c>
      <c r="B489" s="126" t="s">
        <v>825</v>
      </c>
      <c r="C489" s="148"/>
      <c r="D489" s="148"/>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70"/>
      <c r="BC489" s="130"/>
      <c r="BD489" s="130"/>
      <c r="BE489" s="130"/>
      <c r="BF489" s="130"/>
      <c r="BG489" s="130"/>
      <c r="BH489" s="130"/>
      <c r="BI489" s="130"/>
      <c r="BJ489" s="130"/>
      <c r="BK489" s="130"/>
      <c r="BL489" s="130"/>
      <c r="BM489" s="130"/>
      <c r="BN489" s="130"/>
      <c r="BO489" s="130"/>
      <c r="BP489" s="130"/>
      <c r="BQ489" s="130"/>
      <c r="BR489" s="130"/>
      <c r="BS489" s="130"/>
      <c r="BT489" s="130"/>
    </row>
    <row r="490" spans="1:72" ht="15" customHeight="1">
      <c r="A490" s="612"/>
      <c r="B490" s="611" t="s">
        <v>826</v>
      </c>
      <c r="C490" s="613" t="s">
        <v>299</v>
      </c>
      <c r="D490" s="510"/>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83"/>
      <c r="AZ490" s="83"/>
      <c r="BA490" s="83"/>
      <c r="BB490" s="171"/>
      <c r="BC490" s="130"/>
      <c r="BD490" s="130"/>
      <c r="BE490" s="130"/>
      <c r="BF490" s="130"/>
      <c r="BG490" s="130"/>
      <c r="BH490" s="130"/>
      <c r="BI490" s="130"/>
      <c r="BJ490" s="130"/>
      <c r="BK490" s="130"/>
      <c r="BL490" s="130"/>
      <c r="BM490" s="130"/>
      <c r="BN490" s="130"/>
      <c r="BO490" s="130"/>
      <c r="BP490" s="130"/>
      <c r="BQ490" s="130"/>
      <c r="BR490" s="130"/>
      <c r="BS490" s="130"/>
      <c r="BT490" s="130"/>
    </row>
    <row r="491" spans="1:72" ht="15.75" customHeight="1">
      <c r="A491" s="525"/>
      <c r="B491" s="525"/>
      <c r="C491" s="154" t="s">
        <v>300</v>
      </c>
      <c r="D491" s="154" t="s">
        <v>301</v>
      </c>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c r="AA491" s="172"/>
      <c r="AB491" s="172"/>
      <c r="AC491" s="172"/>
      <c r="AD491" s="172"/>
      <c r="AE491" s="172"/>
      <c r="AF491" s="172"/>
      <c r="AG491" s="172"/>
      <c r="AH491" s="172"/>
      <c r="AI491" s="172"/>
      <c r="AJ491" s="172"/>
      <c r="AK491" s="172"/>
      <c r="AL491" s="172"/>
      <c r="AM491" s="172"/>
      <c r="AN491" s="172"/>
      <c r="AO491" s="172"/>
      <c r="AP491" s="172"/>
      <c r="AQ491" s="172"/>
      <c r="AR491" s="172"/>
      <c r="AS491" s="172"/>
      <c r="AT491" s="172"/>
      <c r="AU491" s="172"/>
      <c r="AV491" s="172"/>
      <c r="AW491" s="172"/>
      <c r="AX491" s="172"/>
      <c r="AY491" s="172"/>
      <c r="AZ491" s="172"/>
      <c r="BA491" s="172"/>
      <c r="BB491" s="173"/>
      <c r="BC491" s="130"/>
      <c r="BD491" s="130"/>
      <c r="BE491" s="130"/>
      <c r="BF491" s="130"/>
      <c r="BG491" s="130"/>
      <c r="BH491" s="130"/>
      <c r="BI491" s="130"/>
      <c r="BJ491" s="130"/>
      <c r="BK491" s="130"/>
      <c r="BL491" s="130"/>
      <c r="BM491" s="130"/>
      <c r="BN491" s="130"/>
      <c r="BO491" s="130"/>
      <c r="BP491" s="130"/>
      <c r="BQ491" s="130"/>
      <c r="BR491" s="130"/>
      <c r="BS491" s="130"/>
      <c r="BT491" s="130"/>
    </row>
    <row r="492" spans="1:72" ht="15.75" customHeight="1">
      <c r="A492" s="560" t="s">
        <v>827</v>
      </c>
      <c r="B492" s="93" t="s">
        <v>828</v>
      </c>
      <c r="C492" s="556">
        <v>1</v>
      </c>
      <c r="D492" s="510"/>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83"/>
      <c r="AZ492" s="83"/>
      <c r="BA492" s="83"/>
      <c r="BB492" s="171"/>
      <c r="BC492" s="130"/>
      <c r="BD492" s="130"/>
      <c r="BE492" s="130"/>
      <c r="BF492" s="130"/>
      <c r="BG492" s="130"/>
      <c r="BH492" s="130"/>
      <c r="BI492" s="130"/>
      <c r="BJ492" s="130"/>
      <c r="BK492" s="130"/>
      <c r="BL492" s="130"/>
      <c r="BM492" s="130"/>
      <c r="BN492" s="130"/>
      <c r="BO492" s="130"/>
      <c r="BP492" s="130"/>
      <c r="BQ492" s="130"/>
      <c r="BR492" s="130"/>
      <c r="BS492" s="130"/>
      <c r="BT492" s="130"/>
    </row>
    <row r="493" spans="1:72" ht="15.75" customHeight="1">
      <c r="A493" s="524"/>
      <c r="B493" s="86" t="s">
        <v>829</v>
      </c>
      <c r="C493" s="556">
        <v>1</v>
      </c>
      <c r="D493" s="510"/>
      <c r="E493" s="174" t="s">
        <v>830</v>
      </c>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c r="AB493" s="103"/>
      <c r="AC493" s="103"/>
      <c r="AD493" s="103"/>
      <c r="AE493" s="103"/>
      <c r="AF493" s="103"/>
      <c r="AG493" s="103"/>
      <c r="AH493" s="103"/>
      <c r="AI493" s="103"/>
      <c r="AJ493" s="103"/>
      <c r="AK493" s="103"/>
      <c r="AL493" s="103"/>
      <c r="AM493" s="103"/>
      <c r="AN493" s="103"/>
      <c r="AO493" s="103"/>
      <c r="AP493" s="103"/>
      <c r="AQ493" s="103"/>
      <c r="AR493" s="103"/>
      <c r="AS493" s="103"/>
      <c r="AT493" s="103"/>
      <c r="AU493" s="103"/>
      <c r="AV493" s="103"/>
      <c r="AW493" s="103"/>
      <c r="AX493" s="103"/>
      <c r="AY493" s="103"/>
      <c r="AZ493" s="103"/>
      <c r="BA493" s="103"/>
      <c r="BB493" s="175"/>
      <c r="BC493" s="130"/>
      <c r="BD493" s="130"/>
      <c r="BE493" s="130"/>
      <c r="BF493" s="130"/>
      <c r="BG493" s="130"/>
      <c r="BH493" s="130"/>
      <c r="BI493" s="130"/>
      <c r="BJ493" s="130"/>
      <c r="BK493" s="130"/>
      <c r="BL493" s="130"/>
      <c r="BM493" s="130"/>
      <c r="BN493" s="130"/>
      <c r="BO493" s="130"/>
      <c r="BP493" s="130"/>
      <c r="BQ493" s="130"/>
      <c r="BR493" s="130"/>
      <c r="BS493" s="130"/>
      <c r="BT493" s="130"/>
    </row>
    <row r="494" spans="1:72" ht="15" customHeight="1">
      <c r="A494" s="524"/>
      <c r="B494" s="93" t="s">
        <v>831</v>
      </c>
      <c r="C494" s="556">
        <v>0</v>
      </c>
      <c r="D494" s="510"/>
      <c r="E494" s="174"/>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156"/>
      <c r="BC494" s="130"/>
      <c r="BD494" s="130"/>
      <c r="BE494" s="130"/>
      <c r="BF494" s="130"/>
      <c r="BG494" s="130"/>
      <c r="BH494" s="130"/>
      <c r="BI494" s="130"/>
      <c r="BJ494" s="130"/>
      <c r="BK494" s="130"/>
      <c r="BL494" s="130"/>
      <c r="BM494" s="130"/>
      <c r="BN494" s="130"/>
      <c r="BO494" s="130"/>
      <c r="BP494" s="130"/>
      <c r="BQ494" s="130"/>
      <c r="BR494" s="130"/>
      <c r="BS494" s="130"/>
      <c r="BT494" s="130"/>
    </row>
    <row r="495" spans="1:72" ht="15.75" customHeight="1">
      <c r="A495" s="524"/>
      <c r="B495" s="73" t="s">
        <v>307</v>
      </c>
      <c r="C495" s="74"/>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155"/>
      <c r="BC495" s="130"/>
      <c r="BD495" s="130"/>
      <c r="BE495" s="130"/>
      <c r="BF495" s="130"/>
      <c r="BG495" s="130"/>
      <c r="BH495" s="130"/>
      <c r="BI495" s="130"/>
      <c r="BJ495" s="130"/>
      <c r="BK495" s="130"/>
      <c r="BL495" s="130"/>
      <c r="BM495" s="130"/>
      <c r="BN495" s="130"/>
      <c r="BO495" s="130"/>
      <c r="BP495" s="130"/>
      <c r="BQ495" s="130"/>
      <c r="BR495" s="130"/>
      <c r="BS495" s="130"/>
      <c r="BT495" s="130"/>
    </row>
    <row r="496" spans="1:72" ht="15.75" customHeight="1">
      <c r="A496" s="560" t="s">
        <v>832</v>
      </c>
      <c r="B496" s="93" t="s">
        <v>833</v>
      </c>
      <c r="C496" s="556">
        <v>0</v>
      </c>
      <c r="D496" s="510"/>
      <c r="E496" s="72"/>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83"/>
      <c r="AZ496" s="83"/>
      <c r="BA496" s="83"/>
      <c r="BB496" s="171"/>
      <c r="BC496" s="130"/>
      <c r="BD496" s="130"/>
      <c r="BE496" s="130"/>
      <c r="BF496" s="130"/>
      <c r="BG496" s="130"/>
      <c r="BH496" s="130"/>
      <c r="BI496" s="130"/>
      <c r="BJ496" s="130"/>
      <c r="BK496" s="130"/>
      <c r="BL496" s="130"/>
      <c r="BM496" s="130"/>
      <c r="BN496" s="130"/>
      <c r="BO496" s="130"/>
      <c r="BP496" s="130"/>
      <c r="BQ496" s="130"/>
      <c r="BR496" s="130"/>
      <c r="BS496" s="130"/>
      <c r="BT496" s="130"/>
    </row>
    <row r="497" spans="1:72" ht="15.75" customHeight="1">
      <c r="A497" s="524"/>
      <c r="B497" s="73" t="s">
        <v>307</v>
      </c>
      <c r="C497" s="74"/>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155"/>
      <c r="BC497" s="130"/>
      <c r="BD497" s="130"/>
      <c r="BE497" s="130"/>
      <c r="BF497" s="130"/>
      <c r="BG497" s="130"/>
      <c r="BH497" s="130"/>
      <c r="BI497" s="130"/>
      <c r="BJ497" s="130"/>
      <c r="BK497" s="130"/>
      <c r="BL497" s="130"/>
      <c r="BM497" s="130"/>
      <c r="BN497" s="130"/>
      <c r="BO497" s="130"/>
      <c r="BP497" s="130"/>
      <c r="BQ497" s="130"/>
      <c r="BR497" s="130"/>
      <c r="BS497" s="130"/>
      <c r="BT497" s="130"/>
    </row>
    <row r="498" spans="1:72" ht="15.75" customHeight="1">
      <c r="A498" s="68">
        <v>11</v>
      </c>
      <c r="B498" s="76" t="s">
        <v>834</v>
      </c>
      <c r="C498" s="69" t="s">
        <v>300</v>
      </c>
      <c r="D498" s="69" t="s">
        <v>301</v>
      </c>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c r="AB498" s="160"/>
      <c r="AC498" s="160"/>
      <c r="AD498" s="160"/>
      <c r="AE498" s="160"/>
      <c r="AF498" s="160"/>
      <c r="AG498" s="160"/>
      <c r="AH498" s="160"/>
      <c r="AI498" s="160"/>
      <c r="AJ498" s="160"/>
      <c r="AK498" s="160"/>
      <c r="AL498" s="160"/>
      <c r="AM498" s="160"/>
      <c r="AN498" s="160"/>
      <c r="AO498" s="160"/>
      <c r="AP498" s="160"/>
      <c r="AQ498" s="160"/>
      <c r="AR498" s="160"/>
      <c r="AS498" s="160"/>
      <c r="AT498" s="160"/>
      <c r="AU498" s="160"/>
      <c r="AV498" s="160"/>
      <c r="AW498" s="160"/>
      <c r="AX498" s="160"/>
      <c r="AY498" s="160"/>
      <c r="AZ498" s="160"/>
      <c r="BA498" s="160"/>
      <c r="BB498" s="176"/>
      <c r="BC498" s="130"/>
      <c r="BD498" s="130"/>
      <c r="BE498" s="130"/>
      <c r="BF498" s="130"/>
      <c r="BG498" s="130"/>
      <c r="BH498" s="130"/>
      <c r="BI498" s="130"/>
      <c r="BJ498" s="130"/>
      <c r="BK498" s="130"/>
      <c r="BL498" s="130"/>
      <c r="BM498" s="130"/>
      <c r="BN498" s="130"/>
      <c r="BO498" s="130"/>
      <c r="BP498" s="130"/>
      <c r="BQ498" s="130"/>
      <c r="BR498" s="130"/>
      <c r="BS498" s="130"/>
      <c r="BT498" s="130"/>
    </row>
    <row r="499" spans="1:72" ht="15.75" customHeight="1">
      <c r="A499" s="560" t="s">
        <v>835</v>
      </c>
      <c r="B499" s="71" t="s">
        <v>836</v>
      </c>
      <c r="C499" s="556">
        <v>0</v>
      </c>
      <c r="D499" s="51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c r="AB499" s="160"/>
      <c r="AC499" s="160"/>
      <c r="AD499" s="160"/>
      <c r="AE499" s="160"/>
      <c r="AF499" s="160"/>
      <c r="AG499" s="160"/>
      <c r="AH499" s="160"/>
      <c r="AI499" s="160"/>
      <c r="AJ499" s="160"/>
      <c r="AK499" s="160"/>
      <c r="AL499" s="160"/>
      <c r="AM499" s="160"/>
      <c r="AN499" s="160"/>
      <c r="AO499" s="160"/>
      <c r="AP499" s="160"/>
      <c r="AQ499" s="160"/>
      <c r="AR499" s="160"/>
      <c r="AS499" s="160"/>
      <c r="AT499" s="160"/>
      <c r="AU499" s="160"/>
      <c r="AV499" s="160"/>
      <c r="AW499" s="160"/>
      <c r="AX499" s="160"/>
      <c r="AY499" s="160"/>
      <c r="AZ499" s="160"/>
      <c r="BA499" s="160"/>
      <c r="BB499" s="176"/>
      <c r="BC499" s="130"/>
      <c r="BD499" s="130"/>
      <c r="BE499" s="130"/>
      <c r="BF499" s="130"/>
      <c r="BG499" s="130"/>
      <c r="BH499" s="130"/>
      <c r="BI499" s="130"/>
      <c r="BJ499" s="130"/>
      <c r="BK499" s="130"/>
      <c r="BL499" s="130"/>
      <c r="BM499" s="130"/>
      <c r="BN499" s="130"/>
      <c r="BO499" s="130"/>
      <c r="BP499" s="130"/>
      <c r="BQ499" s="130"/>
      <c r="BR499" s="130"/>
      <c r="BS499" s="130"/>
      <c r="BT499" s="130"/>
    </row>
    <row r="500" spans="1:72" ht="15.75" customHeight="1">
      <c r="A500" s="524"/>
      <c r="B500" s="73" t="s">
        <v>307</v>
      </c>
      <c r="C500" s="74"/>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155"/>
      <c r="BC500" s="130"/>
      <c r="BD500" s="130"/>
      <c r="BE500" s="130"/>
      <c r="BF500" s="130"/>
      <c r="BG500" s="130"/>
      <c r="BH500" s="130"/>
      <c r="BI500" s="130"/>
      <c r="BJ500" s="130"/>
      <c r="BK500" s="130"/>
      <c r="BL500" s="130"/>
      <c r="BM500" s="130"/>
      <c r="BN500" s="130"/>
      <c r="BO500" s="130"/>
      <c r="BP500" s="130"/>
      <c r="BQ500" s="130"/>
      <c r="BR500" s="130"/>
      <c r="BS500" s="130"/>
      <c r="BT500" s="130"/>
    </row>
    <row r="501" spans="1:72" ht="15.75" customHeight="1">
      <c r="A501" s="524"/>
      <c r="B501" s="71" t="s">
        <v>837</v>
      </c>
      <c r="C501" s="556">
        <v>1</v>
      </c>
      <c r="D501" s="51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c r="AC501" s="160"/>
      <c r="AD501" s="160"/>
      <c r="AE501" s="160"/>
      <c r="AF501" s="160"/>
      <c r="AG501" s="160"/>
      <c r="AH501" s="160"/>
      <c r="AI501" s="160"/>
      <c r="AJ501" s="160"/>
      <c r="AK501" s="160"/>
      <c r="AL501" s="160"/>
      <c r="AM501" s="160"/>
      <c r="AN501" s="160"/>
      <c r="AO501" s="160"/>
      <c r="AP501" s="160"/>
      <c r="AQ501" s="160"/>
      <c r="AR501" s="160"/>
      <c r="AS501" s="160"/>
      <c r="AT501" s="160"/>
      <c r="AU501" s="160"/>
      <c r="AV501" s="160"/>
      <c r="AW501" s="160"/>
      <c r="AX501" s="160"/>
      <c r="AY501" s="160"/>
      <c r="AZ501" s="160"/>
      <c r="BA501" s="160"/>
      <c r="BB501" s="176"/>
      <c r="BC501" s="130"/>
      <c r="BD501" s="130"/>
      <c r="BE501" s="130"/>
      <c r="BF501" s="130"/>
      <c r="BG501" s="130"/>
      <c r="BH501" s="130"/>
      <c r="BI501" s="130"/>
      <c r="BJ501" s="130"/>
      <c r="BK501" s="130"/>
      <c r="BL501" s="130"/>
      <c r="BM501" s="130"/>
      <c r="BN501" s="130"/>
      <c r="BO501" s="130"/>
      <c r="BP501" s="130"/>
      <c r="BQ501" s="130"/>
      <c r="BR501" s="130"/>
      <c r="BS501" s="130"/>
      <c r="BT501" s="130"/>
    </row>
    <row r="502" spans="1:72" ht="15.75" customHeight="1">
      <c r="A502" s="524"/>
      <c r="B502" s="73" t="s">
        <v>307</v>
      </c>
      <c r="C502" s="74" t="s">
        <v>838</v>
      </c>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155"/>
      <c r="BC502" s="130"/>
      <c r="BD502" s="130"/>
      <c r="BE502" s="130"/>
      <c r="BF502" s="130"/>
      <c r="BG502" s="130"/>
      <c r="BH502" s="130"/>
      <c r="BI502" s="130"/>
      <c r="BJ502" s="130"/>
      <c r="BK502" s="130"/>
      <c r="BL502" s="130"/>
      <c r="BM502" s="130"/>
      <c r="BN502" s="130"/>
      <c r="BO502" s="130"/>
      <c r="BP502" s="130"/>
      <c r="BQ502" s="130"/>
      <c r="BR502" s="130"/>
      <c r="BS502" s="130"/>
      <c r="BT502" s="130"/>
    </row>
    <row r="503" spans="1:72" ht="15.75" customHeight="1">
      <c r="A503" s="524"/>
      <c r="B503" s="71" t="s">
        <v>839</v>
      </c>
      <c r="C503" s="556">
        <v>1</v>
      </c>
      <c r="D503" s="51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c r="AB503" s="160"/>
      <c r="AC503" s="160"/>
      <c r="AD503" s="160"/>
      <c r="AE503" s="160"/>
      <c r="AF503" s="160"/>
      <c r="AG503" s="160"/>
      <c r="AH503" s="160"/>
      <c r="AI503" s="160"/>
      <c r="AJ503" s="160"/>
      <c r="AK503" s="160"/>
      <c r="AL503" s="160"/>
      <c r="AM503" s="160"/>
      <c r="AN503" s="160"/>
      <c r="AO503" s="160"/>
      <c r="AP503" s="160"/>
      <c r="AQ503" s="160"/>
      <c r="AR503" s="160"/>
      <c r="AS503" s="160"/>
      <c r="AT503" s="160"/>
      <c r="AU503" s="160"/>
      <c r="AV503" s="160"/>
      <c r="AW503" s="160"/>
      <c r="AX503" s="160"/>
      <c r="AY503" s="160"/>
      <c r="AZ503" s="160"/>
      <c r="BA503" s="160"/>
      <c r="BB503" s="176"/>
      <c r="BC503" s="130"/>
      <c r="BD503" s="130"/>
      <c r="BE503" s="130"/>
      <c r="BF503" s="130"/>
      <c r="BG503" s="130"/>
      <c r="BH503" s="130"/>
      <c r="BI503" s="130"/>
      <c r="BJ503" s="130"/>
      <c r="BK503" s="130"/>
      <c r="BL503" s="130"/>
      <c r="BM503" s="130"/>
      <c r="BN503" s="130"/>
      <c r="BO503" s="130"/>
      <c r="BP503" s="130"/>
      <c r="BQ503" s="130"/>
      <c r="BR503" s="130"/>
      <c r="BS503" s="130"/>
      <c r="BT503" s="130"/>
    </row>
    <row r="504" spans="1:72" ht="15.75" customHeight="1">
      <c r="A504" s="524"/>
      <c r="B504" s="73" t="s">
        <v>307</v>
      </c>
      <c r="C504" s="74" t="s">
        <v>840</v>
      </c>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155"/>
      <c r="BC504" s="130"/>
      <c r="BD504" s="130"/>
      <c r="BE504" s="130"/>
      <c r="BF504" s="130"/>
      <c r="BG504" s="130"/>
      <c r="BH504" s="130"/>
      <c r="BI504" s="130"/>
      <c r="BJ504" s="130"/>
      <c r="BK504" s="130"/>
      <c r="BL504" s="130"/>
      <c r="BM504" s="130"/>
      <c r="BN504" s="130"/>
      <c r="BO504" s="130"/>
      <c r="BP504" s="130"/>
      <c r="BQ504" s="130"/>
      <c r="BR504" s="130"/>
      <c r="BS504" s="130"/>
      <c r="BT504" s="130"/>
    </row>
    <row r="505" spans="1:72" ht="15.75" customHeight="1">
      <c r="A505" s="524"/>
      <c r="B505" s="71" t="s">
        <v>841</v>
      </c>
      <c r="C505" s="556">
        <v>0</v>
      </c>
      <c r="D505" s="51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c r="AB505" s="160"/>
      <c r="AC505" s="160"/>
      <c r="AD505" s="160"/>
      <c r="AE505" s="160"/>
      <c r="AF505" s="160"/>
      <c r="AG505" s="160"/>
      <c r="AH505" s="160"/>
      <c r="AI505" s="160"/>
      <c r="AJ505" s="160"/>
      <c r="AK505" s="160"/>
      <c r="AL505" s="160"/>
      <c r="AM505" s="160"/>
      <c r="AN505" s="160"/>
      <c r="AO505" s="160"/>
      <c r="AP505" s="160"/>
      <c r="AQ505" s="160"/>
      <c r="AR505" s="160"/>
      <c r="AS505" s="160"/>
      <c r="AT505" s="160"/>
      <c r="AU505" s="160"/>
      <c r="AV505" s="160"/>
      <c r="AW505" s="160"/>
      <c r="AX505" s="160"/>
      <c r="AY505" s="160"/>
      <c r="AZ505" s="160"/>
      <c r="BA505" s="160"/>
      <c r="BB505" s="176"/>
      <c r="BC505" s="130"/>
      <c r="BD505" s="130"/>
      <c r="BE505" s="130"/>
      <c r="BF505" s="130"/>
      <c r="BG505" s="130"/>
      <c r="BH505" s="130"/>
      <c r="BI505" s="130"/>
      <c r="BJ505" s="130"/>
      <c r="BK505" s="130"/>
      <c r="BL505" s="130"/>
      <c r="BM505" s="130"/>
      <c r="BN505" s="130"/>
      <c r="BO505" s="130"/>
      <c r="BP505" s="130"/>
      <c r="BQ505" s="130"/>
      <c r="BR505" s="130"/>
      <c r="BS505" s="130"/>
      <c r="BT505" s="130"/>
    </row>
    <row r="506" spans="1:72" ht="15.75" customHeight="1">
      <c r="A506" s="524"/>
      <c r="B506" s="73" t="s">
        <v>307</v>
      </c>
      <c r="C506" s="74"/>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155"/>
      <c r="BC506" s="130"/>
      <c r="BD506" s="130"/>
      <c r="BE506" s="130"/>
      <c r="BF506" s="130"/>
      <c r="BG506" s="130"/>
      <c r="BH506" s="130"/>
      <c r="BI506" s="130"/>
      <c r="BJ506" s="130"/>
      <c r="BK506" s="130"/>
      <c r="BL506" s="130"/>
      <c r="BM506" s="130"/>
      <c r="BN506" s="130"/>
      <c r="BO506" s="130"/>
      <c r="BP506" s="130"/>
      <c r="BQ506" s="130"/>
      <c r="BR506" s="130"/>
      <c r="BS506" s="130"/>
      <c r="BT506" s="130"/>
    </row>
    <row r="507" spans="1:72" ht="15.75" customHeight="1">
      <c r="A507" s="524"/>
      <c r="B507" s="71" t="s">
        <v>842</v>
      </c>
      <c r="C507" s="556">
        <v>0</v>
      </c>
      <c r="D507" s="51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c r="AB507" s="160"/>
      <c r="AC507" s="160"/>
      <c r="AD507" s="160"/>
      <c r="AE507" s="160"/>
      <c r="AF507" s="160"/>
      <c r="AG507" s="160"/>
      <c r="AH507" s="160"/>
      <c r="AI507" s="160"/>
      <c r="AJ507" s="160"/>
      <c r="AK507" s="160"/>
      <c r="AL507" s="160"/>
      <c r="AM507" s="160"/>
      <c r="AN507" s="160"/>
      <c r="AO507" s="160"/>
      <c r="AP507" s="160"/>
      <c r="AQ507" s="160"/>
      <c r="AR507" s="160"/>
      <c r="AS507" s="160"/>
      <c r="AT507" s="160"/>
      <c r="AU507" s="160"/>
      <c r="AV507" s="160"/>
      <c r="AW507" s="160"/>
      <c r="AX507" s="160"/>
      <c r="AY507" s="160"/>
      <c r="AZ507" s="160"/>
      <c r="BA507" s="160"/>
      <c r="BB507" s="176"/>
      <c r="BC507" s="130"/>
      <c r="BD507" s="130"/>
      <c r="BE507" s="130"/>
      <c r="BF507" s="130"/>
      <c r="BG507" s="130"/>
      <c r="BH507" s="130"/>
      <c r="BI507" s="130"/>
      <c r="BJ507" s="130"/>
      <c r="BK507" s="130"/>
      <c r="BL507" s="130"/>
      <c r="BM507" s="130"/>
      <c r="BN507" s="130"/>
      <c r="BO507" s="130"/>
      <c r="BP507" s="130"/>
      <c r="BQ507" s="130"/>
      <c r="BR507" s="130"/>
      <c r="BS507" s="130"/>
      <c r="BT507" s="130"/>
    </row>
    <row r="508" spans="1:72" ht="15.75" customHeight="1">
      <c r="A508" s="524"/>
      <c r="B508" s="73" t="s">
        <v>307</v>
      </c>
      <c r="C508" s="74"/>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155"/>
      <c r="BC508" s="130"/>
      <c r="BD508" s="130"/>
      <c r="BE508" s="130"/>
      <c r="BF508" s="130"/>
      <c r="BG508" s="130"/>
      <c r="BH508" s="130"/>
      <c r="BI508" s="130"/>
      <c r="BJ508" s="130"/>
      <c r="BK508" s="130"/>
      <c r="BL508" s="130"/>
      <c r="BM508" s="130"/>
      <c r="BN508" s="130"/>
      <c r="BO508" s="130"/>
      <c r="BP508" s="130"/>
      <c r="BQ508" s="130"/>
      <c r="BR508" s="130"/>
      <c r="BS508" s="130"/>
      <c r="BT508" s="130"/>
    </row>
    <row r="509" spans="1:72" ht="15.75" customHeight="1">
      <c r="A509" s="524"/>
      <c r="B509" s="71" t="s">
        <v>843</v>
      </c>
      <c r="C509" s="556">
        <v>1</v>
      </c>
      <c r="D509" s="51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c r="AB509" s="160"/>
      <c r="AC509" s="160"/>
      <c r="AD509" s="160"/>
      <c r="AE509" s="160"/>
      <c r="AF509" s="160"/>
      <c r="AG509" s="160"/>
      <c r="AH509" s="160"/>
      <c r="AI509" s="160"/>
      <c r="AJ509" s="160"/>
      <c r="AK509" s="160"/>
      <c r="AL509" s="160"/>
      <c r="AM509" s="160"/>
      <c r="AN509" s="160"/>
      <c r="AO509" s="160"/>
      <c r="AP509" s="160"/>
      <c r="AQ509" s="160"/>
      <c r="AR509" s="160"/>
      <c r="AS509" s="160"/>
      <c r="AT509" s="160"/>
      <c r="AU509" s="160"/>
      <c r="AV509" s="160"/>
      <c r="AW509" s="160"/>
      <c r="AX509" s="160"/>
      <c r="AY509" s="160"/>
      <c r="AZ509" s="160"/>
      <c r="BA509" s="160"/>
      <c r="BB509" s="176"/>
      <c r="BC509" s="130"/>
      <c r="BD509" s="130"/>
      <c r="BE509" s="130"/>
      <c r="BF509" s="130"/>
      <c r="BG509" s="130"/>
      <c r="BH509" s="130"/>
      <c r="BI509" s="130"/>
      <c r="BJ509" s="130"/>
      <c r="BK509" s="130"/>
      <c r="BL509" s="130"/>
      <c r="BM509" s="130"/>
      <c r="BN509" s="130"/>
      <c r="BO509" s="130"/>
      <c r="BP509" s="130"/>
      <c r="BQ509" s="130"/>
      <c r="BR509" s="130"/>
      <c r="BS509" s="130"/>
      <c r="BT509" s="130"/>
    </row>
    <row r="510" spans="1:72" ht="15.75" customHeight="1">
      <c r="A510" s="524"/>
      <c r="B510" s="73" t="s">
        <v>307</v>
      </c>
      <c r="C510" s="74" t="s">
        <v>844</v>
      </c>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155"/>
      <c r="BC510" s="130"/>
      <c r="BD510" s="130"/>
      <c r="BE510" s="130"/>
      <c r="BF510" s="130"/>
      <c r="BG510" s="130"/>
      <c r="BH510" s="130"/>
      <c r="BI510" s="130"/>
      <c r="BJ510" s="130"/>
      <c r="BK510" s="130"/>
      <c r="BL510" s="130"/>
      <c r="BM510" s="130"/>
      <c r="BN510" s="130"/>
      <c r="BO510" s="130"/>
      <c r="BP510" s="130"/>
      <c r="BQ510" s="130"/>
      <c r="BR510" s="130"/>
      <c r="BS510" s="130"/>
      <c r="BT510" s="130"/>
    </row>
    <row r="511" spans="1:72" ht="15.75" customHeight="1">
      <c r="A511" s="524"/>
      <c r="B511" s="71" t="s">
        <v>845</v>
      </c>
      <c r="C511" s="556">
        <v>1</v>
      </c>
      <c r="D511" s="51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c r="AB511" s="160"/>
      <c r="AC511" s="160"/>
      <c r="AD511" s="160"/>
      <c r="AE511" s="160"/>
      <c r="AF511" s="160"/>
      <c r="AG511" s="160"/>
      <c r="AH511" s="160"/>
      <c r="AI511" s="160"/>
      <c r="AJ511" s="160"/>
      <c r="AK511" s="160"/>
      <c r="AL511" s="160"/>
      <c r="AM511" s="160"/>
      <c r="AN511" s="160"/>
      <c r="AO511" s="160"/>
      <c r="AP511" s="160"/>
      <c r="AQ511" s="160"/>
      <c r="AR511" s="160"/>
      <c r="AS511" s="160"/>
      <c r="AT511" s="160"/>
      <c r="AU511" s="160"/>
      <c r="AV511" s="160"/>
      <c r="AW511" s="160"/>
      <c r="AX511" s="160"/>
      <c r="AY511" s="160"/>
      <c r="AZ511" s="160"/>
      <c r="BA511" s="160"/>
      <c r="BB511" s="176"/>
      <c r="BC511" s="130"/>
      <c r="BD511" s="130"/>
      <c r="BE511" s="130"/>
      <c r="BF511" s="130"/>
      <c r="BG511" s="130"/>
      <c r="BH511" s="130"/>
      <c r="BI511" s="130"/>
      <c r="BJ511" s="130"/>
      <c r="BK511" s="130"/>
      <c r="BL511" s="130"/>
      <c r="BM511" s="130"/>
      <c r="BN511" s="130"/>
      <c r="BO511" s="130"/>
      <c r="BP511" s="130"/>
      <c r="BQ511" s="130"/>
      <c r="BR511" s="130"/>
      <c r="BS511" s="130"/>
      <c r="BT511" s="130"/>
    </row>
    <row r="512" spans="1:72" ht="15.75" customHeight="1">
      <c r="A512" s="524"/>
      <c r="B512" s="73" t="s">
        <v>307</v>
      </c>
      <c r="C512" s="74" t="s">
        <v>846</v>
      </c>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155"/>
      <c r="BC512" s="130"/>
      <c r="BD512" s="130"/>
      <c r="BE512" s="130"/>
      <c r="BF512" s="130"/>
      <c r="BG512" s="130"/>
      <c r="BH512" s="130"/>
      <c r="BI512" s="130"/>
      <c r="BJ512" s="130"/>
      <c r="BK512" s="130"/>
      <c r="BL512" s="130"/>
      <c r="BM512" s="130"/>
      <c r="BN512" s="130"/>
      <c r="BO512" s="130"/>
      <c r="BP512" s="130"/>
      <c r="BQ512" s="130"/>
      <c r="BR512" s="130"/>
      <c r="BS512" s="130"/>
      <c r="BT512" s="130"/>
    </row>
    <row r="513" spans="1:72" ht="15.75" customHeight="1">
      <c r="A513" s="524"/>
      <c r="B513" s="71" t="s">
        <v>847</v>
      </c>
      <c r="C513" s="556">
        <v>0</v>
      </c>
      <c r="D513" s="51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c r="AC513" s="160"/>
      <c r="AD513" s="160"/>
      <c r="AE513" s="160"/>
      <c r="AF513" s="160"/>
      <c r="AG513" s="160"/>
      <c r="AH513" s="160"/>
      <c r="AI513" s="160"/>
      <c r="AJ513" s="160"/>
      <c r="AK513" s="160"/>
      <c r="AL513" s="160"/>
      <c r="AM513" s="160"/>
      <c r="AN513" s="160"/>
      <c r="AO513" s="160"/>
      <c r="AP513" s="160"/>
      <c r="AQ513" s="160"/>
      <c r="AR513" s="160"/>
      <c r="AS513" s="160"/>
      <c r="AT513" s="160"/>
      <c r="AU513" s="160"/>
      <c r="AV513" s="160"/>
      <c r="AW513" s="160"/>
      <c r="AX513" s="160"/>
      <c r="AY513" s="160"/>
      <c r="AZ513" s="160"/>
      <c r="BA513" s="160"/>
      <c r="BB513" s="176"/>
      <c r="BC513" s="130"/>
      <c r="BD513" s="130"/>
      <c r="BE513" s="130"/>
      <c r="BF513" s="130"/>
      <c r="BG513" s="130"/>
      <c r="BH513" s="130"/>
      <c r="BI513" s="130"/>
      <c r="BJ513" s="130"/>
      <c r="BK513" s="130"/>
      <c r="BL513" s="130"/>
      <c r="BM513" s="130"/>
      <c r="BN513" s="130"/>
      <c r="BO513" s="130"/>
      <c r="BP513" s="130"/>
      <c r="BQ513" s="130"/>
      <c r="BR513" s="130"/>
      <c r="BS513" s="130"/>
      <c r="BT513" s="130"/>
    </row>
    <row r="514" spans="1:72" ht="15.75" customHeight="1">
      <c r="A514" s="524"/>
      <c r="B514" s="73" t="s">
        <v>307</v>
      </c>
      <c r="C514" s="74"/>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155"/>
      <c r="BC514" s="130"/>
      <c r="BD514" s="130"/>
      <c r="BE514" s="130"/>
      <c r="BF514" s="130"/>
      <c r="BG514" s="130"/>
      <c r="BH514" s="130"/>
      <c r="BI514" s="130"/>
      <c r="BJ514" s="130"/>
      <c r="BK514" s="130"/>
      <c r="BL514" s="130"/>
      <c r="BM514" s="130"/>
      <c r="BN514" s="130"/>
      <c r="BO514" s="130"/>
      <c r="BP514" s="130"/>
      <c r="BQ514" s="130"/>
      <c r="BR514" s="130"/>
      <c r="BS514" s="130"/>
      <c r="BT514" s="130"/>
    </row>
    <row r="515" spans="1:72" ht="15.75" customHeight="1">
      <c r="A515" s="524"/>
      <c r="B515" s="71" t="s">
        <v>848</v>
      </c>
      <c r="C515" s="556"/>
      <c r="D515" s="510"/>
      <c r="E515" s="174"/>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c r="AG515" s="177"/>
      <c r="AH515" s="177"/>
      <c r="AI515" s="177"/>
      <c r="AJ515" s="177"/>
      <c r="AK515" s="177"/>
      <c r="AL515" s="177"/>
      <c r="AM515" s="177"/>
      <c r="AN515" s="177"/>
      <c r="AO515" s="177"/>
      <c r="AP515" s="177"/>
      <c r="AQ515" s="177"/>
      <c r="AR515" s="177"/>
      <c r="AS515" s="177"/>
      <c r="AT515" s="177"/>
      <c r="AU515" s="177"/>
      <c r="AV515" s="177"/>
      <c r="AW515" s="177"/>
      <c r="AX515" s="177"/>
      <c r="AY515" s="177"/>
      <c r="AZ515" s="177"/>
      <c r="BA515" s="177"/>
      <c r="BB515" s="178"/>
      <c r="BC515" s="130"/>
      <c r="BD515" s="130"/>
      <c r="BE515" s="130"/>
      <c r="BF515" s="130"/>
      <c r="BG515" s="130"/>
      <c r="BH515" s="130"/>
      <c r="BI515" s="130"/>
      <c r="BJ515" s="130"/>
      <c r="BK515" s="130"/>
      <c r="BL515" s="130"/>
      <c r="BM515" s="130"/>
      <c r="BN515" s="130"/>
      <c r="BO515" s="130"/>
      <c r="BP515" s="130"/>
      <c r="BQ515" s="130"/>
      <c r="BR515" s="130"/>
      <c r="BS515" s="130"/>
      <c r="BT515" s="130"/>
    </row>
    <row r="516" spans="1:72" ht="15.75" customHeight="1">
      <c r="A516" s="524"/>
      <c r="B516" s="73" t="s">
        <v>307</v>
      </c>
      <c r="C516" s="74"/>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155"/>
      <c r="BC516" s="130"/>
      <c r="BD516" s="130"/>
      <c r="BE516" s="130"/>
      <c r="BF516" s="130"/>
      <c r="BG516" s="130"/>
      <c r="BH516" s="130"/>
      <c r="BI516" s="130"/>
      <c r="BJ516" s="130"/>
      <c r="BK516" s="130"/>
      <c r="BL516" s="130"/>
      <c r="BM516" s="130"/>
      <c r="BN516" s="130"/>
      <c r="BO516" s="130"/>
      <c r="BP516" s="130"/>
      <c r="BQ516" s="130"/>
      <c r="BR516" s="130"/>
      <c r="BS516" s="130"/>
      <c r="BT516" s="130"/>
    </row>
    <row r="517" spans="1:72" ht="15.75" customHeight="1">
      <c r="A517" s="524"/>
      <c r="B517" s="71" t="s">
        <v>849</v>
      </c>
      <c r="C517" s="556"/>
      <c r="D517" s="510"/>
      <c r="E517" s="174"/>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c r="AG517" s="177"/>
      <c r="AH517" s="177"/>
      <c r="AI517" s="177"/>
      <c r="AJ517" s="177"/>
      <c r="AK517" s="177"/>
      <c r="AL517" s="177"/>
      <c r="AM517" s="177"/>
      <c r="AN517" s="177"/>
      <c r="AO517" s="177"/>
      <c r="AP517" s="177"/>
      <c r="AQ517" s="177"/>
      <c r="AR517" s="177"/>
      <c r="AS517" s="177"/>
      <c r="AT517" s="177"/>
      <c r="AU517" s="177"/>
      <c r="AV517" s="177"/>
      <c r="AW517" s="177"/>
      <c r="AX517" s="177"/>
      <c r="AY517" s="177"/>
      <c r="AZ517" s="177"/>
      <c r="BA517" s="177"/>
      <c r="BB517" s="178"/>
      <c r="BC517" s="130"/>
      <c r="BD517" s="130"/>
      <c r="BE517" s="130"/>
      <c r="BF517" s="130"/>
      <c r="BG517" s="130"/>
      <c r="BH517" s="130"/>
      <c r="BI517" s="130"/>
      <c r="BJ517" s="130"/>
      <c r="BK517" s="130"/>
      <c r="BL517" s="130"/>
      <c r="BM517" s="130"/>
      <c r="BN517" s="130"/>
      <c r="BO517" s="130"/>
      <c r="BP517" s="130"/>
      <c r="BQ517" s="130"/>
      <c r="BR517" s="130"/>
      <c r="BS517" s="130"/>
      <c r="BT517" s="130"/>
    </row>
    <row r="518" spans="1:72" ht="15.75" customHeight="1">
      <c r="A518" s="524"/>
      <c r="B518" s="73" t="s">
        <v>307</v>
      </c>
      <c r="C518" s="74"/>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155"/>
      <c r="BC518" s="130"/>
      <c r="BD518" s="130"/>
      <c r="BE518" s="130"/>
      <c r="BF518" s="130"/>
      <c r="BG518" s="130"/>
      <c r="BH518" s="130"/>
      <c r="BI518" s="130"/>
      <c r="BJ518" s="130"/>
      <c r="BK518" s="130"/>
      <c r="BL518" s="130"/>
      <c r="BM518" s="130"/>
      <c r="BN518" s="130"/>
      <c r="BO518" s="130"/>
      <c r="BP518" s="130"/>
      <c r="BQ518" s="130"/>
      <c r="BR518" s="130"/>
      <c r="BS518" s="130"/>
      <c r="BT518" s="130"/>
    </row>
    <row r="519" spans="1:72" ht="15.75" customHeight="1">
      <c r="A519" s="524"/>
      <c r="B519" s="71" t="s">
        <v>850</v>
      </c>
      <c r="C519" s="556"/>
      <c r="D519" s="510"/>
      <c r="E519" s="174"/>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c r="AG519" s="177"/>
      <c r="AH519" s="177"/>
      <c r="AI519" s="177"/>
      <c r="AJ519" s="177"/>
      <c r="AK519" s="177"/>
      <c r="AL519" s="177"/>
      <c r="AM519" s="177"/>
      <c r="AN519" s="177"/>
      <c r="AO519" s="177"/>
      <c r="AP519" s="177"/>
      <c r="AQ519" s="177"/>
      <c r="AR519" s="177"/>
      <c r="AS519" s="177"/>
      <c r="AT519" s="177"/>
      <c r="AU519" s="177"/>
      <c r="AV519" s="177"/>
      <c r="AW519" s="177"/>
      <c r="AX519" s="177"/>
      <c r="AY519" s="177"/>
      <c r="AZ519" s="177"/>
      <c r="BA519" s="177"/>
      <c r="BB519" s="178"/>
      <c r="BC519" s="130"/>
      <c r="BD519" s="130"/>
      <c r="BE519" s="130"/>
      <c r="BF519" s="130"/>
      <c r="BG519" s="130"/>
      <c r="BH519" s="130"/>
      <c r="BI519" s="130"/>
      <c r="BJ519" s="130"/>
      <c r="BK519" s="130"/>
      <c r="BL519" s="130"/>
      <c r="BM519" s="130"/>
      <c r="BN519" s="130"/>
      <c r="BO519" s="130"/>
      <c r="BP519" s="130"/>
      <c r="BQ519" s="130"/>
      <c r="BR519" s="130"/>
      <c r="BS519" s="130"/>
      <c r="BT519" s="130"/>
    </row>
    <row r="520" spans="1:72" ht="15.75" customHeight="1">
      <c r="A520" s="524"/>
      <c r="B520" s="73" t="s">
        <v>307</v>
      </c>
      <c r="C520" s="74"/>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155"/>
      <c r="BC520" s="130"/>
      <c r="BD520" s="130"/>
      <c r="BE520" s="130"/>
      <c r="BF520" s="130"/>
      <c r="BG520" s="130"/>
      <c r="BH520" s="130"/>
      <c r="BI520" s="130"/>
      <c r="BJ520" s="130"/>
      <c r="BK520" s="130"/>
      <c r="BL520" s="130"/>
      <c r="BM520" s="130"/>
      <c r="BN520" s="130"/>
      <c r="BO520" s="130"/>
      <c r="BP520" s="130"/>
      <c r="BQ520" s="130"/>
      <c r="BR520" s="130"/>
      <c r="BS520" s="130"/>
      <c r="BT520" s="130"/>
    </row>
    <row r="521" spans="1:72" ht="15.75" customHeight="1">
      <c r="A521" s="524"/>
      <c r="B521" s="179" t="s">
        <v>851</v>
      </c>
      <c r="C521" s="556">
        <v>0</v>
      </c>
      <c r="D521" s="51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c r="AB521" s="160"/>
      <c r="AC521" s="160"/>
      <c r="AD521" s="160"/>
      <c r="AE521" s="160"/>
      <c r="AF521" s="160"/>
      <c r="AG521" s="160"/>
      <c r="AH521" s="160"/>
      <c r="AI521" s="160"/>
      <c r="AJ521" s="160"/>
      <c r="AK521" s="160"/>
      <c r="AL521" s="160"/>
      <c r="AM521" s="160"/>
      <c r="AN521" s="160"/>
      <c r="AO521" s="160"/>
      <c r="AP521" s="160"/>
      <c r="AQ521" s="160"/>
      <c r="AR521" s="160"/>
      <c r="AS521" s="160"/>
      <c r="AT521" s="160"/>
      <c r="AU521" s="160"/>
      <c r="AV521" s="160"/>
      <c r="AW521" s="160"/>
      <c r="AX521" s="160"/>
      <c r="AY521" s="160"/>
      <c r="AZ521" s="160"/>
      <c r="BA521" s="160"/>
      <c r="BB521" s="176"/>
      <c r="BC521" s="130"/>
      <c r="BD521" s="130"/>
      <c r="BE521" s="130"/>
      <c r="BF521" s="130"/>
      <c r="BG521" s="130"/>
      <c r="BH521" s="130"/>
      <c r="BI521" s="130"/>
      <c r="BJ521" s="130"/>
      <c r="BK521" s="130"/>
      <c r="BL521" s="130"/>
      <c r="BM521" s="130"/>
      <c r="BN521" s="130"/>
      <c r="BO521" s="130"/>
      <c r="BP521" s="130"/>
      <c r="BQ521" s="130"/>
      <c r="BR521" s="130"/>
      <c r="BS521" s="130"/>
      <c r="BT521" s="130"/>
    </row>
    <row r="522" spans="1:72" ht="15.75" customHeight="1">
      <c r="A522" s="524"/>
      <c r="B522" s="180" t="s">
        <v>307</v>
      </c>
      <c r="C522" s="181"/>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c r="AE522" s="99"/>
      <c r="AF522" s="99"/>
      <c r="AG522" s="99"/>
      <c r="AH522" s="99"/>
      <c r="AI522" s="99"/>
      <c r="AJ522" s="99"/>
      <c r="AK522" s="99"/>
      <c r="AL522" s="99"/>
      <c r="AM522" s="99"/>
      <c r="AN522" s="99"/>
      <c r="AO522" s="99"/>
      <c r="AP522" s="99"/>
      <c r="AQ522" s="99"/>
      <c r="AR522" s="99"/>
      <c r="AS522" s="99"/>
      <c r="AT522" s="99"/>
      <c r="AU522" s="99"/>
      <c r="AV522" s="99"/>
      <c r="AW522" s="99"/>
      <c r="AX522" s="99"/>
      <c r="AY522" s="99"/>
      <c r="AZ522" s="99"/>
      <c r="BA522" s="99"/>
      <c r="BB522" s="182"/>
      <c r="BC522" s="130"/>
      <c r="BD522" s="130"/>
      <c r="BE522" s="130"/>
      <c r="BF522" s="130"/>
      <c r="BG522" s="130"/>
      <c r="BH522" s="130"/>
      <c r="BI522" s="130"/>
      <c r="BJ522" s="130"/>
      <c r="BK522" s="130"/>
      <c r="BL522" s="130"/>
      <c r="BM522" s="130"/>
      <c r="BN522" s="130"/>
      <c r="BO522" s="130"/>
      <c r="BP522" s="130"/>
      <c r="BQ522" s="130"/>
      <c r="BR522" s="130"/>
      <c r="BS522" s="130"/>
      <c r="BT522" s="130"/>
    </row>
    <row r="523" spans="1:72" ht="15" customHeight="1">
      <c r="A523" s="183" t="s">
        <v>852</v>
      </c>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c r="AA523" s="184"/>
      <c r="AB523" s="184"/>
      <c r="AC523" s="184"/>
      <c r="AD523" s="184"/>
      <c r="AE523" s="184"/>
      <c r="AF523" s="184"/>
      <c r="AG523" s="184"/>
      <c r="AH523" s="184"/>
      <c r="AI523" s="184"/>
      <c r="AJ523" s="184"/>
      <c r="AK523" s="184"/>
      <c r="AL523" s="184"/>
      <c r="AM523" s="184"/>
      <c r="AN523" s="184"/>
      <c r="AO523" s="184"/>
      <c r="AP523" s="184"/>
      <c r="AQ523" s="184"/>
      <c r="AR523" s="184"/>
      <c r="AS523" s="184"/>
      <c r="AT523" s="184"/>
      <c r="AU523" s="184"/>
      <c r="AV523" s="184"/>
      <c r="AW523" s="184"/>
      <c r="AX523" s="184"/>
      <c r="AY523" s="184"/>
      <c r="AZ523" s="184"/>
      <c r="BA523" s="184"/>
      <c r="BB523" s="185"/>
      <c r="BC523" s="130"/>
      <c r="BD523" s="130"/>
      <c r="BE523" s="130"/>
      <c r="BF523" s="130"/>
      <c r="BG523" s="130"/>
      <c r="BH523" s="130"/>
      <c r="BI523" s="130"/>
      <c r="BJ523" s="130"/>
      <c r="BK523" s="130"/>
      <c r="BL523" s="130"/>
      <c r="BM523" s="130"/>
      <c r="BN523" s="130"/>
      <c r="BO523" s="130"/>
      <c r="BP523" s="130"/>
      <c r="BQ523" s="130"/>
      <c r="BR523" s="130"/>
      <c r="BS523" s="130"/>
      <c r="BT523" s="130"/>
    </row>
    <row r="524" spans="1:72" ht="15.75" customHeight="1">
      <c r="A524" s="186"/>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7"/>
      <c r="AR524" s="187"/>
      <c r="AS524" s="187"/>
      <c r="AT524" s="187"/>
      <c r="AU524" s="187"/>
      <c r="AV524" s="187"/>
      <c r="AW524" s="187"/>
      <c r="AX524" s="187"/>
      <c r="AY524" s="187"/>
      <c r="AZ524" s="187"/>
      <c r="BA524" s="187"/>
      <c r="BB524" s="188"/>
      <c r="BC524" s="130"/>
      <c r="BD524" s="130"/>
      <c r="BE524" s="130"/>
      <c r="BF524" s="130"/>
      <c r="BG524" s="130"/>
      <c r="BH524" s="130"/>
      <c r="BI524" s="130"/>
      <c r="BJ524" s="130"/>
      <c r="BK524" s="130"/>
      <c r="BL524" s="130"/>
      <c r="BM524" s="130"/>
      <c r="BN524" s="130"/>
      <c r="BO524" s="130"/>
      <c r="BP524" s="130"/>
      <c r="BQ524" s="130"/>
      <c r="BR524" s="130"/>
      <c r="BS524" s="130"/>
      <c r="BT524" s="130"/>
    </row>
    <row r="525" spans="1:72" ht="15.75" customHeight="1">
      <c r="A525" s="189"/>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c r="AH525" s="190"/>
      <c r="AI525" s="190"/>
      <c r="AJ525" s="190"/>
      <c r="AK525" s="190"/>
      <c r="AL525" s="190"/>
      <c r="AM525" s="190"/>
      <c r="AN525" s="190"/>
      <c r="AO525" s="190"/>
      <c r="AP525" s="190"/>
      <c r="AQ525" s="190"/>
      <c r="AR525" s="190"/>
      <c r="AS525" s="190"/>
      <c r="AT525" s="190"/>
      <c r="AU525" s="190"/>
      <c r="AV525" s="190"/>
      <c r="AW525" s="190"/>
      <c r="AX525" s="190"/>
      <c r="AY525" s="190"/>
      <c r="AZ525" s="190"/>
      <c r="BA525" s="190"/>
      <c r="BB525" s="191"/>
      <c r="BC525" s="130"/>
      <c r="BD525" s="130"/>
      <c r="BE525" s="130"/>
      <c r="BF525" s="130"/>
      <c r="BG525" s="130"/>
      <c r="BH525" s="130"/>
      <c r="BI525" s="130"/>
      <c r="BJ525" s="130"/>
      <c r="BK525" s="130"/>
      <c r="BL525" s="130"/>
      <c r="BM525" s="130"/>
      <c r="BN525" s="130"/>
      <c r="BO525" s="130"/>
      <c r="BP525" s="130"/>
      <c r="BQ525" s="130"/>
      <c r="BR525" s="130"/>
      <c r="BS525" s="130"/>
      <c r="BT525" s="130"/>
    </row>
    <row r="526" spans="1:72" ht="15" customHeight="1">
      <c r="A526" s="624" t="s">
        <v>853</v>
      </c>
      <c r="B526" s="578"/>
      <c r="C526" s="192"/>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c r="AA526" s="193"/>
      <c r="AB526" s="193"/>
      <c r="AC526" s="193"/>
      <c r="AD526" s="193"/>
      <c r="AE526" s="193"/>
      <c r="AF526" s="193"/>
      <c r="AG526" s="193"/>
      <c r="AH526" s="193"/>
      <c r="AI526" s="193"/>
      <c r="AJ526" s="193"/>
      <c r="AK526" s="193"/>
      <c r="AL526" s="193"/>
      <c r="AM526" s="193"/>
      <c r="AN526" s="193"/>
      <c r="AO526" s="193"/>
      <c r="AP526" s="193"/>
      <c r="AQ526" s="193"/>
      <c r="AR526" s="193"/>
      <c r="AS526" s="193"/>
      <c r="AT526" s="193"/>
      <c r="AU526" s="193"/>
      <c r="AV526" s="193"/>
      <c r="AW526" s="193"/>
      <c r="AX526" s="193"/>
      <c r="AY526" s="193"/>
      <c r="AZ526" s="193"/>
      <c r="BA526" s="193"/>
      <c r="BB526" s="194"/>
      <c r="BC526" s="130"/>
      <c r="BD526" s="130"/>
      <c r="BE526" s="130"/>
      <c r="BF526" s="130"/>
      <c r="BG526" s="130"/>
      <c r="BH526" s="130"/>
      <c r="BI526" s="130"/>
      <c r="BJ526" s="130"/>
      <c r="BK526" s="130"/>
      <c r="BL526" s="130"/>
      <c r="BM526" s="130"/>
      <c r="BN526" s="130"/>
      <c r="BO526" s="130"/>
      <c r="BP526" s="130"/>
      <c r="BQ526" s="130"/>
      <c r="BR526" s="130"/>
      <c r="BS526" s="130"/>
      <c r="BT526" s="130"/>
    </row>
    <row r="527" spans="1:72" ht="15" customHeight="1">
      <c r="A527" s="592" t="s">
        <v>854</v>
      </c>
      <c r="B527" s="510"/>
      <c r="C527" s="195"/>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c r="AE527" s="196"/>
      <c r="AF527" s="196"/>
      <c r="AG527" s="196"/>
      <c r="AH527" s="196"/>
      <c r="AI527" s="196"/>
      <c r="AJ527" s="196"/>
      <c r="AK527" s="196"/>
      <c r="AL527" s="196"/>
      <c r="AM527" s="196"/>
      <c r="AN527" s="196"/>
      <c r="AO527" s="196"/>
      <c r="AP527" s="196"/>
      <c r="AQ527" s="196"/>
      <c r="AR527" s="196"/>
      <c r="AS527" s="196"/>
      <c r="AT527" s="196"/>
      <c r="AU527" s="196"/>
      <c r="AV527" s="196"/>
      <c r="AW527" s="196"/>
      <c r="AX527" s="196"/>
      <c r="AY527" s="196"/>
      <c r="AZ527" s="196"/>
      <c r="BA527" s="196"/>
      <c r="BB527" s="197"/>
      <c r="BC527" s="130"/>
      <c r="BD527" s="130"/>
      <c r="BE527" s="130"/>
      <c r="BF527" s="130"/>
      <c r="BG527" s="130"/>
      <c r="BH527" s="130"/>
      <c r="BI527" s="130"/>
      <c r="BJ527" s="130"/>
      <c r="BK527" s="130"/>
      <c r="BL527" s="130"/>
      <c r="BM527" s="130"/>
      <c r="BN527" s="130"/>
      <c r="BO527" s="130"/>
      <c r="BP527" s="130"/>
      <c r="BQ527" s="130"/>
      <c r="BR527" s="130"/>
      <c r="BS527" s="130"/>
      <c r="BT527" s="130"/>
    </row>
    <row r="528" spans="1:72" ht="32.25" customHeight="1">
      <c r="A528" s="198"/>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c r="AA528" s="198"/>
      <c r="AB528" s="198"/>
      <c r="AC528" s="198"/>
      <c r="AD528" s="198"/>
      <c r="AE528" s="198"/>
      <c r="AF528" s="198"/>
      <c r="AG528" s="198"/>
      <c r="AH528" s="198"/>
      <c r="AI528" s="198"/>
      <c r="AJ528" s="198"/>
      <c r="AK528" s="198"/>
      <c r="AL528" s="198"/>
      <c r="AM528" s="198"/>
      <c r="AN528" s="198"/>
      <c r="AO528" s="198"/>
      <c r="AP528" s="198"/>
      <c r="AQ528" s="198"/>
      <c r="AR528" s="198"/>
      <c r="AS528" s="198"/>
      <c r="AT528" s="198"/>
      <c r="AU528" s="198"/>
      <c r="AV528" s="198"/>
      <c r="AW528" s="198"/>
      <c r="AX528" s="198"/>
      <c r="AY528" s="198"/>
      <c r="AZ528" s="198"/>
      <c r="BA528" s="130"/>
      <c r="BB528" s="130"/>
      <c r="BC528" s="130"/>
      <c r="BD528" s="130"/>
      <c r="BE528" s="130"/>
      <c r="BF528" s="130"/>
      <c r="BG528" s="130"/>
      <c r="BH528" s="130"/>
      <c r="BI528" s="130"/>
      <c r="BJ528" s="130"/>
      <c r="BK528" s="130"/>
      <c r="BL528" s="130"/>
      <c r="BM528" s="130"/>
      <c r="BN528" s="130"/>
      <c r="BO528" s="130"/>
      <c r="BP528" s="130"/>
      <c r="BQ528" s="130"/>
      <c r="BR528" s="130"/>
      <c r="BS528" s="130"/>
      <c r="BT528" s="130"/>
    </row>
    <row r="529" spans="1:72" ht="1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30"/>
      <c r="BB529" s="130"/>
      <c r="BC529" s="130"/>
      <c r="BD529" s="130"/>
      <c r="BE529" s="130"/>
      <c r="BF529" s="130"/>
      <c r="BG529" s="130"/>
      <c r="BH529" s="130"/>
      <c r="BI529" s="130"/>
      <c r="BJ529" s="130"/>
      <c r="BK529" s="130"/>
      <c r="BL529" s="130"/>
      <c r="BM529" s="130"/>
      <c r="BN529" s="130"/>
      <c r="BO529" s="130"/>
      <c r="BP529" s="130"/>
      <c r="BQ529" s="130"/>
      <c r="BR529" s="130"/>
      <c r="BS529" s="130"/>
      <c r="BT529" s="130"/>
    </row>
    <row r="530" spans="1:72" ht="1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30"/>
      <c r="BB530" s="130"/>
      <c r="BC530" s="130"/>
      <c r="BD530" s="130"/>
      <c r="BE530" s="130"/>
      <c r="BF530" s="130"/>
      <c r="BG530" s="130"/>
      <c r="BH530" s="130"/>
      <c r="BI530" s="130"/>
      <c r="BJ530" s="130"/>
      <c r="BK530" s="130"/>
      <c r="BL530" s="130"/>
      <c r="BM530" s="130"/>
      <c r="BN530" s="130"/>
      <c r="BO530" s="130"/>
      <c r="BP530" s="130"/>
      <c r="BQ530" s="130"/>
      <c r="BR530" s="130"/>
      <c r="BS530" s="130"/>
      <c r="BT530" s="130"/>
    </row>
    <row r="531" spans="1:72" ht="15.7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30"/>
      <c r="BB531" s="130"/>
      <c r="BC531" s="130"/>
      <c r="BD531" s="130"/>
      <c r="BE531" s="130"/>
      <c r="BF531" s="130"/>
      <c r="BG531" s="130"/>
      <c r="BH531" s="130"/>
      <c r="BI531" s="130"/>
      <c r="BJ531" s="130"/>
      <c r="BK531" s="130"/>
      <c r="BL531" s="130"/>
      <c r="BM531" s="130"/>
      <c r="BN531" s="130"/>
      <c r="BO531" s="130"/>
      <c r="BP531" s="130"/>
      <c r="BQ531" s="130"/>
      <c r="BR531" s="130"/>
      <c r="BS531" s="130"/>
      <c r="BT531" s="130"/>
    </row>
    <row r="532" spans="1:72" ht="15.7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30"/>
      <c r="BB532" s="130"/>
      <c r="BC532" s="130"/>
      <c r="BD532" s="130"/>
      <c r="BE532" s="130"/>
      <c r="BF532" s="130"/>
      <c r="BG532" s="130"/>
      <c r="BH532" s="130"/>
      <c r="BI532" s="130"/>
      <c r="BJ532" s="130"/>
      <c r="BK532" s="130"/>
      <c r="BL532" s="130"/>
      <c r="BM532" s="130"/>
      <c r="BN532" s="130"/>
      <c r="BO532" s="130"/>
      <c r="BP532" s="130"/>
      <c r="BQ532" s="130"/>
      <c r="BR532" s="130"/>
      <c r="BS532" s="130"/>
      <c r="BT532" s="130"/>
    </row>
    <row r="533" spans="1:72" ht="15.7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30"/>
      <c r="BB533" s="130"/>
      <c r="BC533" s="130"/>
      <c r="BD533" s="130"/>
      <c r="BE533" s="130"/>
      <c r="BF533" s="130"/>
      <c r="BG533" s="130"/>
      <c r="BH533" s="130"/>
      <c r="BI533" s="130"/>
      <c r="BJ533" s="130"/>
      <c r="BK533" s="130"/>
      <c r="BL533" s="130"/>
      <c r="BM533" s="130"/>
      <c r="BN533" s="130"/>
      <c r="BO533" s="130"/>
      <c r="BP533" s="130"/>
      <c r="BQ533" s="130"/>
      <c r="BR533" s="130"/>
      <c r="BS533" s="130"/>
      <c r="BT533" s="130"/>
    </row>
    <row r="534" spans="1:72" ht="15.7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30"/>
      <c r="BB534" s="130"/>
      <c r="BC534" s="130"/>
      <c r="BD534" s="130"/>
      <c r="BE534" s="130"/>
      <c r="BF534" s="130"/>
      <c r="BG534" s="130"/>
      <c r="BH534" s="130"/>
      <c r="BI534" s="130"/>
      <c r="BJ534" s="130"/>
      <c r="BK534" s="130"/>
      <c r="BL534" s="130"/>
      <c r="BM534" s="130"/>
      <c r="BN534" s="130"/>
      <c r="BO534" s="130"/>
      <c r="BP534" s="130"/>
      <c r="BQ534" s="130"/>
      <c r="BR534" s="130"/>
      <c r="BS534" s="130"/>
      <c r="BT534" s="130"/>
    </row>
    <row r="535" spans="1:72" ht="15.7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30"/>
      <c r="BB535" s="130"/>
      <c r="BC535" s="130"/>
      <c r="BD535" s="130"/>
      <c r="BE535" s="130"/>
      <c r="BF535" s="130"/>
      <c r="BG535" s="130"/>
      <c r="BH535" s="130"/>
      <c r="BI535" s="130"/>
      <c r="BJ535" s="130"/>
      <c r="BK535" s="130"/>
      <c r="BL535" s="130"/>
      <c r="BM535" s="130"/>
      <c r="BN535" s="130"/>
      <c r="BO535" s="130"/>
      <c r="BP535" s="130"/>
      <c r="BQ535" s="130"/>
      <c r="BR535" s="130"/>
      <c r="BS535" s="130"/>
      <c r="BT535" s="130"/>
    </row>
    <row r="536" spans="1:72" ht="15.7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30"/>
      <c r="BB536" s="130"/>
      <c r="BC536" s="130"/>
      <c r="BD536" s="130"/>
      <c r="BE536" s="130"/>
      <c r="BF536" s="130"/>
      <c r="BG536" s="130"/>
      <c r="BH536" s="130"/>
      <c r="BI536" s="130"/>
      <c r="BJ536" s="130"/>
      <c r="BK536" s="130"/>
      <c r="BL536" s="130"/>
      <c r="BM536" s="130"/>
      <c r="BN536" s="130"/>
      <c r="BO536" s="130"/>
      <c r="BP536" s="130"/>
      <c r="BQ536" s="130"/>
      <c r="BR536" s="130"/>
      <c r="BS536" s="130"/>
      <c r="BT536" s="130"/>
    </row>
    <row r="537" spans="1:72" ht="15.7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30"/>
      <c r="BB537" s="130"/>
      <c r="BC537" s="130"/>
      <c r="BD537" s="130"/>
      <c r="BE537" s="130"/>
      <c r="BF537" s="130"/>
      <c r="BG537" s="130"/>
      <c r="BH537" s="130"/>
      <c r="BI537" s="130"/>
      <c r="BJ537" s="130"/>
      <c r="BK537" s="130"/>
      <c r="BL537" s="130"/>
      <c r="BM537" s="130"/>
      <c r="BN537" s="130"/>
      <c r="BO537" s="130"/>
      <c r="BP537" s="130"/>
      <c r="BQ537" s="130"/>
      <c r="BR537" s="130"/>
      <c r="BS537" s="130"/>
      <c r="BT537" s="130"/>
    </row>
    <row r="538" spans="1:72" ht="15.7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30"/>
      <c r="BB538" s="130"/>
      <c r="BC538" s="130"/>
      <c r="BD538" s="130"/>
      <c r="BE538" s="130"/>
      <c r="BF538" s="130"/>
      <c r="BG538" s="130"/>
      <c r="BH538" s="130"/>
      <c r="BI538" s="130"/>
      <c r="BJ538" s="130"/>
      <c r="BK538" s="130"/>
      <c r="BL538" s="130"/>
      <c r="BM538" s="130"/>
      <c r="BN538" s="130"/>
      <c r="BO538" s="130"/>
      <c r="BP538" s="130"/>
      <c r="BQ538" s="130"/>
      <c r="BR538" s="130"/>
      <c r="BS538" s="130"/>
      <c r="BT538" s="130"/>
    </row>
    <row r="539" spans="1:72" ht="15.7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30"/>
      <c r="BB539" s="130"/>
      <c r="BC539" s="130"/>
      <c r="BD539" s="130"/>
      <c r="BE539" s="130"/>
      <c r="BF539" s="130"/>
      <c r="BG539" s="130"/>
      <c r="BH539" s="130"/>
      <c r="BI539" s="130"/>
      <c r="BJ539" s="130"/>
      <c r="BK539" s="130"/>
      <c r="BL539" s="130"/>
      <c r="BM539" s="130"/>
      <c r="BN539" s="130"/>
      <c r="BO539" s="130"/>
      <c r="BP539" s="130"/>
      <c r="BQ539" s="130"/>
      <c r="BR539" s="130"/>
      <c r="BS539" s="130"/>
      <c r="BT539" s="130"/>
    </row>
    <row r="540" spans="1:72" ht="15.7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30"/>
      <c r="BB540" s="130"/>
      <c r="BC540" s="130"/>
      <c r="BD540" s="130"/>
      <c r="BE540" s="130"/>
      <c r="BF540" s="130"/>
      <c r="BG540" s="130"/>
      <c r="BH540" s="130"/>
      <c r="BI540" s="130"/>
      <c r="BJ540" s="130"/>
      <c r="BK540" s="130"/>
      <c r="BL540" s="130"/>
      <c r="BM540" s="130"/>
      <c r="BN540" s="130"/>
      <c r="BO540" s="130"/>
      <c r="BP540" s="130"/>
      <c r="BQ540" s="130"/>
      <c r="BR540" s="130"/>
      <c r="BS540" s="130"/>
      <c r="BT540" s="130"/>
    </row>
    <row r="541" spans="1:72" ht="15.7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30"/>
      <c r="BB541" s="130"/>
      <c r="BC541" s="130"/>
      <c r="BD541" s="130"/>
      <c r="BE541" s="130"/>
      <c r="BF541" s="130"/>
      <c r="BG541" s="130"/>
      <c r="BH541" s="130"/>
      <c r="BI541" s="130"/>
      <c r="BJ541" s="130"/>
      <c r="BK541" s="130"/>
      <c r="BL541" s="130"/>
      <c r="BM541" s="130"/>
      <c r="BN541" s="130"/>
      <c r="BO541" s="130"/>
      <c r="BP541" s="130"/>
      <c r="BQ541" s="130"/>
      <c r="BR541" s="130"/>
      <c r="BS541" s="130"/>
      <c r="BT541" s="130"/>
    </row>
    <row r="542" spans="1:72" ht="15.7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30"/>
      <c r="BB542" s="130"/>
      <c r="BC542" s="130"/>
      <c r="BD542" s="130"/>
      <c r="BE542" s="130"/>
      <c r="BF542" s="130"/>
      <c r="BG542" s="130"/>
      <c r="BH542" s="130"/>
      <c r="BI542" s="130"/>
      <c r="BJ542" s="130"/>
      <c r="BK542" s="130"/>
      <c r="BL542" s="130"/>
      <c r="BM542" s="130"/>
      <c r="BN542" s="130"/>
      <c r="BO542" s="130"/>
      <c r="BP542" s="130"/>
      <c r="BQ542" s="130"/>
      <c r="BR542" s="130"/>
      <c r="BS542" s="130"/>
      <c r="BT542" s="130"/>
    </row>
    <row r="543" spans="1:72" ht="15.7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30"/>
      <c r="BB543" s="130"/>
      <c r="BC543" s="130"/>
      <c r="BD543" s="130"/>
      <c r="BE543" s="130"/>
      <c r="BF543" s="130"/>
      <c r="BG543" s="130"/>
      <c r="BH543" s="130"/>
      <c r="BI543" s="130"/>
      <c r="BJ543" s="130"/>
      <c r="BK543" s="130"/>
      <c r="BL543" s="130"/>
      <c r="BM543" s="130"/>
      <c r="BN543" s="130"/>
      <c r="BO543" s="130"/>
      <c r="BP543" s="130"/>
      <c r="BQ543" s="130"/>
      <c r="BR543" s="130"/>
      <c r="BS543" s="130"/>
      <c r="BT543" s="130"/>
    </row>
    <row r="544" spans="1:72" ht="15.7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30"/>
      <c r="BB544" s="130"/>
      <c r="BC544" s="130"/>
      <c r="BD544" s="130"/>
      <c r="BE544" s="130"/>
      <c r="BF544" s="130"/>
      <c r="BG544" s="130"/>
      <c r="BH544" s="130"/>
      <c r="BI544" s="130"/>
      <c r="BJ544" s="130"/>
      <c r="BK544" s="130"/>
      <c r="BL544" s="130"/>
      <c r="BM544" s="130"/>
      <c r="BN544" s="130"/>
      <c r="BO544" s="130"/>
      <c r="BP544" s="130"/>
      <c r="BQ544" s="130"/>
      <c r="BR544" s="130"/>
      <c r="BS544" s="130"/>
      <c r="BT544" s="130"/>
    </row>
    <row r="545" spans="1:72" ht="15.7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30"/>
      <c r="BB545" s="130"/>
      <c r="BC545" s="130"/>
      <c r="BD545" s="130"/>
      <c r="BE545" s="130"/>
      <c r="BF545" s="130"/>
      <c r="BG545" s="130"/>
      <c r="BH545" s="130"/>
      <c r="BI545" s="130"/>
      <c r="BJ545" s="130"/>
      <c r="BK545" s="130"/>
      <c r="BL545" s="130"/>
      <c r="BM545" s="130"/>
      <c r="BN545" s="130"/>
      <c r="BO545" s="130"/>
      <c r="BP545" s="130"/>
      <c r="BQ545" s="130"/>
      <c r="BR545" s="130"/>
      <c r="BS545" s="130"/>
      <c r="BT545" s="130"/>
    </row>
    <row r="546" spans="1:72" ht="15.7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30"/>
      <c r="BB546" s="130"/>
      <c r="BC546" s="130"/>
      <c r="BD546" s="130"/>
      <c r="BE546" s="130"/>
      <c r="BF546" s="130"/>
      <c r="BG546" s="130"/>
      <c r="BH546" s="130"/>
      <c r="BI546" s="130"/>
      <c r="BJ546" s="130"/>
      <c r="BK546" s="130"/>
      <c r="BL546" s="130"/>
      <c r="BM546" s="130"/>
      <c r="BN546" s="130"/>
      <c r="BO546" s="130"/>
      <c r="BP546" s="130"/>
      <c r="BQ546" s="130"/>
      <c r="BR546" s="130"/>
      <c r="BS546" s="130"/>
      <c r="BT546" s="130"/>
    </row>
    <row r="547" spans="1:72" ht="15.7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30"/>
      <c r="BB547" s="130"/>
      <c r="BC547" s="130"/>
      <c r="BD547" s="130"/>
      <c r="BE547" s="130"/>
      <c r="BF547" s="130"/>
      <c r="BG547" s="130"/>
      <c r="BH547" s="130"/>
      <c r="BI547" s="130"/>
      <c r="BJ547" s="130"/>
      <c r="BK547" s="130"/>
      <c r="BL547" s="130"/>
      <c r="BM547" s="130"/>
      <c r="BN547" s="130"/>
      <c r="BO547" s="130"/>
      <c r="BP547" s="130"/>
      <c r="BQ547" s="130"/>
      <c r="BR547" s="130"/>
      <c r="BS547" s="130"/>
      <c r="BT547" s="130"/>
    </row>
    <row r="548" spans="1:72" ht="15.7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30"/>
      <c r="BB548" s="130"/>
      <c r="BC548" s="130"/>
      <c r="BD548" s="130"/>
      <c r="BE548" s="130"/>
      <c r="BF548" s="130"/>
      <c r="BG548" s="130"/>
      <c r="BH548" s="130"/>
      <c r="BI548" s="130"/>
      <c r="BJ548" s="130"/>
      <c r="BK548" s="130"/>
      <c r="BL548" s="130"/>
      <c r="BM548" s="130"/>
      <c r="BN548" s="130"/>
      <c r="BO548" s="130"/>
      <c r="BP548" s="130"/>
      <c r="BQ548" s="130"/>
      <c r="BR548" s="130"/>
      <c r="BS548" s="130"/>
      <c r="BT548" s="130"/>
    </row>
    <row r="549" spans="1:72" ht="15.7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30"/>
      <c r="BB549" s="130"/>
      <c r="BC549" s="130"/>
      <c r="BD549" s="130"/>
      <c r="BE549" s="130"/>
      <c r="BF549" s="130"/>
      <c r="BG549" s="130"/>
      <c r="BH549" s="130"/>
      <c r="BI549" s="130"/>
      <c r="BJ549" s="130"/>
      <c r="BK549" s="130"/>
      <c r="BL549" s="130"/>
      <c r="BM549" s="130"/>
      <c r="BN549" s="130"/>
      <c r="BO549" s="130"/>
      <c r="BP549" s="130"/>
      <c r="BQ549" s="130"/>
      <c r="BR549" s="130"/>
      <c r="BS549" s="130"/>
      <c r="BT549" s="130"/>
    </row>
    <row r="550" spans="1:72" ht="15.7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30"/>
      <c r="BB550" s="130"/>
      <c r="BC550" s="130"/>
      <c r="BD550" s="130"/>
      <c r="BE550" s="130"/>
      <c r="BF550" s="130"/>
      <c r="BG550" s="130"/>
      <c r="BH550" s="130"/>
      <c r="BI550" s="130"/>
      <c r="BJ550" s="130"/>
      <c r="BK550" s="130"/>
      <c r="BL550" s="130"/>
      <c r="BM550" s="130"/>
      <c r="BN550" s="130"/>
      <c r="BO550" s="130"/>
      <c r="BP550" s="130"/>
      <c r="BQ550" s="130"/>
      <c r="BR550" s="130"/>
      <c r="BS550" s="130"/>
      <c r="BT550" s="130"/>
    </row>
    <row r="551" spans="1:72" ht="15.7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30"/>
      <c r="BB551" s="130"/>
      <c r="BC551" s="130"/>
      <c r="BD551" s="130"/>
      <c r="BE551" s="130"/>
      <c r="BF551" s="130"/>
      <c r="BG551" s="130"/>
      <c r="BH551" s="130"/>
      <c r="BI551" s="130"/>
      <c r="BJ551" s="130"/>
      <c r="BK551" s="130"/>
      <c r="BL551" s="130"/>
      <c r="BM551" s="130"/>
      <c r="BN551" s="130"/>
      <c r="BO551" s="130"/>
      <c r="BP551" s="130"/>
      <c r="BQ551" s="130"/>
      <c r="BR551" s="130"/>
      <c r="BS551" s="130"/>
      <c r="BT551" s="130"/>
    </row>
    <row r="552" spans="1:72" ht="15.7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30"/>
      <c r="BB552" s="130"/>
      <c r="BC552" s="130"/>
      <c r="BD552" s="130"/>
      <c r="BE552" s="130"/>
      <c r="BF552" s="130"/>
      <c r="BG552" s="130"/>
      <c r="BH552" s="130"/>
      <c r="BI552" s="130"/>
      <c r="BJ552" s="130"/>
      <c r="BK552" s="130"/>
      <c r="BL552" s="130"/>
      <c r="BM552" s="130"/>
      <c r="BN552" s="130"/>
      <c r="BO552" s="130"/>
      <c r="BP552" s="130"/>
      <c r="BQ552" s="130"/>
      <c r="BR552" s="130"/>
      <c r="BS552" s="130"/>
      <c r="BT552" s="130"/>
    </row>
    <row r="553" spans="1:72" ht="15.7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30"/>
      <c r="BB553" s="130"/>
      <c r="BC553" s="130"/>
      <c r="BD553" s="130"/>
      <c r="BE553" s="130"/>
      <c r="BF553" s="130"/>
      <c r="BG553" s="130"/>
      <c r="BH553" s="130"/>
      <c r="BI553" s="130"/>
      <c r="BJ553" s="130"/>
      <c r="BK553" s="130"/>
      <c r="BL553" s="130"/>
      <c r="BM553" s="130"/>
      <c r="BN553" s="130"/>
      <c r="BO553" s="130"/>
      <c r="BP553" s="130"/>
      <c r="BQ553" s="130"/>
      <c r="BR553" s="130"/>
      <c r="BS553" s="130"/>
      <c r="BT553" s="130"/>
    </row>
    <row r="554" spans="1:72" ht="15.7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30"/>
      <c r="BB554" s="130"/>
      <c r="BC554" s="130"/>
      <c r="BD554" s="130"/>
      <c r="BE554" s="130"/>
      <c r="BF554" s="130"/>
      <c r="BG554" s="130"/>
      <c r="BH554" s="130"/>
      <c r="BI554" s="130"/>
      <c r="BJ554" s="130"/>
      <c r="BK554" s="130"/>
      <c r="BL554" s="130"/>
      <c r="BM554" s="130"/>
      <c r="BN554" s="130"/>
      <c r="BO554" s="130"/>
      <c r="BP554" s="130"/>
      <c r="BQ554" s="130"/>
      <c r="BR554" s="130"/>
      <c r="BS554" s="130"/>
      <c r="BT554" s="130"/>
    </row>
    <row r="555" spans="1:72" ht="15.7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30"/>
      <c r="BB555" s="130"/>
      <c r="BC555" s="130"/>
      <c r="BD555" s="130"/>
      <c r="BE555" s="130"/>
      <c r="BF555" s="130"/>
      <c r="BG555" s="130"/>
      <c r="BH555" s="130"/>
      <c r="BI555" s="130"/>
      <c r="BJ555" s="130"/>
      <c r="BK555" s="130"/>
      <c r="BL555" s="130"/>
      <c r="BM555" s="130"/>
      <c r="BN555" s="130"/>
      <c r="BO555" s="130"/>
      <c r="BP555" s="130"/>
      <c r="BQ555" s="130"/>
      <c r="BR555" s="130"/>
      <c r="BS555" s="130"/>
      <c r="BT555" s="130"/>
    </row>
    <row r="556" spans="1:72" ht="15.7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30"/>
      <c r="BB556" s="130"/>
      <c r="BC556" s="130"/>
      <c r="BD556" s="130"/>
      <c r="BE556" s="130"/>
      <c r="BF556" s="130"/>
      <c r="BG556" s="130"/>
      <c r="BH556" s="130"/>
      <c r="BI556" s="130"/>
      <c r="BJ556" s="130"/>
      <c r="BK556" s="130"/>
      <c r="BL556" s="130"/>
      <c r="BM556" s="130"/>
      <c r="BN556" s="130"/>
      <c r="BO556" s="130"/>
      <c r="BP556" s="130"/>
      <c r="BQ556" s="130"/>
      <c r="BR556" s="130"/>
      <c r="BS556" s="130"/>
      <c r="BT556" s="130"/>
    </row>
    <row r="557" spans="1:72" ht="15.7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30"/>
      <c r="BB557" s="130"/>
      <c r="BC557" s="130"/>
      <c r="BD557" s="130"/>
      <c r="BE557" s="130"/>
      <c r="BF557" s="130"/>
      <c r="BG557" s="130"/>
      <c r="BH557" s="130"/>
      <c r="BI557" s="130"/>
      <c r="BJ557" s="130"/>
      <c r="BK557" s="130"/>
      <c r="BL557" s="130"/>
      <c r="BM557" s="130"/>
      <c r="BN557" s="130"/>
      <c r="BO557" s="130"/>
      <c r="BP557" s="130"/>
      <c r="BQ557" s="130"/>
      <c r="BR557" s="130"/>
      <c r="BS557" s="130"/>
      <c r="BT557" s="130"/>
    </row>
    <row r="558" spans="1:72" ht="15.7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30"/>
      <c r="BB558" s="130"/>
      <c r="BC558" s="130"/>
      <c r="BD558" s="130"/>
      <c r="BE558" s="130"/>
      <c r="BF558" s="130"/>
      <c r="BG558" s="130"/>
      <c r="BH558" s="130"/>
      <c r="BI558" s="130"/>
      <c r="BJ558" s="130"/>
      <c r="BK558" s="130"/>
      <c r="BL558" s="130"/>
      <c r="BM558" s="130"/>
      <c r="BN558" s="130"/>
      <c r="BO558" s="130"/>
      <c r="BP558" s="130"/>
      <c r="BQ558" s="130"/>
      <c r="BR558" s="130"/>
      <c r="BS558" s="130"/>
      <c r="BT558" s="130"/>
    </row>
    <row r="559" spans="1:72" ht="15.7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30"/>
      <c r="BB559" s="130"/>
      <c r="BC559" s="130"/>
      <c r="BD559" s="130"/>
      <c r="BE559" s="130"/>
      <c r="BF559" s="130"/>
      <c r="BG559" s="130"/>
      <c r="BH559" s="130"/>
      <c r="BI559" s="130"/>
      <c r="BJ559" s="130"/>
      <c r="BK559" s="130"/>
      <c r="BL559" s="130"/>
      <c r="BM559" s="130"/>
      <c r="BN559" s="130"/>
      <c r="BO559" s="130"/>
      <c r="BP559" s="130"/>
      <c r="BQ559" s="130"/>
      <c r="BR559" s="130"/>
      <c r="BS559" s="130"/>
      <c r="BT559" s="130"/>
    </row>
    <row r="560" spans="1:72" ht="15.7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30"/>
      <c r="BB560" s="130"/>
      <c r="BC560" s="130"/>
      <c r="BD560" s="130"/>
      <c r="BE560" s="130"/>
      <c r="BF560" s="130"/>
      <c r="BG560" s="130"/>
      <c r="BH560" s="130"/>
      <c r="BI560" s="130"/>
      <c r="BJ560" s="130"/>
      <c r="BK560" s="130"/>
      <c r="BL560" s="130"/>
      <c r="BM560" s="130"/>
      <c r="BN560" s="130"/>
      <c r="BO560" s="130"/>
      <c r="BP560" s="130"/>
      <c r="BQ560" s="130"/>
      <c r="BR560" s="130"/>
      <c r="BS560" s="130"/>
      <c r="BT560" s="130"/>
    </row>
    <row r="561" spans="1:72" ht="15.7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30"/>
      <c r="BB561" s="130"/>
      <c r="BC561" s="130"/>
      <c r="BD561" s="130"/>
      <c r="BE561" s="130"/>
      <c r="BF561" s="130"/>
      <c r="BG561" s="130"/>
      <c r="BH561" s="130"/>
      <c r="BI561" s="130"/>
      <c r="BJ561" s="130"/>
      <c r="BK561" s="130"/>
      <c r="BL561" s="130"/>
      <c r="BM561" s="130"/>
      <c r="BN561" s="130"/>
      <c r="BO561" s="130"/>
      <c r="BP561" s="130"/>
      <c r="BQ561" s="130"/>
      <c r="BR561" s="130"/>
      <c r="BS561" s="130"/>
      <c r="BT561" s="130"/>
    </row>
    <row r="562" spans="1:72" ht="15.7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30"/>
      <c r="BB562" s="130"/>
      <c r="BC562" s="130"/>
      <c r="BD562" s="130"/>
      <c r="BE562" s="130"/>
      <c r="BF562" s="130"/>
      <c r="BG562" s="130"/>
      <c r="BH562" s="130"/>
      <c r="BI562" s="130"/>
      <c r="BJ562" s="130"/>
      <c r="BK562" s="130"/>
      <c r="BL562" s="130"/>
      <c r="BM562" s="130"/>
      <c r="BN562" s="130"/>
      <c r="BO562" s="130"/>
      <c r="BP562" s="130"/>
      <c r="BQ562" s="130"/>
      <c r="BR562" s="130"/>
      <c r="BS562" s="130"/>
      <c r="BT562" s="130"/>
    </row>
    <row r="563" spans="1:72" ht="15.7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30"/>
      <c r="BB563" s="130"/>
      <c r="BC563" s="130"/>
      <c r="BD563" s="130"/>
      <c r="BE563" s="130"/>
      <c r="BF563" s="130"/>
      <c r="BG563" s="130"/>
      <c r="BH563" s="130"/>
      <c r="BI563" s="130"/>
      <c r="BJ563" s="130"/>
      <c r="BK563" s="130"/>
      <c r="BL563" s="130"/>
      <c r="BM563" s="130"/>
      <c r="BN563" s="130"/>
      <c r="BO563" s="130"/>
      <c r="BP563" s="130"/>
      <c r="BQ563" s="130"/>
      <c r="BR563" s="130"/>
      <c r="BS563" s="130"/>
      <c r="BT563" s="130"/>
    </row>
    <row r="564" spans="1:72" ht="15.7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30"/>
      <c r="BB564" s="130"/>
      <c r="BC564" s="130"/>
      <c r="BD564" s="130"/>
      <c r="BE564" s="130"/>
      <c r="BF564" s="130"/>
      <c r="BG564" s="130"/>
      <c r="BH564" s="130"/>
      <c r="BI564" s="130"/>
      <c r="BJ564" s="130"/>
      <c r="BK564" s="130"/>
      <c r="BL564" s="130"/>
      <c r="BM564" s="130"/>
      <c r="BN564" s="130"/>
      <c r="BO564" s="130"/>
      <c r="BP564" s="130"/>
      <c r="BQ564" s="130"/>
      <c r="BR564" s="130"/>
      <c r="BS564" s="130"/>
      <c r="BT564" s="130"/>
    </row>
    <row r="565" spans="1:72" ht="15.7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30"/>
      <c r="BB565" s="130"/>
      <c r="BC565" s="130"/>
      <c r="BD565" s="130"/>
      <c r="BE565" s="130"/>
      <c r="BF565" s="130"/>
      <c r="BG565" s="130"/>
      <c r="BH565" s="130"/>
      <c r="BI565" s="130"/>
      <c r="BJ565" s="130"/>
      <c r="BK565" s="130"/>
      <c r="BL565" s="130"/>
      <c r="BM565" s="130"/>
      <c r="BN565" s="130"/>
      <c r="BO565" s="130"/>
      <c r="BP565" s="130"/>
      <c r="BQ565" s="130"/>
      <c r="BR565" s="130"/>
      <c r="BS565" s="130"/>
      <c r="BT565" s="130"/>
    </row>
    <row r="566" spans="1:72" ht="15.7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30"/>
      <c r="BB566" s="130"/>
      <c r="BC566" s="130"/>
      <c r="BD566" s="130"/>
      <c r="BE566" s="130"/>
      <c r="BF566" s="130"/>
      <c r="BG566" s="130"/>
      <c r="BH566" s="130"/>
      <c r="BI566" s="130"/>
      <c r="BJ566" s="130"/>
      <c r="BK566" s="130"/>
      <c r="BL566" s="130"/>
      <c r="BM566" s="130"/>
      <c r="BN566" s="130"/>
      <c r="BO566" s="130"/>
      <c r="BP566" s="130"/>
      <c r="BQ566" s="130"/>
      <c r="BR566" s="130"/>
      <c r="BS566" s="130"/>
      <c r="BT566" s="130"/>
    </row>
    <row r="567" spans="1:72" ht="15.7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30"/>
      <c r="BB567" s="130"/>
      <c r="BC567" s="130"/>
      <c r="BD567" s="130"/>
      <c r="BE567" s="130"/>
      <c r="BF567" s="130"/>
      <c r="BG567" s="130"/>
      <c r="BH567" s="130"/>
      <c r="BI567" s="130"/>
      <c r="BJ567" s="130"/>
      <c r="BK567" s="130"/>
      <c r="BL567" s="130"/>
      <c r="BM567" s="130"/>
      <c r="BN567" s="130"/>
      <c r="BO567" s="130"/>
      <c r="BP567" s="130"/>
      <c r="BQ567" s="130"/>
      <c r="BR567" s="130"/>
      <c r="BS567" s="130"/>
      <c r="BT567" s="130"/>
    </row>
    <row r="568" spans="1:72" ht="15.7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30"/>
      <c r="BB568" s="130"/>
      <c r="BC568" s="130"/>
      <c r="BD568" s="130"/>
      <c r="BE568" s="130"/>
      <c r="BF568" s="130"/>
      <c r="BG568" s="130"/>
      <c r="BH568" s="130"/>
      <c r="BI568" s="130"/>
      <c r="BJ568" s="130"/>
      <c r="BK568" s="130"/>
      <c r="BL568" s="130"/>
      <c r="BM568" s="130"/>
      <c r="BN568" s="130"/>
      <c r="BO568" s="130"/>
      <c r="BP568" s="130"/>
      <c r="BQ568" s="130"/>
      <c r="BR568" s="130"/>
      <c r="BS568" s="130"/>
      <c r="BT568" s="130"/>
    </row>
    <row r="569" spans="1:72" ht="15.7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30"/>
      <c r="BB569" s="130"/>
      <c r="BC569" s="130"/>
      <c r="BD569" s="130"/>
      <c r="BE569" s="130"/>
      <c r="BF569" s="130"/>
      <c r="BG569" s="130"/>
      <c r="BH569" s="130"/>
      <c r="BI569" s="130"/>
      <c r="BJ569" s="130"/>
      <c r="BK569" s="130"/>
      <c r="BL569" s="130"/>
      <c r="BM569" s="130"/>
      <c r="BN569" s="130"/>
      <c r="BO569" s="130"/>
      <c r="BP569" s="130"/>
      <c r="BQ569" s="130"/>
      <c r="BR569" s="130"/>
      <c r="BS569" s="130"/>
      <c r="BT569" s="130"/>
    </row>
    <row r="570" spans="1:72" ht="15.7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30"/>
      <c r="BB570" s="130"/>
      <c r="BC570" s="130"/>
      <c r="BD570" s="130"/>
      <c r="BE570" s="130"/>
      <c r="BF570" s="130"/>
      <c r="BG570" s="130"/>
      <c r="BH570" s="130"/>
      <c r="BI570" s="130"/>
      <c r="BJ570" s="130"/>
      <c r="BK570" s="130"/>
      <c r="BL570" s="130"/>
      <c r="BM570" s="130"/>
      <c r="BN570" s="130"/>
      <c r="BO570" s="130"/>
      <c r="BP570" s="130"/>
      <c r="BQ570" s="130"/>
      <c r="BR570" s="130"/>
      <c r="BS570" s="130"/>
      <c r="BT570" s="130"/>
    </row>
    <row r="571" spans="1:72" ht="15.7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30"/>
      <c r="BB571" s="130"/>
      <c r="BC571" s="130"/>
      <c r="BD571" s="130"/>
      <c r="BE571" s="130"/>
      <c r="BF571" s="130"/>
      <c r="BG571" s="130"/>
      <c r="BH571" s="130"/>
      <c r="BI571" s="130"/>
      <c r="BJ571" s="130"/>
      <c r="BK571" s="130"/>
      <c r="BL571" s="130"/>
      <c r="BM571" s="130"/>
      <c r="BN571" s="130"/>
      <c r="BO571" s="130"/>
      <c r="BP571" s="130"/>
      <c r="BQ571" s="130"/>
      <c r="BR571" s="130"/>
      <c r="BS571" s="130"/>
      <c r="BT571" s="130"/>
    </row>
    <row r="572" spans="1:72" ht="15.7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30"/>
      <c r="BB572" s="130"/>
      <c r="BC572" s="130"/>
      <c r="BD572" s="130"/>
      <c r="BE572" s="130"/>
      <c r="BF572" s="130"/>
      <c r="BG572" s="130"/>
      <c r="BH572" s="130"/>
      <c r="BI572" s="130"/>
      <c r="BJ572" s="130"/>
      <c r="BK572" s="130"/>
      <c r="BL572" s="130"/>
      <c r="BM572" s="130"/>
      <c r="BN572" s="130"/>
      <c r="BO572" s="130"/>
      <c r="BP572" s="130"/>
      <c r="BQ572" s="130"/>
      <c r="BR572" s="130"/>
      <c r="BS572" s="130"/>
      <c r="BT572" s="130"/>
    </row>
    <row r="573" spans="1:72" ht="15.7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30"/>
      <c r="BB573" s="130"/>
      <c r="BC573" s="130"/>
      <c r="BD573" s="130"/>
      <c r="BE573" s="130"/>
      <c r="BF573" s="130"/>
      <c r="BG573" s="130"/>
      <c r="BH573" s="130"/>
      <c r="BI573" s="130"/>
      <c r="BJ573" s="130"/>
      <c r="BK573" s="130"/>
      <c r="BL573" s="130"/>
      <c r="BM573" s="130"/>
      <c r="BN573" s="130"/>
      <c r="BO573" s="130"/>
      <c r="BP573" s="130"/>
      <c r="BQ573" s="130"/>
      <c r="BR573" s="130"/>
      <c r="BS573" s="130"/>
      <c r="BT573" s="130"/>
    </row>
    <row r="574" spans="1:72" ht="15.7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30"/>
      <c r="BB574" s="130"/>
      <c r="BC574" s="130"/>
      <c r="BD574" s="130"/>
      <c r="BE574" s="130"/>
      <c r="BF574" s="130"/>
      <c r="BG574" s="130"/>
      <c r="BH574" s="130"/>
      <c r="BI574" s="130"/>
      <c r="BJ574" s="130"/>
      <c r="BK574" s="130"/>
      <c r="BL574" s="130"/>
      <c r="BM574" s="130"/>
      <c r="BN574" s="130"/>
      <c r="BO574" s="130"/>
      <c r="BP574" s="130"/>
      <c r="BQ574" s="130"/>
      <c r="BR574" s="130"/>
      <c r="BS574" s="130"/>
      <c r="BT574" s="130"/>
    </row>
    <row r="575" spans="1:72" ht="15.7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30"/>
      <c r="BB575" s="130"/>
      <c r="BC575" s="130"/>
      <c r="BD575" s="130"/>
      <c r="BE575" s="130"/>
      <c r="BF575" s="130"/>
      <c r="BG575" s="130"/>
      <c r="BH575" s="130"/>
      <c r="BI575" s="130"/>
      <c r="BJ575" s="130"/>
      <c r="BK575" s="130"/>
      <c r="BL575" s="130"/>
      <c r="BM575" s="130"/>
      <c r="BN575" s="130"/>
      <c r="BO575" s="130"/>
      <c r="BP575" s="130"/>
      <c r="BQ575" s="130"/>
      <c r="BR575" s="130"/>
      <c r="BS575" s="130"/>
      <c r="BT575" s="130"/>
    </row>
    <row r="576" spans="1:72" ht="15.7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30"/>
      <c r="BB576" s="130"/>
      <c r="BC576" s="130"/>
      <c r="BD576" s="130"/>
      <c r="BE576" s="130"/>
      <c r="BF576" s="130"/>
      <c r="BG576" s="130"/>
      <c r="BH576" s="130"/>
      <c r="BI576" s="130"/>
      <c r="BJ576" s="130"/>
      <c r="BK576" s="130"/>
      <c r="BL576" s="130"/>
      <c r="BM576" s="130"/>
      <c r="BN576" s="130"/>
      <c r="BO576" s="130"/>
      <c r="BP576" s="130"/>
      <c r="BQ576" s="130"/>
      <c r="BR576" s="130"/>
      <c r="BS576" s="130"/>
      <c r="BT576" s="130"/>
    </row>
    <row r="577" spans="1:72" ht="15.7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30"/>
      <c r="BB577" s="130"/>
      <c r="BC577" s="130"/>
      <c r="BD577" s="130"/>
      <c r="BE577" s="130"/>
      <c r="BF577" s="130"/>
      <c r="BG577" s="130"/>
      <c r="BH577" s="130"/>
      <c r="BI577" s="130"/>
      <c r="BJ577" s="130"/>
      <c r="BK577" s="130"/>
      <c r="BL577" s="130"/>
      <c r="BM577" s="130"/>
      <c r="BN577" s="130"/>
      <c r="BO577" s="130"/>
      <c r="BP577" s="130"/>
      <c r="BQ577" s="130"/>
      <c r="BR577" s="130"/>
      <c r="BS577" s="130"/>
      <c r="BT577" s="130"/>
    </row>
    <row r="578" spans="1:72" ht="15.7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30"/>
      <c r="BB578" s="130"/>
      <c r="BC578" s="130"/>
      <c r="BD578" s="130"/>
      <c r="BE578" s="130"/>
      <c r="BF578" s="130"/>
      <c r="BG578" s="130"/>
      <c r="BH578" s="130"/>
      <c r="BI578" s="130"/>
      <c r="BJ578" s="130"/>
      <c r="BK578" s="130"/>
      <c r="BL578" s="130"/>
      <c r="BM578" s="130"/>
      <c r="BN578" s="130"/>
      <c r="BO578" s="130"/>
      <c r="BP578" s="130"/>
      <c r="BQ578" s="130"/>
      <c r="BR578" s="130"/>
      <c r="BS578" s="130"/>
      <c r="BT578" s="130"/>
    </row>
    <row r="579" spans="1:72" ht="15.7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30"/>
      <c r="BB579" s="130"/>
      <c r="BC579" s="130"/>
      <c r="BD579" s="130"/>
      <c r="BE579" s="130"/>
      <c r="BF579" s="130"/>
      <c r="BG579" s="130"/>
      <c r="BH579" s="130"/>
      <c r="BI579" s="130"/>
      <c r="BJ579" s="130"/>
      <c r="BK579" s="130"/>
      <c r="BL579" s="130"/>
      <c r="BM579" s="130"/>
      <c r="BN579" s="130"/>
      <c r="BO579" s="130"/>
      <c r="BP579" s="130"/>
      <c r="BQ579" s="130"/>
      <c r="BR579" s="130"/>
      <c r="BS579" s="130"/>
      <c r="BT579" s="130"/>
    </row>
    <row r="580" spans="1:72" ht="15.7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30"/>
      <c r="BB580" s="130"/>
      <c r="BC580" s="130"/>
      <c r="BD580" s="130"/>
      <c r="BE580" s="130"/>
      <c r="BF580" s="130"/>
      <c r="BG580" s="130"/>
      <c r="BH580" s="130"/>
      <c r="BI580" s="130"/>
      <c r="BJ580" s="130"/>
      <c r="BK580" s="130"/>
      <c r="BL580" s="130"/>
      <c r="BM580" s="130"/>
      <c r="BN580" s="130"/>
      <c r="BO580" s="130"/>
      <c r="BP580" s="130"/>
      <c r="BQ580" s="130"/>
      <c r="BR580" s="130"/>
      <c r="BS580" s="130"/>
      <c r="BT580" s="130"/>
    </row>
    <row r="581" spans="1:72" ht="15.7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30"/>
      <c r="BB581" s="130"/>
      <c r="BC581" s="130"/>
      <c r="BD581" s="130"/>
      <c r="BE581" s="130"/>
      <c r="BF581" s="130"/>
      <c r="BG581" s="130"/>
      <c r="BH581" s="130"/>
      <c r="BI581" s="130"/>
      <c r="BJ581" s="130"/>
      <c r="BK581" s="130"/>
      <c r="BL581" s="130"/>
      <c r="BM581" s="130"/>
      <c r="BN581" s="130"/>
      <c r="BO581" s="130"/>
      <c r="BP581" s="130"/>
      <c r="BQ581" s="130"/>
      <c r="BR581" s="130"/>
      <c r="BS581" s="130"/>
      <c r="BT581" s="130"/>
    </row>
    <row r="582" spans="1:72" ht="15.7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30"/>
      <c r="BB582" s="130"/>
      <c r="BC582" s="130"/>
      <c r="BD582" s="130"/>
      <c r="BE582" s="130"/>
      <c r="BF582" s="130"/>
      <c r="BG582" s="130"/>
      <c r="BH582" s="130"/>
      <c r="BI582" s="130"/>
      <c r="BJ582" s="130"/>
      <c r="BK582" s="130"/>
      <c r="BL582" s="130"/>
      <c r="BM582" s="130"/>
      <c r="BN582" s="130"/>
      <c r="BO582" s="130"/>
      <c r="BP582" s="130"/>
      <c r="BQ582" s="130"/>
      <c r="BR582" s="130"/>
      <c r="BS582" s="130"/>
      <c r="BT582" s="130"/>
    </row>
    <row r="583" spans="1:72" ht="15.7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30"/>
      <c r="BB583" s="130"/>
      <c r="BC583" s="130"/>
      <c r="BD583" s="130"/>
      <c r="BE583" s="130"/>
      <c r="BF583" s="130"/>
      <c r="BG583" s="130"/>
      <c r="BH583" s="130"/>
      <c r="BI583" s="130"/>
      <c r="BJ583" s="130"/>
      <c r="BK583" s="130"/>
      <c r="BL583" s="130"/>
      <c r="BM583" s="130"/>
      <c r="BN583" s="130"/>
      <c r="BO583" s="130"/>
      <c r="BP583" s="130"/>
      <c r="BQ583" s="130"/>
      <c r="BR583" s="130"/>
      <c r="BS583" s="130"/>
      <c r="BT583" s="130"/>
    </row>
    <row r="584" spans="1:72" ht="15.7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30"/>
      <c r="BB584" s="130"/>
      <c r="BC584" s="130"/>
      <c r="BD584" s="130"/>
      <c r="BE584" s="130"/>
      <c r="BF584" s="130"/>
      <c r="BG584" s="130"/>
      <c r="BH584" s="130"/>
      <c r="BI584" s="130"/>
      <c r="BJ584" s="130"/>
      <c r="BK584" s="130"/>
      <c r="BL584" s="130"/>
      <c r="BM584" s="130"/>
      <c r="BN584" s="130"/>
      <c r="BO584" s="130"/>
      <c r="BP584" s="130"/>
      <c r="BQ584" s="130"/>
      <c r="BR584" s="130"/>
      <c r="BS584" s="130"/>
      <c r="BT584" s="130"/>
    </row>
    <row r="585" spans="1:72" ht="15.7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30"/>
      <c r="BB585" s="130"/>
      <c r="BC585" s="130"/>
      <c r="BD585" s="130"/>
      <c r="BE585" s="130"/>
      <c r="BF585" s="130"/>
      <c r="BG585" s="130"/>
      <c r="BH585" s="130"/>
      <c r="BI585" s="130"/>
      <c r="BJ585" s="130"/>
      <c r="BK585" s="130"/>
      <c r="BL585" s="130"/>
      <c r="BM585" s="130"/>
      <c r="BN585" s="130"/>
      <c r="BO585" s="130"/>
      <c r="BP585" s="130"/>
      <c r="BQ585" s="130"/>
      <c r="BR585" s="130"/>
      <c r="BS585" s="130"/>
      <c r="BT585" s="130"/>
    </row>
    <row r="586" spans="1:72" ht="15.7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30"/>
      <c r="BB586" s="130"/>
      <c r="BC586" s="130"/>
      <c r="BD586" s="130"/>
      <c r="BE586" s="130"/>
      <c r="BF586" s="130"/>
      <c r="BG586" s="130"/>
      <c r="BH586" s="130"/>
      <c r="BI586" s="130"/>
      <c r="BJ586" s="130"/>
      <c r="BK586" s="130"/>
      <c r="BL586" s="130"/>
      <c r="BM586" s="130"/>
      <c r="BN586" s="130"/>
      <c r="BO586" s="130"/>
      <c r="BP586" s="130"/>
      <c r="BQ586" s="130"/>
      <c r="BR586" s="130"/>
      <c r="BS586" s="130"/>
      <c r="BT586" s="130"/>
    </row>
    <row r="587" spans="1:72" ht="15.7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30"/>
      <c r="BB587" s="130"/>
      <c r="BC587" s="130"/>
      <c r="BD587" s="130"/>
      <c r="BE587" s="130"/>
      <c r="BF587" s="130"/>
      <c r="BG587" s="130"/>
      <c r="BH587" s="130"/>
      <c r="BI587" s="130"/>
      <c r="BJ587" s="130"/>
      <c r="BK587" s="130"/>
      <c r="BL587" s="130"/>
      <c r="BM587" s="130"/>
      <c r="BN587" s="130"/>
      <c r="BO587" s="130"/>
      <c r="BP587" s="130"/>
      <c r="BQ587" s="130"/>
      <c r="BR587" s="130"/>
      <c r="BS587" s="130"/>
      <c r="BT587" s="130"/>
    </row>
    <row r="588" spans="1:72" ht="15.7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30"/>
      <c r="BB588" s="130"/>
      <c r="BC588" s="130"/>
      <c r="BD588" s="130"/>
      <c r="BE588" s="130"/>
      <c r="BF588" s="130"/>
      <c r="BG588" s="130"/>
      <c r="BH588" s="130"/>
      <c r="BI588" s="130"/>
      <c r="BJ588" s="130"/>
      <c r="BK588" s="130"/>
      <c r="BL588" s="130"/>
      <c r="BM588" s="130"/>
      <c r="BN588" s="130"/>
      <c r="BO588" s="130"/>
      <c r="BP588" s="130"/>
      <c r="BQ588" s="130"/>
      <c r="BR588" s="130"/>
      <c r="BS588" s="130"/>
      <c r="BT588" s="130"/>
    </row>
    <row r="589" spans="1:72" ht="15.7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30"/>
      <c r="BB589" s="130"/>
      <c r="BC589" s="130"/>
      <c r="BD589" s="130"/>
      <c r="BE589" s="130"/>
      <c r="BF589" s="130"/>
      <c r="BG589" s="130"/>
      <c r="BH589" s="130"/>
      <c r="BI589" s="130"/>
      <c r="BJ589" s="130"/>
      <c r="BK589" s="130"/>
      <c r="BL589" s="130"/>
      <c r="BM589" s="130"/>
      <c r="BN589" s="130"/>
      <c r="BO589" s="130"/>
      <c r="BP589" s="130"/>
      <c r="BQ589" s="130"/>
      <c r="BR589" s="130"/>
      <c r="BS589" s="130"/>
      <c r="BT589" s="130"/>
    </row>
    <row r="590" spans="1:72" ht="15.7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30"/>
      <c r="BB590" s="130"/>
      <c r="BC590" s="130"/>
      <c r="BD590" s="130"/>
      <c r="BE590" s="130"/>
      <c r="BF590" s="130"/>
      <c r="BG590" s="130"/>
      <c r="BH590" s="130"/>
      <c r="BI590" s="130"/>
      <c r="BJ590" s="130"/>
      <c r="BK590" s="130"/>
      <c r="BL590" s="130"/>
      <c r="BM590" s="130"/>
      <c r="BN590" s="130"/>
      <c r="BO590" s="130"/>
      <c r="BP590" s="130"/>
      <c r="BQ590" s="130"/>
      <c r="BR590" s="130"/>
      <c r="BS590" s="130"/>
      <c r="BT590" s="130"/>
    </row>
    <row r="591" spans="1:72" ht="15.7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30"/>
      <c r="BB591" s="130"/>
      <c r="BC591" s="130"/>
      <c r="BD591" s="130"/>
      <c r="BE591" s="130"/>
      <c r="BF591" s="130"/>
      <c r="BG591" s="130"/>
      <c r="BH591" s="130"/>
      <c r="BI591" s="130"/>
      <c r="BJ591" s="130"/>
      <c r="BK591" s="130"/>
      <c r="BL591" s="130"/>
      <c r="BM591" s="130"/>
      <c r="BN591" s="130"/>
      <c r="BO591" s="130"/>
      <c r="BP591" s="130"/>
      <c r="BQ591" s="130"/>
      <c r="BR591" s="130"/>
      <c r="BS591" s="130"/>
      <c r="BT591" s="130"/>
    </row>
    <row r="592" spans="1:72" ht="15.7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30"/>
      <c r="BB592" s="130"/>
      <c r="BC592" s="130"/>
      <c r="BD592" s="130"/>
      <c r="BE592" s="130"/>
      <c r="BF592" s="130"/>
      <c r="BG592" s="130"/>
      <c r="BH592" s="130"/>
      <c r="BI592" s="130"/>
      <c r="BJ592" s="130"/>
      <c r="BK592" s="130"/>
      <c r="BL592" s="130"/>
      <c r="BM592" s="130"/>
      <c r="BN592" s="130"/>
      <c r="BO592" s="130"/>
      <c r="BP592" s="130"/>
      <c r="BQ592" s="130"/>
      <c r="BR592" s="130"/>
      <c r="BS592" s="130"/>
      <c r="BT592" s="130"/>
    </row>
    <row r="593" spans="1:72" ht="15.7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30"/>
      <c r="BB593" s="130"/>
      <c r="BC593" s="130"/>
      <c r="BD593" s="130"/>
      <c r="BE593" s="130"/>
      <c r="BF593" s="130"/>
      <c r="BG593" s="130"/>
      <c r="BH593" s="130"/>
      <c r="BI593" s="130"/>
      <c r="BJ593" s="130"/>
      <c r="BK593" s="130"/>
      <c r="BL593" s="130"/>
      <c r="BM593" s="130"/>
      <c r="BN593" s="130"/>
      <c r="BO593" s="130"/>
      <c r="BP593" s="130"/>
      <c r="BQ593" s="130"/>
      <c r="BR593" s="130"/>
      <c r="BS593" s="130"/>
      <c r="BT593" s="130"/>
    </row>
    <row r="594" spans="1:72" ht="15.7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30"/>
      <c r="BB594" s="130"/>
      <c r="BC594" s="130"/>
      <c r="BD594" s="130"/>
      <c r="BE594" s="130"/>
      <c r="BF594" s="130"/>
      <c r="BG594" s="130"/>
      <c r="BH594" s="130"/>
      <c r="BI594" s="130"/>
      <c r="BJ594" s="130"/>
      <c r="BK594" s="130"/>
      <c r="BL594" s="130"/>
      <c r="BM594" s="130"/>
      <c r="BN594" s="130"/>
      <c r="BO594" s="130"/>
      <c r="BP594" s="130"/>
      <c r="BQ594" s="130"/>
      <c r="BR594" s="130"/>
      <c r="BS594" s="130"/>
      <c r="BT594" s="130"/>
    </row>
    <row r="595" spans="1:72" ht="15.7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30"/>
      <c r="BB595" s="130"/>
      <c r="BC595" s="130"/>
      <c r="BD595" s="130"/>
      <c r="BE595" s="130"/>
      <c r="BF595" s="130"/>
      <c r="BG595" s="130"/>
      <c r="BH595" s="130"/>
      <c r="BI595" s="130"/>
      <c r="BJ595" s="130"/>
      <c r="BK595" s="130"/>
      <c r="BL595" s="130"/>
      <c r="BM595" s="130"/>
      <c r="BN595" s="130"/>
      <c r="BO595" s="130"/>
      <c r="BP595" s="130"/>
      <c r="BQ595" s="130"/>
      <c r="BR595" s="130"/>
      <c r="BS595" s="130"/>
      <c r="BT595" s="130"/>
    </row>
    <row r="596" spans="1:72" ht="15.7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30"/>
      <c r="BB596" s="130"/>
      <c r="BC596" s="130"/>
      <c r="BD596" s="130"/>
      <c r="BE596" s="130"/>
      <c r="BF596" s="130"/>
      <c r="BG596" s="130"/>
      <c r="BH596" s="130"/>
      <c r="BI596" s="130"/>
      <c r="BJ596" s="130"/>
      <c r="BK596" s="130"/>
      <c r="BL596" s="130"/>
      <c r="BM596" s="130"/>
      <c r="BN596" s="130"/>
      <c r="BO596" s="130"/>
      <c r="BP596" s="130"/>
      <c r="BQ596" s="130"/>
      <c r="BR596" s="130"/>
      <c r="BS596" s="130"/>
      <c r="BT596" s="130"/>
    </row>
    <row r="597" spans="1:72" ht="15.7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30"/>
      <c r="BB597" s="130"/>
      <c r="BC597" s="130"/>
      <c r="BD597" s="130"/>
      <c r="BE597" s="130"/>
      <c r="BF597" s="130"/>
      <c r="BG597" s="130"/>
      <c r="BH597" s="130"/>
      <c r="BI597" s="130"/>
      <c r="BJ597" s="130"/>
      <c r="BK597" s="130"/>
      <c r="BL597" s="130"/>
      <c r="BM597" s="130"/>
      <c r="BN597" s="130"/>
      <c r="BO597" s="130"/>
      <c r="BP597" s="130"/>
      <c r="BQ597" s="130"/>
      <c r="BR597" s="130"/>
      <c r="BS597" s="130"/>
      <c r="BT597" s="130"/>
    </row>
    <row r="598" spans="1:72" ht="15.7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30"/>
      <c r="BB598" s="130"/>
      <c r="BC598" s="130"/>
      <c r="BD598" s="130"/>
      <c r="BE598" s="130"/>
      <c r="BF598" s="130"/>
      <c r="BG598" s="130"/>
      <c r="BH598" s="130"/>
      <c r="BI598" s="130"/>
      <c r="BJ598" s="130"/>
      <c r="BK598" s="130"/>
      <c r="BL598" s="130"/>
      <c r="BM598" s="130"/>
      <c r="BN598" s="130"/>
      <c r="BO598" s="130"/>
      <c r="BP598" s="130"/>
      <c r="BQ598" s="130"/>
      <c r="BR598" s="130"/>
      <c r="BS598" s="130"/>
      <c r="BT598" s="130"/>
    </row>
    <row r="599" spans="1:72" ht="15.7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30"/>
      <c r="BB599" s="130"/>
      <c r="BC599" s="130"/>
      <c r="BD599" s="130"/>
      <c r="BE599" s="130"/>
      <c r="BF599" s="130"/>
      <c r="BG599" s="130"/>
      <c r="BH599" s="130"/>
      <c r="BI599" s="130"/>
      <c r="BJ599" s="130"/>
      <c r="BK599" s="130"/>
      <c r="BL599" s="130"/>
      <c r="BM599" s="130"/>
      <c r="BN599" s="130"/>
      <c r="BO599" s="130"/>
      <c r="BP599" s="130"/>
      <c r="BQ599" s="130"/>
      <c r="BR599" s="130"/>
      <c r="BS599" s="130"/>
      <c r="BT599" s="130"/>
    </row>
    <row r="600" spans="1:72" ht="15.7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30"/>
      <c r="BB600" s="130"/>
      <c r="BC600" s="130"/>
      <c r="BD600" s="130"/>
      <c r="BE600" s="130"/>
      <c r="BF600" s="130"/>
      <c r="BG600" s="130"/>
      <c r="BH600" s="130"/>
      <c r="BI600" s="130"/>
      <c r="BJ600" s="130"/>
      <c r="BK600" s="130"/>
      <c r="BL600" s="130"/>
      <c r="BM600" s="130"/>
      <c r="BN600" s="130"/>
      <c r="BO600" s="130"/>
      <c r="BP600" s="130"/>
      <c r="BQ600" s="130"/>
      <c r="BR600" s="130"/>
      <c r="BS600" s="130"/>
      <c r="BT600" s="130"/>
    </row>
    <row r="601" spans="1:72" ht="15.7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30"/>
      <c r="BB601" s="130"/>
      <c r="BC601" s="130"/>
      <c r="BD601" s="130"/>
      <c r="BE601" s="130"/>
      <c r="BF601" s="130"/>
      <c r="BG601" s="130"/>
      <c r="BH601" s="130"/>
      <c r="BI601" s="130"/>
      <c r="BJ601" s="130"/>
      <c r="BK601" s="130"/>
      <c r="BL601" s="130"/>
      <c r="BM601" s="130"/>
      <c r="BN601" s="130"/>
      <c r="BO601" s="130"/>
      <c r="BP601" s="130"/>
      <c r="BQ601" s="130"/>
      <c r="BR601" s="130"/>
      <c r="BS601" s="130"/>
      <c r="BT601" s="130"/>
    </row>
    <row r="602" spans="1:72" ht="15.7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30"/>
      <c r="BB602" s="130"/>
      <c r="BC602" s="130"/>
      <c r="BD602" s="130"/>
      <c r="BE602" s="130"/>
      <c r="BF602" s="130"/>
      <c r="BG602" s="130"/>
      <c r="BH602" s="130"/>
      <c r="BI602" s="130"/>
      <c r="BJ602" s="130"/>
      <c r="BK602" s="130"/>
      <c r="BL602" s="130"/>
      <c r="BM602" s="130"/>
      <c r="BN602" s="130"/>
      <c r="BO602" s="130"/>
      <c r="BP602" s="130"/>
      <c r="BQ602" s="130"/>
      <c r="BR602" s="130"/>
      <c r="BS602" s="130"/>
      <c r="BT602" s="130"/>
    </row>
    <row r="603" spans="1:72" ht="15.7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30"/>
      <c r="BB603" s="130"/>
      <c r="BC603" s="130"/>
      <c r="BD603" s="130"/>
      <c r="BE603" s="130"/>
      <c r="BF603" s="130"/>
      <c r="BG603" s="130"/>
      <c r="BH603" s="130"/>
      <c r="BI603" s="130"/>
      <c r="BJ603" s="130"/>
      <c r="BK603" s="130"/>
      <c r="BL603" s="130"/>
      <c r="BM603" s="130"/>
      <c r="BN603" s="130"/>
      <c r="BO603" s="130"/>
      <c r="BP603" s="130"/>
      <c r="BQ603" s="130"/>
      <c r="BR603" s="130"/>
      <c r="BS603" s="130"/>
      <c r="BT603" s="130"/>
    </row>
    <row r="604" spans="1:72" ht="15.7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30"/>
      <c r="BB604" s="130"/>
      <c r="BC604" s="130"/>
      <c r="BD604" s="130"/>
      <c r="BE604" s="130"/>
      <c r="BF604" s="130"/>
      <c r="BG604" s="130"/>
      <c r="BH604" s="130"/>
      <c r="BI604" s="130"/>
      <c r="BJ604" s="130"/>
      <c r="BK604" s="130"/>
      <c r="BL604" s="130"/>
      <c r="BM604" s="130"/>
      <c r="BN604" s="130"/>
      <c r="BO604" s="130"/>
      <c r="BP604" s="130"/>
      <c r="BQ604" s="130"/>
      <c r="BR604" s="130"/>
      <c r="BS604" s="130"/>
      <c r="BT604" s="130"/>
    </row>
    <row r="605" spans="1:72" ht="15.7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30"/>
      <c r="BB605" s="130"/>
      <c r="BC605" s="130"/>
      <c r="BD605" s="130"/>
      <c r="BE605" s="130"/>
      <c r="BF605" s="130"/>
      <c r="BG605" s="130"/>
      <c r="BH605" s="130"/>
      <c r="BI605" s="130"/>
      <c r="BJ605" s="130"/>
      <c r="BK605" s="130"/>
      <c r="BL605" s="130"/>
      <c r="BM605" s="130"/>
      <c r="BN605" s="130"/>
      <c r="BO605" s="130"/>
      <c r="BP605" s="130"/>
      <c r="BQ605" s="130"/>
      <c r="BR605" s="130"/>
      <c r="BS605" s="130"/>
      <c r="BT605" s="130"/>
    </row>
    <row r="606" spans="1:72" ht="15.7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30"/>
      <c r="BB606" s="130"/>
      <c r="BC606" s="130"/>
      <c r="BD606" s="130"/>
      <c r="BE606" s="130"/>
      <c r="BF606" s="130"/>
      <c r="BG606" s="130"/>
      <c r="BH606" s="130"/>
      <c r="BI606" s="130"/>
      <c r="BJ606" s="130"/>
      <c r="BK606" s="130"/>
      <c r="BL606" s="130"/>
      <c r="BM606" s="130"/>
      <c r="BN606" s="130"/>
      <c r="BO606" s="130"/>
      <c r="BP606" s="130"/>
      <c r="BQ606" s="130"/>
      <c r="BR606" s="130"/>
      <c r="BS606" s="130"/>
      <c r="BT606" s="130"/>
    </row>
    <row r="607" spans="1:72" ht="15.7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30"/>
      <c r="BB607" s="130"/>
      <c r="BC607" s="130"/>
      <c r="BD607" s="130"/>
      <c r="BE607" s="130"/>
      <c r="BF607" s="130"/>
      <c r="BG607" s="130"/>
      <c r="BH607" s="130"/>
      <c r="BI607" s="130"/>
      <c r="BJ607" s="130"/>
      <c r="BK607" s="130"/>
      <c r="BL607" s="130"/>
      <c r="BM607" s="130"/>
      <c r="BN607" s="130"/>
      <c r="BO607" s="130"/>
      <c r="BP607" s="130"/>
      <c r="BQ607" s="130"/>
      <c r="BR607" s="130"/>
      <c r="BS607" s="130"/>
      <c r="BT607" s="130"/>
    </row>
    <row r="608" spans="1:72" ht="15.7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30"/>
      <c r="BB608" s="130"/>
      <c r="BC608" s="130"/>
      <c r="BD608" s="130"/>
      <c r="BE608" s="130"/>
      <c r="BF608" s="130"/>
      <c r="BG608" s="130"/>
      <c r="BH608" s="130"/>
      <c r="BI608" s="130"/>
      <c r="BJ608" s="130"/>
      <c r="BK608" s="130"/>
      <c r="BL608" s="130"/>
      <c r="BM608" s="130"/>
      <c r="BN608" s="130"/>
      <c r="BO608" s="130"/>
      <c r="BP608" s="130"/>
      <c r="BQ608" s="130"/>
      <c r="BR608" s="130"/>
      <c r="BS608" s="130"/>
      <c r="BT608" s="130"/>
    </row>
    <row r="609" spans="1:72" ht="15.7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30"/>
      <c r="BB609" s="130"/>
      <c r="BC609" s="130"/>
      <c r="BD609" s="130"/>
      <c r="BE609" s="130"/>
      <c r="BF609" s="130"/>
      <c r="BG609" s="130"/>
      <c r="BH609" s="130"/>
      <c r="BI609" s="130"/>
      <c r="BJ609" s="130"/>
      <c r="BK609" s="130"/>
      <c r="BL609" s="130"/>
      <c r="BM609" s="130"/>
      <c r="BN609" s="130"/>
      <c r="BO609" s="130"/>
      <c r="BP609" s="130"/>
      <c r="BQ609" s="130"/>
      <c r="BR609" s="130"/>
      <c r="BS609" s="130"/>
      <c r="BT609" s="130"/>
    </row>
    <row r="610" spans="1:72" ht="15.7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30"/>
      <c r="BB610" s="130"/>
      <c r="BC610" s="130"/>
      <c r="BD610" s="130"/>
      <c r="BE610" s="130"/>
      <c r="BF610" s="130"/>
      <c r="BG610" s="130"/>
      <c r="BH610" s="130"/>
      <c r="BI610" s="130"/>
      <c r="BJ610" s="130"/>
      <c r="BK610" s="130"/>
      <c r="BL610" s="130"/>
      <c r="BM610" s="130"/>
      <c r="BN610" s="130"/>
      <c r="BO610" s="130"/>
      <c r="BP610" s="130"/>
      <c r="BQ610" s="130"/>
      <c r="BR610" s="130"/>
      <c r="BS610" s="130"/>
      <c r="BT610" s="130"/>
    </row>
    <row r="611" spans="1:72" ht="15.7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30"/>
      <c r="BB611" s="130"/>
      <c r="BC611" s="130"/>
      <c r="BD611" s="130"/>
      <c r="BE611" s="130"/>
      <c r="BF611" s="130"/>
      <c r="BG611" s="130"/>
      <c r="BH611" s="130"/>
      <c r="BI611" s="130"/>
      <c r="BJ611" s="130"/>
      <c r="BK611" s="130"/>
      <c r="BL611" s="130"/>
      <c r="BM611" s="130"/>
      <c r="BN611" s="130"/>
      <c r="BO611" s="130"/>
      <c r="BP611" s="130"/>
      <c r="BQ611" s="130"/>
      <c r="BR611" s="130"/>
      <c r="BS611" s="130"/>
      <c r="BT611" s="130"/>
    </row>
    <row r="612" spans="1:72" ht="15.7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30"/>
      <c r="BB612" s="130"/>
      <c r="BC612" s="130"/>
      <c r="BD612" s="130"/>
      <c r="BE612" s="130"/>
      <c r="BF612" s="130"/>
      <c r="BG612" s="130"/>
      <c r="BH612" s="130"/>
      <c r="BI612" s="130"/>
      <c r="BJ612" s="130"/>
      <c r="BK612" s="130"/>
      <c r="BL612" s="130"/>
      <c r="BM612" s="130"/>
      <c r="BN612" s="130"/>
      <c r="BO612" s="130"/>
      <c r="BP612" s="130"/>
      <c r="BQ612" s="130"/>
      <c r="BR612" s="130"/>
      <c r="BS612" s="130"/>
      <c r="BT612" s="130"/>
    </row>
    <row r="613" spans="1:72" ht="15.7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30"/>
      <c r="BB613" s="130"/>
      <c r="BC613" s="130"/>
      <c r="BD613" s="130"/>
      <c r="BE613" s="130"/>
      <c r="BF613" s="130"/>
      <c r="BG613" s="130"/>
      <c r="BH613" s="130"/>
      <c r="BI613" s="130"/>
      <c r="BJ613" s="130"/>
      <c r="BK613" s="130"/>
      <c r="BL613" s="130"/>
      <c r="BM613" s="130"/>
      <c r="BN613" s="130"/>
      <c r="BO613" s="130"/>
      <c r="BP613" s="130"/>
      <c r="BQ613" s="130"/>
      <c r="BR613" s="130"/>
      <c r="BS613" s="130"/>
      <c r="BT613" s="130"/>
    </row>
    <row r="614" spans="1:72" ht="15.7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30"/>
      <c r="BB614" s="130"/>
      <c r="BC614" s="130"/>
      <c r="BD614" s="130"/>
      <c r="BE614" s="130"/>
      <c r="BF614" s="130"/>
      <c r="BG614" s="130"/>
      <c r="BH614" s="130"/>
      <c r="BI614" s="130"/>
      <c r="BJ614" s="130"/>
      <c r="BK614" s="130"/>
      <c r="BL614" s="130"/>
      <c r="BM614" s="130"/>
      <c r="BN614" s="130"/>
      <c r="BO614" s="130"/>
      <c r="BP614" s="130"/>
      <c r="BQ614" s="130"/>
      <c r="BR614" s="130"/>
      <c r="BS614" s="130"/>
      <c r="BT614" s="130"/>
    </row>
    <row r="615" spans="1:72" ht="15.7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30"/>
      <c r="BB615" s="130"/>
      <c r="BC615" s="130"/>
      <c r="BD615" s="130"/>
      <c r="BE615" s="130"/>
      <c r="BF615" s="130"/>
      <c r="BG615" s="130"/>
      <c r="BH615" s="130"/>
      <c r="BI615" s="130"/>
      <c r="BJ615" s="130"/>
      <c r="BK615" s="130"/>
      <c r="BL615" s="130"/>
      <c r="BM615" s="130"/>
      <c r="BN615" s="130"/>
      <c r="BO615" s="130"/>
      <c r="BP615" s="130"/>
      <c r="BQ615" s="130"/>
      <c r="BR615" s="130"/>
      <c r="BS615" s="130"/>
      <c r="BT615" s="130"/>
    </row>
    <row r="616" spans="1:72" ht="15.7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30"/>
      <c r="BB616" s="130"/>
      <c r="BC616" s="130"/>
      <c r="BD616" s="130"/>
      <c r="BE616" s="130"/>
      <c r="BF616" s="130"/>
      <c r="BG616" s="130"/>
      <c r="BH616" s="130"/>
      <c r="BI616" s="130"/>
      <c r="BJ616" s="130"/>
      <c r="BK616" s="130"/>
      <c r="BL616" s="130"/>
      <c r="BM616" s="130"/>
      <c r="BN616" s="130"/>
      <c r="BO616" s="130"/>
      <c r="BP616" s="130"/>
      <c r="BQ616" s="130"/>
      <c r="BR616" s="130"/>
      <c r="BS616" s="130"/>
      <c r="BT616" s="130"/>
    </row>
    <row r="617" spans="1:72" ht="15.7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30"/>
      <c r="BB617" s="130"/>
      <c r="BC617" s="130"/>
      <c r="BD617" s="130"/>
      <c r="BE617" s="130"/>
      <c r="BF617" s="130"/>
      <c r="BG617" s="130"/>
      <c r="BH617" s="130"/>
      <c r="BI617" s="130"/>
      <c r="BJ617" s="130"/>
      <c r="BK617" s="130"/>
      <c r="BL617" s="130"/>
      <c r="BM617" s="130"/>
      <c r="BN617" s="130"/>
      <c r="BO617" s="130"/>
      <c r="BP617" s="130"/>
      <c r="BQ617" s="130"/>
      <c r="BR617" s="130"/>
      <c r="BS617" s="130"/>
      <c r="BT617" s="130"/>
    </row>
    <row r="618" spans="1:72" ht="15.7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30"/>
      <c r="BB618" s="130"/>
      <c r="BC618" s="130"/>
      <c r="BD618" s="130"/>
      <c r="BE618" s="130"/>
      <c r="BF618" s="130"/>
      <c r="BG618" s="130"/>
      <c r="BH618" s="130"/>
      <c r="BI618" s="130"/>
      <c r="BJ618" s="130"/>
      <c r="BK618" s="130"/>
      <c r="BL618" s="130"/>
      <c r="BM618" s="130"/>
      <c r="BN618" s="130"/>
      <c r="BO618" s="130"/>
      <c r="BP618" s="130"/>
      <c r="BQ618" s="130"/>
      <c r="BR618" s="130"/>
      <c r="BS618" s="130"/>
      <c r="BT618" s="130"/>
    </row>
    <row r="619" spans="1:72" ht="15.7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30"/>
      <c r="BB619" s="130"/>
      <c r="BC619" s="130"/>
      <c r="BD619" s="130"/>
      <c r="BE619" s="130"/>
      <c r="BF619" s="130"/>
      <c r="BG619" s="130"/>
      <c r="BH619" s="130"/>
      <c r="BI619" s="130"/>
      <c r="BJ619" s="130"/>
      <c r="BK619" s="130"/>
      <c r="BL619" s="130"/>
      <c r="BM619" s="130"/>
      <c r="BN619" s="130"/>
      <c r="BO619" s="130"/>
      <c r="BP619" s="130"/>
      <c r="BQ619" s="130"/>
      <c r="BR619" s="130"/>
      <c r="BS619" s="130"/>
      <c r="BT619" s="130"/>
    </row>
    <row r="620" spans="1:72" ht="15.7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30"/>
      <c r="BB620" s="130"/>
      <c r="BC620" s="130"/>
      <c r="BD620" s="130"/>
      <c r="BE620" s="130"/>
      <c r="BF620" s="130"/>
      <c r="BG620" s="130"/>
      <c r="BH620" s="130"/>
      <c r="BI620" s="130"/>
      <c r="BJ620" s="130"/>
      <c r="BK620" s="130"/>
      <c r="BL620" s="130"/>
      <c r="BM620" s="130"/>
      <c r="BN620" s="130"/>
      <c r="BO620" s="130"/>
      <c r="BP620" s="130"/>
      <c r="BQ620" s="130"/>
      <c r="BR620" s="130"/>
      <c r="BS620" s="130"/>
      <c r="BT620" s="130"/>
    </row>
    <row r="621" spans="1:72" ht="15.7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30"/>
      <c r="BB621" s="130"/>
      <c r="BC621" s="130"/>
      <c r="BD621" s="130"/>
      <c r="BE621" s="130"/>
      <c r="BF621" s="130"/>
      <c r="BG621" s="130"/>
      <c r="BH621" s="130"/>
      <c r="BI621" s="130"/>
      <c r="BJ621" s="130"/>
      <c r="BK621" s="130"/>
      <c r="BL621" s="130"/>
      <c r="BM621" s="130"/>
      <c r="BN621" s="130"/>
      <c r="BO621" s="130"/>
      <c r="BP621" s="130"/>
      <c r="BQ621" s="130"/>
      <c r="BR621" s="130"/>
      <c r="BS621" s="130"/>
      <c r="BT621" s="130"/>
    </row>
    <row r="622" spans="1:72" ht="15.7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30"/>
      <c r="BB622" s="130"/>
      <c r="BC622" s="130"/>
      <c r="BD622" s="130"/>
      <c r="BE622" s="130"/>
      <c r="BF622" s="130"/>
      <c r="BG622" s="130"/>
      <c r="BH622" s="130"/>
      <c r="BI622" s="130"/>
      <c r="BJ622" s="130"/>
      <c r="BK622" s="130"/>
      <c r="BL622" s="130"/>
      <c r="BM622" s="130"/>
      <c r="BN622" s="130"/>
      <c r="BO622" s="130"/>
      <c r="BP622" s="130"/>
      <c r="BQ622" s="130"/>
      <c r="BR622" s="130"/>
      <c r="BS622" s="130"/>
      <c r="BT622" s="130"/>
    </row>
    <row r="623" spans="1:72" ht="15.7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30"/>
      <c r="BB623" s="130"/>
      <c r="BC623" s="130"/>
      <c r="BD623" s="130"/>
      <c r="BE623" s="130"/>
      <c r="BF623" s="130"/>
      <c r="BG623" s="130"/>
      <c r="BH623" s="130"/>
      <c r="BI623" s="130"/>
      <c r="BJ623" s="130"/>
      <c r="BK623" s="130"/>
      <c r="BL623" s="130"/>
      <c r="BM623" s="130"/>
      <c r="BN623" s="130"/>
      <c r="BO623" s="130"/>
      <c r="BP623" s="130"/>
      <c r="BQ623" s="130"/>
      <c r="BR623" s="130"/>
      <c r="BS623" s="130"/>
      <c r="BT623" s="130"/>
    </row>
    <row r="624" spans="1:72" ht="15.7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30"/>
      <c r="BB624" s="130"/>
      <c r="BC624" s="130"/>
      <c r="BD624" s="130"/>
      <c r="BE624" s="130"/>
      <c r="BF624" s="130"/>
      <c r="BG624" s="130"/>
      <c r="BH624" s="130"/>
      <c r="BI624" s="130"/>
      <c r="BJ624" s="130"/>
      <c r="BK624" s="130"/>
      <c r="BL624" s="130"/>
      <c r="BM624" s="130"/>
      <c r="BN624" s="130"/>
      <c r="BO624" s="130"/>
      <c r="BP624" s="130"/>
      <c r="BQ624" s="130"/>
      <c r="BR624" s="130"/>
      <c r="BS624" s="130"/>
      <c r="BT624" s="130"/>
    </row>
    <row r="625" spans="1:72" ht="15.7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30"/>
      <c r="BB625" s="130"/>
      <c r="BC625" s="130"/>
      <c r="BD625" s="130"/>
      <c r="BE625" s="130"/>
      <c r="BF625" s="130"/>
      <c r="BG625" s="130"/>
      <c r="BH625" s="130"/>
      <c r="BI625" s="130"/>
      <c r="BJ625" s="130"/>
      <c r="BK625" s="130"/>
      <c r="BL625" s="130"/>
      <c r="BM625" s="130"/>
      <c r="BN625" s="130"/>
      <c r="BO625" s="130"/>
      <c r="BP625" s="130"/>
      <c r="BQ625" s="130"/>
      <c r="BR625" s="130"/>
      <c r="BS625" s="130"/>
      <c r="BT625" s="130"/>
    </row>
    <row r="626" spans="1:72" ht="15.7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30"/>
      <c r="BB626" s="130"/>
      <c r="BC626" s="130"/>
      <c r="BD626" s="130"/>
      <c r="BE626" s="130"/>
      <c r="BF626" s="130"/>
      <c r="BG626" s="130"/>
      <c r="BH626" s="130"/>
      <c r="BI626" s="130"/>
      <c r="BJ626" s="130"/>
      <c r="BK626" s="130"/>
      <c r="BL626" s="130"/>
      <c r="BM626" s="130"/>
      <c r="BN626" s="130"/>
      <c r="BO626" s="130"/>
      <c r="BP626" s="130"/>
      <c r="BQ626" s="130"/>
      <c r="BR626" s="130"/>
      <c r="BS626" s="130"/>
      <c r="BT626" s="130"/>
    </row>
    <row r="627" spans="1:72" ht="15.7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30"/>
      <c r="BB627" s="130"/>
      <c r="BC627" s="130"/>
      <c r="BD627" s="130"/>
      <c r="BE627" s="130"/>
      <c r="BF627" s="130"/>
      <c r="BG627" s="130"/>
      <c r="BH627" s="130"/>
      <c r="BI627" s="130"/>
      <c r="BJ627" s="130"/>
      <c r="BK627" s="130"/>
      <c r="BL627" s="130"/>
      <c r="BM627" s="130"/>
      <c r="BN627" s="130"/>
      <c r="BO627" s="130"/>
      <c r="BP627" s="130"/>
      <c r="BQ627" s="130"/>
      <c r="BR627" s="130"/>
      <c r="BS627" s="130"/>
      <c r="BT627" s="130"/>
    </row>
    <row r="628" spans="1:72" ht="15.7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30"/>
      <c r="BB628" s="130"/>
      <c r="BC628" s="130"/>
      <c r="BD628" s="130"/>
      <c r="BE628" s="130"/>
      <c r="BF628" s="130"/>
      <c r="BG628" s="130"/>
      <c r="BH628" s="130"/>
      <c r="BI628" s="130"/>
      <c r="BJ628" s="130"/>
      <c r="BK628" s="130"/>
      <c r="BL628" s="130"/>
      <c r="BM628" s="130"/>
      <c r="BN628" s="130"/>
      <c r="BO628" s="130"/>
      <c r="BP628" s="130"/>
      <c r="BQ628" s="130"/>
      <c r="BR628" s="130"/>
      <c r="BS628" s="130"/>
      <c r="BT628" s="130"/>
    </row>
    <row r="629" spans="1:72" ht="15.7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30"/>
      <c r="BB629" s="130"/>
      <c r="BC629" s="130"/>
      <c r="BD629" s="130"/>
      <c r="BE629" s="130"/>
      <c r="BF629" s="130"/>
      <c r="BG629" s="130"/>
      <c r="BH629" s="130"/>
      <c r="BI629" s="130"/>
      <c r="BJ629" s="130"/>
      <c r="BK629" s="130"/>
      <c r="BL629" s="130"/>
      <c r="BM629" s="130"/>
      <c r="BN629" s="130"/>
      <c r="BO629" s="130"/>
      <c r="BP629" s="130"/>
      <c r="BQ629" s="130"/>
      <c r="BR629" s="130"/>
      <c r="BS629" s="130"/>
      <c r="BT629" s="130"/>
    </row>
    <row r="630" spans="1:72" ht="15.7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30"/>
      <c r="BB630" s="130"/>
      <c r="BC630" s="130"/>
      <c r="BD630" s="130"/>
      <c r="BE630" s="130"/>
      <c r="BF630" s="130"/>
      <c r="BG630" s="130"/>
      <c r="BH630" s="130"/>
      <c r="BI630" s="130"/>
      <c r="BJ630" s="130"/>
      <c r="BK630" s="130"/>
      <c r="BL630" s="130"/>
      <c r="BM630" s="130"/>
      <c r="BN630" s="130"/>
      <c r="BO630" s="130"/>
      <c r="BP630" s="130"/>
      <c r="BQ630" s="130"/>
      <c r="BR630" s="130"/>
      <c r="BS630" s="130"/>
      <c r="BT630" s="130"/>
    </row>
    <row r="631" spans="1:72" ht="15.7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30"/>
      <c r="BB631" s="130"/>
      <c r="BC631" s="130"/>
      <c r="BD631" s="130"/>
      <c r="BE631" s="130"/>
      <c r="BF631" s="130"/>
      <c r="BG631" s="130"/>
      <c r="BH631" s="130"/>
      <c r="BI631" s="130"/>
      <c r="BJ631" s="130"/>
      <c r="BK631" s="130"/>
      <c r="BL631" s="130"/>
      <c r="BM631" s="130"/>
      <c r="BN631" s="130"/>
      <c r="BO631" s="130"/>
      <c r="BP631" s="130"/>
      <c r="BQ631" s="130"/>
      <c r="BR631" s="130"/>
      <c r="BS631" s="130"/>
      <c r="BT631" s="130"/>
    </row>
    <row r="632" spans="1:72" ht="15.7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30"/>
      <c r="BB632" s="130"/>
      <c r="BC632" s="130"/>
      <c r="BD632" s="130"/>
      <c r="BE632" s="130"/>
      <c r="BF632" s="130"/>
      <c r="BG632" s="130"/>
      <c r="BH632" s="130"/>
      <c r="BI632" s="130"/>
      <c r="BJ632" s="130"/>
      <c r="BK632" s="130"/>
      <c r="BL632" s="130"/>
      <c r="BM632" s="130"/>
      <c r="BN632" s="130"/>
      <c r="BO632" s="130"/>
      <c r="BP632" s="130"/>
      <c r="BQ632" s="130"/>
      <c r="BR632" s="130"/>
      <c r="BS632" s="130"/>
      <c r="BT632" s="130"/>
    </row>
    <row r="633" spans="1:72" ht="15.7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30"/>
      <c r="BB633" s="130"/>
      <c r="BC633" s="130"/>
      <c r="BD633" s="130"/>
      <c r="BE633" s="130"/>
      <c r="BF633" s="130"/>
      <c r="BG633" s="130"/>
      <c r="BH633" s="130"/>
      <c r="BI633" s="130"/>
      <c r="BJ633" s="130"/>
      <c r="BK633" s="130"/>
      <c r="BL633" s="130"/>
      <c r="BM633" s="130"/>
      <c r="BN633" s="130"/>
      <c r="BO633" s="130"/>
      <c r="BP633" s="130"/>
      <c r="BQ633" s="130"/>
      <c r="BR633" s="130"/>
      <c r="BS633" s="130"/>
      <c r="BT633" s="130"/>
    </row>
    <row r="634" spans="1:72" ht="15.7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30"/>
      <c r="BB634" s="130"/>
      <c r="BC634" s="130"/>
      <c r="BD634" s="130"/>
      <c r="BE634" s="130"/>
      <c r="BF634" s="130"/>
      <c r="BG634" s="130"/>
      <c r="BH634" s="130"/>
      <c r="BI634" s="130"/>
      <c r="BJ634" s="130"/>
      <c r="BK634" s="130"/>
      <c r="BL634" s="130"/>
      <c r="BM634" s="130"/>
      <c r="BN634" s="130"/>
      <c r="BO634" s="130"/>
      <c r="BP634" s="130"/>
      <c r="BQ634" s="130"/>
      <c r="BR634" s="130"/>
      <c r="BS634" s="130"/>
      <c r="BT634" s="130"/>
    </row>
    <row r="635" spans="1:72" ht="15.7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30"/>
      <c r="BB635" s="130"/>
      <c r="BC635" s="130"/>
      <c r="BD635" s="130"/>
      <c r="BE635" s="130"/>
      <c r="BF635" s="130"/>
      <c r="BG635" s="130"/>
      <c r="BH635" s="130"/>
      <c r="BI635" s="130"/>
      <c r="BJ635" s="130"/>
      <c r="BK635" s="130"/>
      <c r="BL635" s="130"/>
      <c r="BM635" s="130"/>
      <c r="BN635" s="130"/>
      <c r="BO635" s="130"/>
      <c r="BP635" s="130"/>
      <c r="BQ635" s="130"/>
      <c r="BR635" s="130"/>
      <c r="BS635" s="130"/>
      <c r="BT635" s="130"/>
    </row>
    <row r="636" spans="1:72" ht="15.7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30"/>
      <c r="BB636" s="130"/>
      <c r="BC636" s="130"/>
      <c r="BD636" s="130"/>
      <c r="BE636" s="130"/>
      <c r="BF636" s="130"/>
      <c r="BG636" s="130"/>
      <c r="BH636" s="130"/>
      <c r="BI636" s="130"/>
      <c r="BJ636" s="130"/>
      <c r="BK636" s="130"/>
      <c r="BL636" s="130"/>
      <c r="BM636" s="130"/>
      <c r="BN636" s="130"/>
      <c r="BO636" s="130"/>
      <c r="BP636" s="130"/>
      <c r="BQ636" s="130"/>
      <c r="BR636" s="130"/>
      <c r="BS636" s="130"/>
      <c r="BT636" s="130"/>
    </row>
    <row r="637" spans="1:72" ht="15.7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30"/>
      <c r="BB637" s="130"/>
      <c r="BC637" s="130"/>
      <c r="BD637" s="130"/>
      <c r="BE637" s="130"/>
      <c r="BF637" s="130"/>
      <c r="BG637" s="130"/>
      <c r="BH637" s="130"/>
      <c r="BI637" s="130"/>
      <c r="BJ637" s="130"/>
      <c r="BK637" s="130"/>
      <c r="BL637" s="130"/>
      <c r="BM637" s="130"/>
      <c r="BN637" s="130"/>
      <c r="BO637" s="130"/>
      <c r="BP637" s="130"/>
      <c r="BQ637" s="130"/>
      <c r="BR637" s="130"/>
      <c r="BS637" s="130"/>
      <c r="BT637" s="130"/>
    </row>
    <row r="638" spans="1:72" ht="15.7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30"/>
      <c r="BB638" s="130"/>
      <c r="BC638" s="130"/>
      <c r="BD638" s="130"/>
      <c r="BE638" s="130"/>
      <c r="BF638" s="130"/>
      <c r="BG638" s="130"/>
      <c r="BH638" s="130"/>
      <c r="BI638" s="130"/>
      <c r="BJ638" s="130"/>
      <c r="BK638" s="130"/>
      <c r="BL638" s="130"/>
      <c r="BM638" s="130"/>
      <c r="BN638" s="130"/>
      <c r="BO638" s="130"/>
      <c r="BP638" s="130"/>
      <c r="BQ638" s="130"/>
      <c r="BR638" s="130"/>
      <c r="BS638" s="130"/>
      <c r="BT638" s="130"/>
    </row>
    <row r="639" spans="1:72" ht="15.7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30"/>
      <c r="BB639" s="130"/>
      <c r="BC639" s="130"/>
      <c r="BD639" s="130"/>
      <c r="BE639" s="130"/>
      <c r="BF639" s="130"/>
      <c r="BG639" s="130"/>
      <c r="BH639" s="130"/>
      <c r="BI639" s="130"/>
      <c r="BJ639" s="130"/>
      <c r="BK639" s="130"/>
      <c r="BL639" s="130"/>
      <c r="BM639" s="130"/>
      <c r="BN639" s="130"/>
      <c r="BO639" s="130"/>
      <c r="BP639" s="130"/>
      <c r="BQ639" s="130"/>
      <c r="BR639" s="130"/>
      <c r="BS639" s="130"/>
      <c r="BT639" s="130"/>
    </row>
    <row r="640" spans="1:72" ht="15.7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30"/>
      <c r="BB640" s="130"/>
      <c r="BC640" s="130"/>
      <c r="BD640" s="130"/>
      <c r="BE640" s="130"/>
      <c r="BF640" s="130"/>
      <c r="BG640" s="130"/>
      <c r="BH640" s="130"/>
      <c r="BI640" s="130"/>
      <c r="BJ640" s="130"/>
      <c r="BK640" s="130"/>
      <c r="BL640" s="130"/>
      <c r="BM640" s="130"/>
      <c r="BN640" s="130"/>
      <c r="BO640" s="130"/>
      <c r="BP640" s="130"/>
      <c r="BQ640" s="130"/>
      <c r="BR640" s="130"/>
      <c r="BS640" s="130"/>
      <c r="BT640" s="130"/>
    </row>
    <row r="641" spans="1:72" ht="15.7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30"/>
      <c r="BB641" s="130"/>
      <c r="BC641" s="130"/>
      <c r="BD641" s="130"/>
      <c r="BE641" s="130"/>
      <c r="BF641" s="130"/>
      <c r="BG641" s="130"/>
      <c r="BH641" s="130"/>
      <c r="BI641" s="130"/>
      <c r="BJ641" s="130"/>
      <c r="BK641" s="130"/>
      <c r="BL641" s="130"/>
      <c r="BM641" s="130"/>
      <c r="BN641" s="130"/>
      <c r="BO641" s="130"/>
      <c r="BP641" s="130"/>
      <c r="BQ641" s="130"/>
      <c r="BR641" s="130"/>
      <c r="BS641" s="130"/>
      <c r="BT641" s="130"/>
    </row>
    <row r="642" spans="1:72" ht="15.7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30"/>
      <c r="BB642" s="130"/>
      <c r="BC642" s="130"/>
      <c r="BD642" s="130"/>
      <c r="BE642" s="130"/>
      <c r="BF642" s="130"/>
      <c r="BG642" s="130"/>
      <c r="BH642" s="130"/>
      <c r="BI642" s="130"/>
      <c r="BJ642" s="130"/>
      <c r="BK642" s="130"/>
      <c r="BL642" s="130"/>
      <c r="BM642" s="130"/>
      <c r="BN642" s="130"/>
      <c r="BO642" s="130"/>
      <c r="BP642" s="130"/>
      <c r="BQ642" s="130"/>
      <c r="BR642" s="130"/>
      <c r="BS642" s="130"/>
      <c r="BT642" s="130"/>
    </row>
    <row r="643" spans="1:72" ht="15.7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30"/>
      <c r="BB643" s="130"/>
      <c r="BC643" s="130"/>
      <c r="BD643" s="130"/>
      <c r="BE643" s="130"/>
      <c r="BF643" s="130"/>
      <c r="BG643" s="130"/>
      <c r="BH643" s="130"/>
      <c r="BI643" s="130"/>
      <c r="BJ643" s="130"/>
      <c r="BK643" s="130"/>
      <c r="BL643" s="130"/>
      <c r="BM643" s="130"/>
      <c r="BN643" s="130"/>
      <c r="BO643" s="130"/>
      <c r="BP643" s="130"/>
      <c r="BQ643" s="130"/>
      <c r="BR643" s="130"/>
      <c r="BS643" s="130"/>
      <c r="BT643" s="130"/>
    </row>
    <row r="644" spans="1:72" ht="15.7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30"/>
      <c r="BB644" s="130"/>
      <c r="BC644" s="130"/>
      <c r="BD644" s="130"/>
      <c r="BE644" s="130"/>
      <c r="BF644" s="130"/>
      <c r="BG644" s="130"/>
      <c r="BH644" s="130"/>
      <c r="BI644" s="130"/>
      <c r="BJ644" s="130"/>
      <c r="BK644" s="130"/>
      <c r="BL644" s="130"/>
      <c r="BM644" s="130"/>
      <c r="BN644" s="130"/>
      <c r="BO644" s="130"/>
      <c r="BP644" s="130"/>
      <c r="BQ644" s="130"/>
      <c r="BR644" s="130"/>
      <c r="BS644" s="130"/>
      <c r="BT644" s="130"/>
    </row>
    <row r="645" spans="1:72" ht="15.7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30"/>
      <c r="BB645" s="130"/>
      <c r="BC645" s="130"/>
      <c r="BD645" s="130"/>
      <c r="BE645" s="130"/>
      <c r="BF645" s="130"/>
      <c r="BG645" s="130"/>
      <c r="BH645" s="130"/>
      <c r="BI645" s="130"/>
      <c r="BJ645" s="130"/>
      <c r="BK645" s="130"/>
      <c r="BL645" s="130"/>
      <c r="BM645" s="130"/>
      <c r="BN645" s="130"/>
      <c r="BO645" s="130"/>
      <c r="BP645" s="130"/>
      <c r="BQ645" s="130"/>
      <c r="BR645" s="130"/>
      <c r="BS645" s="130"/>
      <c r="BT645" s="130"/>
    </row>
    <row r="646" spans="1:72" ht="15.7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30"/>
      <c r="BB646" s="130"/>
      <c r="BC646" s="130"/>
      <c r="BD646" s="130"/>
      <c r="BE646" s="130"/>
      <c r="BF646" s="130"/>
      <c r="BG646" s="130"/>
      <c r="BH646" s="130"/>
      <c r="BI646" s="130"/>
      <c r="BJ646" s="130"/>
      <c r="BK646" s="130"/>
      <c r="BL646" s="130"/>
      <c r="BM646" s="130"/>
      <c r="BN646" s="130"/>
      <c r="BO646" s="130"/>
      <c r="BP646" s="130"/>
      <c r="BQ646" s="130"/>
      <c r="BR646" s="130"/>
      <c r="BS646" s="130"/>
      <c r="BT646" s="130"/>
    </row>
    <row r="647" spans="1:72" ht="15.7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30"/>
      <c r="BB647" s="130"/>
      <c r="BC647" s="130"/>
      <c r="BD647" s="130"/>
      <c r="BE647" s="130"/>
      <c r="BF647" s="130"/>
      <c r="BG647" s="130"/>
      <c r="BH647" s="130"/>
      <c r="BI647" s="130"/>
      <c r="BJ647" s="130"/>
      <c r="BK647" s="130"/>
      <c r="BL647" s="130"/>
      <c r="BM647" s="130"/>
      <c r="BN647" s="130"/>
      <c r="BO647" s="130"/>
      <c r="BP647" s="130"/>
      <c r="BQ647" s="130"/>
      <c r="BR647" s="130"/>
      <c r="BS647" s="130"/>
      <c r="BT647" s="130"/>
    </row>
    <row r="648" spans="1:72" ht="15.7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30"/>
      <c r="BB648" s="130"/>
      <c r="BC648" s="130"/>
      <c r="BD648" s="130"/>
      <c r="BE648" s="130"/>
      <c r="BF648" s="130"/>
      <c r="BG648" s="130"/>
      <c r="BH648" s="130"/>
      <c r="BI648" s="130"/>
      <c r="BJ648" s="130"/>
      <c r="BK648" s="130"/>
      <c r="BL648" s="130"/>
      <c r="BM648" s="130"/>
      <c r="BN648" s="130"/>
      <c r="BO648" s="130"/>
      <c r="BP648" s="130"/>
      <c r="BQ648" s="130"/>
      <c r="BR648" s="130"/>
      <c r="BS648" s="130"/>
      <c r="BT648" s="130"/>
    </row>
    <row r="649" spans="1:72" ht="15.7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30"/>
      <c r="BB649" s="130"/>
      <c r="BC649" s="130"/>
      <c r="BD649" s="130"/>
      <c r="BE649" s="130"/>
      <c r="BF649" s="130"/>
      <c r="BG649" s="130"/>
      <c r="BH649" s="130"/>
      <c r="BI649" s="130"/>
      <c r="BJ649" s="130"/>
      <c r="BK649" s="130"/>
      <c r="BL649" s="130"/>
      <c r="BM649" s="130"/>
      <c r="BN649" s="130"/>
      <c r="BO649" s="130"/>
      <c r="BP649" s="130"/>
      <c r="BQ649" s="130"/>
      <c r="BR649" s="130"/>
      <c r="BS649" s="130"/>
      <c r="BT649" s="130"/>
    </row>
    <row r="650" spans="1:72" ht="15.7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30"/>
      <c r="BB650" s="130"/>
      <c r="BC650" s="130"/>
      <c r="BD650" s="130"/>
      <c r="BE650" s="130"/>
      <c r="BF650" s="130"/>
      <c r="BG650" s="130"/>
      <c r="BH650" s="130"/>
      <c r="BI650" s="130"/>
      <c r="BJ650" s="130"/>
      <c r="BK650" s="130"/>
      <c r="BL650" s="130"/>
      <c r="BM650" s="130"/>
      <c r="BN650" s="130"/>
      <c r="BO650" s="130"/>
      <c r="BP650" s="130"/>
      <c r="BQ650" s="130"/>
      <c r="BR650" s="130"/>
      <c r="BS650" s="130"/>
      <c r="BT650" s="130"/>
    </row>
    <row r="651" spans="1:72" ht="15.7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30"/>
      <c r="BB651" s="130"/>
      <c r="BC651" s="130"/>
      <c r="BD651" s="130"/>
      <c r="BE651" s="130"/>
      <c r="BF651" s="130"/>
      <c r="BG651" s="130"/>
      <c r="BH651" s="130"/>
      <c r="BI651" s="130"/>
      <c r="BJ651" s="130"/>
      <c r="BK651" s="130"/>
      <c r="BL651" s="130"/>
      <c r="BM651" s="130"/>
      <c r="BN651" s="130"/>
      <c r="BO651" s="130"/>
      <c r="BP651" s="130"/>
      <c r="BQ651" s="130"/>
      <c r="BR651" s="130"/>
      <c r="BS651" s="130"/>
      <c r="BT651" s="130"/>
    </row>
    <row r="652" spans="1:72" ht="15.7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30"/>
      <c r="BB652" s="130"/>
      <c r="BC652" s="130"/>
      <c r="BD652" s="130"/>
      <c r="BE652" s="130"/>
      <c r="BF652" s="130"/>
      <c r="BG652" s="130"/>
      <c r="BH652" s="130"/>
      <c r="BI652" s="130"/>
      <c r="BJ652" s="130"/>
      <c r="BK652" s="130"/>
      <c r="BL652" s="130"/>
      <c r="BM652" s="130"/>
      <c r="BN652" s="130"/>
      <c r="BO652" s="130"/>
      <c r="BP652" s="130"/>
      <c r="BQ652" s="130"/>
      <c r="BR652" s="130"/>
      <c r="BS652" s="130"/>
      <c r="BT652" s="130"/>
    </row>
    <row r="653" spans="1:72" ht="15.7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30"/>
      <c r="BB653" s="130"/>
      <c r="BC653" s="130"/>
      <c r="BD653" s="130"/>
      <c r="BE653" s="130"/>
      <c r="BF653" s="130"/>
      <c r="BG653" s="130"/>
      <c r="BH653" s="130"/>
      <c r="BI653" s="130"/>
      <c r="BJ653" s="130"/>
      <c r="BK653" s="130"/>
      <c r="BL653" s="130"/>
      <c r="BM653" s="130"/>
      <c r="BN653" s="130"/>
      <c r="BO653" s="130"/>
      <c r="BP653" s="130"/>
      <c r="BQ653" s="130"/>
      <c r="BR653" s="130"/>
      <c r="BS653" s="130"/>
      <c r="BT653" s="130"/>
    </row>
    <row r="654" spans="1:72" ht="15.7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30"/>
      <c r="BB654" s="130"/>
      <c r="BC654" s="130"/>
      <c r="BD654" s="130"/>
      <c r="BE654" s="130"/>
      <c r="BF654" s="130"/>
      <c r="BG654" s="130"/>
      <c r="BH654" s="130"/>
      <c r="BI654" s="130"/>
      <c r="BJ654" s="130"/>
      <c r="BK654" s="130"/>
      <c r="BL654" s="130"/>
      <c r="BM654" s="130"/>
      <c r="BN654" s="130"/>
      <c r="BO654" s="130"/>
      <c r="BP654" s="130"/>
      <c r="BQ654" s="130"/>
      <c r="BR654" s="130"/>
      <c r="BS654" s="130"/>
      <c r="BT654" s="130"/>
    </row>
    <row r="655" spans="1:72" ht="15.7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30"/>
      <c r="BB655" s="130"/>
      <c r="BC655" s="130"/>
      <c r="BD655" s="130"/>
      <c r="BE655" s="130"/>
      <c r="BF655" s="130"/>
      <c r="BG655" s="130"/>
      <c r="BH655" s="130"/>
      <c r="BI655" s="130"/>
      <c r="BJ655" s="130"/>
      <c r="BK655" s="130"/>
      <c r="BL655" s="130"/>
      <c r="BM655" s="130"/>
      <c r="BN655" s="130"/>
      <c r="BO655" s="130"/>
      <c r="BP655" s="130"/>
      <c r="BQ655" s="130"/>
      <c r="BR655" s="130"/>
      <c r="BS655" s="130"/>
      <c r="BT655" s="130"/>
    </row>
    <row r="656" spans="1:72" ht="15.7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30"/>
      <c r="BB656" s="130"/>
      <c r="BC656" s="130"/>
      <c r="BD656" s="130"/>
      <c r="BE656" s="130"/>
      <c r="BF656" s="130"/>
      <c r="BG656" s="130"/>
      <c r="BH656" s="130"/>
      <c r="BI656" s="130"/>
      <c r="BJ656" s="130"/>
      <c r="BK656" s="130"/>
      <c r="BL656" s="130"/>
      <c r="BM656" s="130"/>
      <c r="BN656" s="130"/>
      <c r="BO656" s="130"/>
      <c r="BP656" s="130"/>
      <c r="BQ656" s="130"/>
      <c r="BR656" s="130"/>
      <c r="BS656" s="130"/>
      <c r="BT656" s="130"/>
    </row>
    <row r="657" spans="1:72" ht="15.7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30"/>
      <c r="BB657" s="130"/>
      <c r="BC657" s="130"/>
      <c r="BD657" s="130"/>
      <c r="BE657" s="130"/>
      <c r="BF657" s="130"/>
      <c r="BG657" s="130"/>
      <c r="BH657" s="130"/>
      <c r="BI657" s="130"/>
      <c r="BJ657" s="130"/>
      <c r="BK657" s="130"/>
      <c r="BL657" s="130"/>
      <c r="BM657" s="130"/>
      <c r="BN657" s="130"/>
      <c r="BO657" s="130"/>
      <c r="BP657" s="130"/>
      <c r="BQ657" s="130"/>
      <c r="BR657" s="130"/>
      <c r="BS657" s="130"/>
      <c r="BT657" s="130"/>
    </row>
    <row r="658" spans="1:72" ht="15.7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30"/>
      <c r="BB658" s="130"/>
      <c r="BC658" s="130"/>
      <c r="BD658" s="130"/>
      <c r="BE658" s="130"/>
      <c r="BF658" s="130"/>
      <c r="BG658" s="130"/>
      <c r="BH658" s="130"/>
      <c r="BI658" s="130"/>
      <c r="BJ658" s="130"/>
      <c r="BK658" s="130"/>
      <c r="BL658" s="130"/>
      <c r="BM658" s="130"/>
      <c r="BN658" s="130"/>
      <c r="BO658" s="130"/>
      <c r="BP658" s="130"/>
      <c r="BQ658" s="130"/>
      <c r="BR658" s="130"/>
      <c r="BS658" s="130"/>
      <c r="BT658" s="130"/>
    </row>
    <row r="659" spans="1:72" ht="15.7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30"/>
      <c r="BB659" s="130"/>
      <c r="BC659" s="130"/>
      <c r="BD659" s="130"/>
      <c r="BE659" s="130"/>
      <c r="BF659" s="130"/>
      <c r="BG659" s="130"/>
      <c r="BH659" s="130"/>
      <c r="BI659" s="130"/>
      <c r="BJ659" s="130"/>
      <c r="BK659" s="130"/>
      <c r="BL659" s="130"/>
      <c r="BM659" s="130"/>
      <c r="BN659" s="130"/>
      <c r="BO659" s="130"/>
      <c r="BP659" s="130"/>
      <c r="BQ659" s="130"/>
      <c r="BR659" s="130"/>
      <c r="BS659" s="130"/>
      <c r="BT659" s="130"/>
    </row>
    <row r="660" spans="1:72" ht="15.7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30"/>
      <c r="BB660" s="130"/>
      <c r="BC660" s="130"/>
      <c r="BD660" s="130"/>
      <c r="BE660" s="130"/>
      <c r="BF660" s="130"/>
      <c r="BG660" s="130"/>
      <c r="BH660" s="130"/>
      <c r="BI660" s="130"/>
      <c r="BJ660" s="130"/>
      <c r="BK660" s="130"/>
      <c r="BL660" s="130"/>
      <c r="BM660" s="130"/>
      <c r="BN660" s="130"/>
      <c r="BO660" s="130"/>
      <c r="BP660" s="130"/>
      <c r="BQ660" s="130"/>
      <c r="BR660" s="130"/>
      <c r="BS660" s="130"/>
      <c r="BT660" s="130"/>
    </row>
    <row r="661" spans="1:72" ht="15.7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30"/>
      <c r="BB661" s="130"/>
      <c r="BC661" s="130"/>
      <c r="BD661" s="130"/>
      <c r="BE661" s="130"/>
      <c r="BF661" s="130"/>
      <c r="BG661" s="130"/>
      <c r="BH661" s="130"/>
      <c r="BI661" s="130"/>
      <c r="BJ661" s="130"/>
      <c r="BK661" s="130"/>
      <c r="BL661" s="130"/>
      <c r="BM661" s="130"/>
      <c r="BN661" s="130"/>
      <c r="BO661" s="130"/>
      <c r="BP661" s="130"/>
      <c r="BQ661" s="130"/>
      <c r="BR661" s="130"/>
      <c r="BS661" s="130"/>
      <c r="BT661" s="130"/>
    </row>
    <row r="662" spans="1:72" ht="15.7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30"/>
      <c r="BB662" s="130"/>
      <c r="BC662" s="130"/>
      <c r="BD662" s="130"/>
      <c r="BE662" s="130"/>
      <c r="BF662" s="130"/>
      <c r="BG662" s="130"/>
      <c r="BH662" s="130"/>
      <c r="BI662" s="130"/>
      <c r="BJ662" s="130"/>
      <c r="BK662" s="130"/>
      <c r="BL662" s="130"/>
      <c r="BM662" s="130"/>
      <c r="BN662" s="130"/>
      <c r="BO662" s="130"/>
      <c r="BP662" s="130"/>
      <c r="BQ662" s="130"/>
      <c r="BR662" s="130"/>
      <c r="BS662" s="130"/>
      <c r="BT662" s="130"/>
    </row>
    <row r="663" spans="1:72" ht="15.7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30"/>
      <c r="BB663" s="130"/>
      <c r="BC663" s="130"/>
      <c r="BD663" s="130"/>
      <c r="BE663" s="130"/>
      <c r="BF663" s="130"/>
      <c r="BG663" s="130"/>
      <c r="BH663" s="130"/>
      <c r="BI663" s="130"/>
      <c r="BJ663" s="130"/>
      <c r="BK663" s="130"/>
      <c r="BL663" s="130"/>
      <c r="BM663" s="130"/>
      <c r="BN663" s="130"/>
      <c r="BO663" s="130"/>
      <c r="BP663" s="130"/>
      <c r="BQ663" s="130"/>
      <c r="BR663" s="130"/>
      <c r="BS663" s="130"/>
      <c r="BT663" s="130"/>
    </row>
    <row r="664" spans="1:72" ht="15.7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30"/>
      <c r="BB664" s="130"/>
      <c r="BC664" s="130"/>
      <c r="BD664" s="130"/>
      <c r="BE664" s="130"/>
      <c r="BF664" s="130"/>
      <c r="BG664" s="130"/>
      <c r="BH664" s="130"/>
      <c r="BI664" s="130"/>
      <c r="BJ664" s="130"/>
      <c r="BK664" s="130"/>
      <c r="BL664" s="130"/>
      <c r="BM664" s="130"/>
      <c r="BN664" s="130"/>
      <c r="BO664" s="130"/>
      <c r="BP664" s="130"/>
      <c r="BQ664" s="130"/>
      <c r="BR664" s="130"/>
      <c r="BS664" s="130"/>
      <c r="BT664" s="130"/>
    </row>
    <row r="665" spans="1:72" ht="15.7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30"/>
      <c r="BB665" s="130"/>
      <c r="BC665" s="130"/>
      <c r="BD665" s="130"/>
      <c r="BE665" s="130"/>
      <c r="BF665" s="130"/>
      <c r="BG665" s="130"/>
      <c r="BH665" s="130"/>
      <c r="BI665" s="130"/>
      <c r="BJ665" s="130"/>
      <c r="BK665" s="130"/>
      <c r="BL665" s="130"/>
      <c r="BM665" s="130"/>
      <c r="BN665" s="130"/>
      <c r="BO665" s="130"/>
      <c r="BP665" s="130"/>
      <c r="BQ665" s="130"/>
      <c r="BR665" s="130"/>
      <c r="BS665" s="130"/>
      <c r="BT665" s="130"/>
    </row>
    <row r="666" spans="1:72" ht="15.7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30"/>
      <c r="BB666" s="130"/>
      <c r="BC666" s="130"/>
      <c r="BD666" s="130"/>
      <c r="BE666" s="130"/>
      <c r="BF666" s="130"/>
      <c r="BG666" s="130"/>
      <c r="BH666" s="130"/>
      <c r="BI666" s="130"/>
      <c r="BJ666" s="130"/>
      <c r="BK666" s="130"/>
      <c r="BL666" s="130"/>
      <c r="BM666" s="130"/>
      <c r="BN666" s="130"/>
      <c r="BO666" s="130"/>
      <c r="BP666" s="130"/>
      <c r="BQ666" s="130"/>
      <c r="BR666" s="130"/>
      <c r="BS666" s="130"/>
      <c r="BT666" s="130"/>
    </row>
    <row r="667" spans="1:72" ht="15.7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30"/>
      <c r="BB667" s="130"/>
      <c r="BC667" s="130"/>
      <c r="BD667" s="130"/>
      <c r="BE667" s="130"/>
      <c r="BF667" s="130"/>
      <c r="BG667" s="130"/>
      <c r="BH667" s="130"/>
      <c r="BI667" s="130"/>
      <c r="BJ667" s="130"/>
      <c r="BK667" s="130"/>
      <c r="BL667" s="130"/>
      <c r="BM667" s="130"/>
      <c r="BN667" s="130"/>
      <c r="BO667" s="130"/>
      <c r="BP667" s="130"/>
      <c r="BQ667" s="130"/>
      <c r="BR667" s="130"/>
      <c r="BS667" s="130"/>
      <c r="BT667" s="130"/>
    </row>
    <row r="668" spans="1:72" ht="15.7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30"/>
      <c r="BB668" s="130"/>
      <c r="BC668" s="130"/>
      <c r="BD668" s="130"/>
      <c r="BE668" s="130"/>
      <c r="BF668" s="130"/>
      <c r="BG668" s="130"/>
      <c r="BH668" s="130"/>
      <c r="BI668" s="130"/>
      <c r="BJ668" s="130"/>
      <c r="BK668" s="130"/>
      <c r="BL668" s="130"/>
      <c r="BM668" s="130"/>
      <c r="BN668" s="130"/>
      <c r="BO668" s="130"/>
      <c r="BP668" s="130"/>
      <c r="BQ668" s="130"/>
      <c r="BR668" s="130"/>
      <c r="BS668" s="130"/>
      <c r="BT668" s="130"/>
    </row>
    <row r="669" spans="1:72" ht="15.7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30"/>
      <c r="BB669" s="130"/>
      <c r="BC669" s="130"/>
      <c r="BD669" s="130"/>
      <c r="BE669" s="130"/>
      <c r="BF669" s="130"/>
      <c r="BG669" s="130"/>
      <c r="BH669" s="130"/>
      <c r="BI669" s="130"/>
      <c r="BJ669" s="130"/>
      <c r="BK669" s="130"/>
      <c r="BL669" s="130"/>
      <c r="BM669" s="130"/>
      <c r="BN669" s="130"/>
      <c r="BO669" s="130"/>
      <c r="BP669" s="130"/>
      <c r="BQ669" s="130"/>
      <c r="BR669" s="130"/>
      <c r="BS669" s="130"/>
      <c r="BT669" s="130"/>
    </row>
    <row r="670" spans="1:72" ht="15.7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30"/>
      <c r="BB670" s="130"/>
      <c r="BC670" s="130"/>
      <c r="BD670" s="130"/>
      <c r="BE670" s="130"/>
      <c r="BF670" s="130"/>
      <c r="BG670" s="130"/>
      <c r="BH670" s="130"/>
      <c r="BI670" s="130"/>
      <c r="BJ670" s="130"/>
      <c r="BK670" s="130"/>
      <c r="BL670" s="130"/>
      <c r="BM670" s="130"/>
      <c r="BN670" s="130"/>
      <c r="BO670" s="130"/>
      <c r="BP670" s="130"/>
      <c r="BQ670" s="130"/>
      <c r="BR670" s="130"/>
      <c r="BS670" s="130"/>
      <c r="BT670" s="130"/>
    </row>
    <row r="671" spans="1:72" ht="15.7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30"/>
      <c r="BB671" s="130"/>
      <c r="BC671" s="130"/>
      <c r="BD671" s="130"/>
      <c r="BE671" s="130"/>
      <c r="BF671" s="130"/>
      <c r="BG671" s="130"/>
      <c r="BH671" s="130"/>
      <c r="BI671" s="130"/>
      <c r="BJ671" s="130"/>
      <c r="BK671" s="130"/>
      <c r="BL671" s="130"/>
      <c r="BM671" s="130"/>
      <c r="BN671" s="130"/>
      <c r="BO671" s="130"/>
      <c r="BP671" s="130"/>
      <c r="BQ671" s="130"/>
      <c r="BR671" s="130"/>
      <c r="BS671" s="130"/>
      <c r="BT671" s="130"/>
    </row>
    <row r="672" spans="1:72" ht="15.7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30"/>
      <c r="BB672" s="130"/>
      <c r="BC672" s="130"/>
      <c r="BD672" s="130"/>
      <c r="BE672" s="130"/>
      <c r="BF672" s="130"/>
      <c r="BG672" s="130"/>
      <c r="BH672" s="130"/>
      <c r="BI672" s="130"/>
      <c r="BJ672" s="130"/>
      <c r="BK672" s="130"/>
      <c r="BL672" s="130"/>
      <c r="BM672" s="130"/>
      <c r="BN672" s="130"/>
      <c r="BO672" s="130"/>
      <c r="BP672" s="130"/>
      <c r="BQ672" s="130"/>
      <c r="BR672" s="130"/>
      <c r="BS672" s="130"/>
      <c r="BT672" s="130"/>
    </row>
    <row r="673" spans="1:72" ht="15.7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30"/>
      <c r="BB673" s="130"/>
      <c r="BC673" s="130"/>
      <c r="BD673" s="130"/>
      <c r="BE673" s="130"/>
      <c r="BF673" s="130"/>
      <c r="BG673" s="130"/>
      <c r="BH673" s="130"/>
      <c r="BI673" s="130"/>
      <c r="BJ673" s="130"/>
      <c r="BK673" s="130"/>
      <c r="BL673" s="130"/>
      <c r="BM673" s="130"/>
      <c r="BN673" s="130"/>
      <c r="BO673" s="130"/>
      <c r="BP673" s="130"/>
      <c r="BQ673" s="130"/>
      <c r="BR673" s="130"/>
      <c r="BS673" s="130"/>
      <c r="BT673" s="130"/>
    </row>
    <row r="674" spans="1:72" ht="15.7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30"/>
      <c r="BB674" s="130"/>
      <c r="BC674" s="130"/>
      <c r="BD674" s="130"/>
      <c r="BE674" s="130"/>
      <c r="BF674" s="130"/>
      <c r="BG674" s="130"/>
      <c r="BH674" s="130"/>
      <c r="BI674" s="130"/>
      <c r="BJ674" s="130"/>
      <c r="BK674" s="130"/>
      <c r="BL674" s="130"/>
      <c r="BM674" s="130"/>
      <c r="BN674" s="130"/>
      <c r="BO674" s="130"/>
      <c r="BP674" s="130"/>
      <c r="BQ674" s="130"/>
      <c r="BR674" s="130"/>
      <c r="BS674" s="130"/>
      <c r="BT674" s="130"/>
    </row>
    <row r="675" spans="1:72" ht="15.7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30"/>
      <c r="BB675" s="130"/>
      <c r="BC675" s="130"/>
      <c r="BD675" s="130"/>
      <c r="BE675" s="130"/>
      <c r="BF675" s="130"/>
      <c r="BG675" s="130"/>
      <c r="BH675" s="130"/>
      <c r="BI675" s="130"/>
      <c r="BJ675" s="130"/>
      <c r="BK675" s="130"/>
      <c r="BL675" s="130"/>
      <c r="BM675" s="130"/>
      <c r="BN675" s="130"/>
      <c r="BO675" s="130"/>
      <c r="BP675" s="130"/>
      <c r="BQ675" s="130"/>
      <c r="BR675" s="130"/>
      <c r="BS675" s="130"/>
      <c r="BT675" s="130"/>
    </row>
    <row r="676" spans="1:72" ht="15.7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30"/>
      <c r="BB676" s="130"/>
      <c r="BC676" s="130"/>
      <c r="BD676" s="130"/>
      <c r="BE676" s="130"/>
      <c r="BF676" s="130"/>
      <c r="BG676" s="130"/>
      <c r="BH676" s="130"/>
      <c r="BI676" s="130"/>
      <c r="BJ676" s="130"/>
      <c r="BK676" s="130"/>
      <c r="BL676" s="130"/>
      <c r="BM676" s="130"/>
      <c r="BN676" s="130"/>
      <c r="BO676" s="130"/>
      <c r="BP676" s="130"/>
      <c r="BQ676" s="130"/>
      <c r="BR676" s="130"/>
      <c r="BS676" s="130"/>
      <c r="BT676" s="130"/>
    </row>
    <row r="677" spans="1:72" ht="15.7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30"/>
      <c r="BB677" s="130"/>
      <c r="BC677" s="130"/>
      <c r="BD677" s="130"/>
      <c r="BE677" s="130"/>
      <c r="BF677" s="130"/>
      <c r="BG677" s="130"/>
      <c r="BH677" s="130"/>
      <c r="BI677" s="130"/>
      <c r="BJ677" s="130"/>
      <c r="BK677" s="130"/>
      <c r="BL677" s="130"/>
      <c r="BM677" s="130"/>
      <c r="BN677" s="130"/>
      <c r="BO677" s="130"/>
      <c r="BP677" s="130"/>
      <c r="BQ677" s="130"/>
      <c r="BR677" s="130"/>
      <c r="BS677" s="130"/>
      <c r="BT677" s="130"/>
    </row>
    <row r="678" spans="1:72" ht="15.7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30"/>
      <c r="BB678" s="130"/>
      <c r="BC678" s="130"/>
      <c r="BD678" s="130"/>
      <c r="BE678" s="130"/>
      <c r="BF678" s="130"/>
      <c r="BG678" s="130"/>
      <c r="BH678" s="130"/>
      <c r="BI678" s="130"/>
      <c r="BJ678" s="130"/>
      <c r="BK678" s="130"/>
      <c r="BL678" s="130"/>
      <c r="BM678" s="130"/>
      <c r="BN678" s="130"/>
      <c r="BO678" s="130"/>
      <c r="BP678" s="130"/>
      <c r="BQ678" s="130"/>
      <c r="BR678" s="130"/>
      <c r="BS678" s="130"/>
      <c r="BT678" s="130"/>
    </row>
    <row r="679" spans="1:72" ht="15.7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30"/>
      <c r="BB679" s="130"/>
      <c r="BC679" s="130"/>
      <c r="BD679" s="130"/>
      <c r="BE679" s="130"/>
      <c r="BF679" s="130"/>
      <c r="BG679" s="130"/>
      <c r="BH679" s="130"/>
      <c r="BI679" s="130"/>
      <c r="BJ679" s="130"/>
      <c r="BK679" s="130"/>
      <c r="BL679" s="130"/>
      <c r="BM679" s="130"/>
      <c r="BN679" s="130"/>
      <c r="BO679" s="130"/>
      <c r="BP679" s="130"/>
      <c r="BQ679" s="130"/>
      <c r="BR679" s="130"/>
      <c r="BS679" s="130"/>
      <c r="BT679" s="130"/>
    </row>
    <row r="680" spans="1:72" ht="15.7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30"/>
      <c r="BB680" s="130"/>
      <c r="BC680" s="130"/>
      <c r="BD680" s="130"/>
      <c r="BE680" s="130"/>
      <c r="BF680" s="130"/>
      <c r="BG680" s="130"/>
      <c r="BH680" s="130"/>
      <c r="BI680" s="130"/>
      <c r="BJ680" s="130"/>
      <c r="BK680" s="130"/>
      <c r="BL680" s="130"/>
      <c r="BM680" s="130"/>
      <c r="BN680" s="130"/>
      <c r="BO680" s="130"/>
      <c r="BP680" s="130"/>
      <c r="BQ680" s="130"/>
      <c r="BR680" s="130"/>
      <c r="BS680" s="130"/>
      <c r="BT680" s="130"/>
    </row>
    <row r="681" spans="1:72" ht="15.7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30"/>
      <c r="BB681" s="130"/>
      <c r="BC681" s="130"/>
      <c r="BD681" s="130"/>
      <c r="BE681" s="130"/>
      <c r="BF681" s="130"/>
      <c r="BG681" s="130"/>
      <c r="BH681" s="130"/>
      <c r="BI681" s="130"/>
      <c r="BJ681" s="130"/>
      <c r="BK681" s="130"/>
      <c r="BL681" s="130"/>
      <c r="BM681" s="130"/>
      <c r="BN681" s="130"/>
      <c r="BO681" s="130"/>
      <c r="BP681" s="130"/>
      <c r="BQ681" s="130"/>
      <c r="BR681" s="130"/>
      <c r="BS681" s="130"/>
      <c r="BT681" s="130"/>
    </row>
    <row r="682" spans="1:72" ht="15.7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30"/>
      <c r="BB682" s="130"/>
      <c r="BC682" s="130"/>
      <c r="BD682" s="130"/>
      <c r="BE682" s="130"/>
      <c r="BF682" s="130"/>
      <c r="BG682" s="130"/>
      <c r="BH682" s="130"/>
      <c r="BI682" s="130"/>
      <c r="BJ682" s="130"/>
      <c r="BK682" s="130"/>
      <c r="BL682" s="130"/>
      <c r="BM682" s="130"/>
      <c r="BN682" s="130"/>
      <c r="BO682" s="130"/>
      <c r="BP682" s="130"/>
      <c r="BQ682" s="130"/>
      <c r="BR682" s="130"/>
      <c r="BS682" s="130"/>
      <c r="BT682" s="130"/>
    </row>
    <row r="683" spans="1:72" ht="15.7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30"/>
      <c r="BB683" s="130"/>
      <c r="BC683" s="130"/>
      <c r="BD683" s="130"/>
      <c r="BE683" s="130"/>
      <c r="BF683" s="130"/>
      <c r="BG683" s="130"/>
      <c r="BH683" s="130"/>
      <c r="BI683" s="130"/>
      <c r="BJ683" s="130"/>
      <c r="BK683" s="130"/>
      <c r="BL683" s="130"/>
      <c r="BM683" s="130"/>
      <c r="BN683" s="130"/>
      <c r="BO683" s="130"/>
      <c r="BP683" s="130"/>
      <c r="BQ683" s="130"/>
      <c r="BR683" s="130"/>
      <c r="BS683" s="130"/>
      <c r="BT683" s="130"/>
    </row>
    <row r="684" spans="1:72" ht="15.7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30"/>
      <c r="BB684" s="130"/>
      <c r="BC684" s="130"/>
      <c r="BD684" s="130"/>
      <c r="BE684" s="130"/>
      <c r="BF684" s="130"/>
      <c r="BG684" s="130"/>
      <c r="BH684" s="130"/>
      <c r="BI684" s="130"/>
      <c r="BJ684" s="130"/>
      <c r="BK684" s="130"/>
      <c r="BL684" s="130"/>
      <c r="BM684" s="130"/>
      <c r="BN684" s="130"/>
      <c r="BO684" s="130"/>
      <c r="BP684" s="130"/>
      <c r="BQ684" s="130"/>
      <c r="BR684" s="130"/>
      <c r="BS684" s="130"/>
      <c r="BT684" s="130"/>
    </row>
    <row r="685" spans="1:72" ht="15.7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30"/>
      <c r="BB685" s="130"/>
      <c r="BC685" s="130"/>
      <c r="BD685" s="130"/>
      <c r="BE685" s="130"/>
      <c r="BF685" s="130"/>
      <c r="BG685" s="130"/>
      <c r="BH685" s="130"/>
      <c r="BI685" s="130"/>
      <c r="BJ685" s="130"/>
      <c r="BK685" s="130"/>
      <c r="BL685" s="130"/>
      <c r="BM685" s="130"/>
      <c r="BN685" s="130"/>
      <c r="BO685" s="130"/>
      <c r="BP685" s="130"/>
      <c r="BQ685" s="130"/>
      <c r="BR685" s="130"/>
      <c r="BS685" s="130"/>
      <c r="BT685" s="130"/>
    </row>
    <row r="686" spans="1:72" ht="15.7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30"/>
      <c r="BB686" s="130"/>
      <c r="BC686" s="130"/>
      <c r="BD686" s="130"/>
      <c r="BE686" s="130"/>
      <c r="BF686" s="130"/>
      <c r="BG686" s="130"/>
      <c r="BH686" s="130"/>
      <c r="BI686" s="130"/>
      <c r="BJ686" s="130"/>
      <c r="BK686" s="130"/>
      <c r="BL686" s="130"/>
      <c r="BM686" s="130"/>
      <c r="BN686" s="130"/>
      <c r="BO686" s="130"/>
      <c r="BP686" s="130"/>
      <c r="BQ686" s="130"/>
      <c r="BR686" s="130"/>
      <c r="BS686" s="130"/>
      <c r="BT686" s="130"/>
    </row>
    <row r="687" spans="1:72" ht="15.7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30"/>
      <c r="BB687" s="130"/>
      <c r="BC687" s="130"/>
      <c r="BD687" s="130"/>
      <c r="BE687" s="130"/>
      <c r="BF687" s="130"/>
      <c r="BG687" s="130"/>
      <c r="BH687" s="130"/>
      <c r="BI687" s="130"/>
      <c r="BJ687" s="130"/>
      <c r="BK687" s="130"/>
      <c r="BL687" s="130"/>
      <c r="BM687" s="130"/>
      <c r="BN687" s="130"/>
      <c r="BO687" s="130"/>
      <c r="BP687" s="130"/>
      <c r="BQ687" s="130"/>
      <c r="BR687" s="130"/>
      <c r="BS687" s="130"/>
      <c r="BT687" s="130"/>
    </row>
    <row r="688" spans="1:72" ht="15.7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30"/>
      <c r="BB688" s="130"/>
      <c r="BC688" s="130"/>
      <c r="BD688" s="130"/>
      <c r="BE688" s="130"/>
      <c r="BF688" s="130"/>
      <c r="BG688" s="130"/>
      <c r="BH688" s="130"/>
      <c r="BI688" s="130"/>
      <c r="BJ688" s="130"/>
      <c r="BK688" s="130"/>
      <c r="BL688" s="130"/>
      <c r="BM688" s="130"/>
      <c r="BN688" s="130"/>
      <c r="BO688" s="130"/>
      <c r="BP688" s="130"/>
      <c r="BQ688" s="130"/>
      <c r="BR688" s="130"/>
      <c r="BS688" s="130"/>
      <c r="BT688" s="130"/>
    </row>
    <row r="689" spans="1:72" ht="15.7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30"/>
      <c r="BB689" s="130"/>
      <c r="BC689" s="130"/>
      <c r="BD689" s="130"/>
      <c r="BE689" s="130"/>
      <c r="BF689" s="130"/>
      <c r="BG689" s="130"/>
      <c r="BH689" s="130"/>
      <c r="BI689" s="130"/>
      <c r="BJ689" s="130"/>
      <c r="BK689" s="130"/>
      <c r="BL689" s="130"/>
      <c r="BM689" s="130"/>
      <c r="BN689" s="130"/>
      <c r="BO689" s="130"/>
      <c r="BP689" s="130"/>
      <c r="BQ689" s="130"/>
      <c r="BR689" s="130"/>
      <c r="BS689" s="130"/>
      <c r="BT689" s="130"/>
    </row>
    <row r="690" spans="1:72" ht="15.7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30"/>
      <c r="BB690" s="130"/>
      <c r="BC690" s="130"/>
      <c r="BD690" s="130"/>
      <c r="BE690" s="130"/>
      <c r="BF690" s="130"/>
      <c r="BG690" s="130"/>
      <c r="BH690" s="130"/>
      <c r="BI690" s="130"/>
      <c r="BJ690" s="130"/>
      <c r="BK690" s="130"/>
      <c r="BL690" s="130"/>
      <c r="BM690" s="130"/>
      <c r="BN690" s="130"/>
      <c r="BO690" s="130"/>
      <c r="BP690" s="130"/>
      <c r="BQ690" s="130"/>
      <c r="BR690" s="130"/>
      <c r="BS690" s="130"/>
      <c r="BT690" s="130"/>
    </row>
    <row r="691" spans="1:72" ht="15.7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30"/>
      <c r="BB691" s="130"/>
      <c r="BC691" s="130"/>
      <c r="BD691" s="130"/>
      <c r="BE691" s="130"/>
      <c r="BF691" s="130"/>
      <c r="BG691" s="130"/>
      <c r="BH691" s="130"/>
      <c r="BI691" s="130"/>
      <c r="BJ691" s="130"/>
      <c r="BK691" s="130"/>
      <c r="BL691" s="130"/>
      <c r="BM691" s="130"/>
      <c r="BN691" s="130"/>
      <c r="BO691" s="130"/>
      <c r="BP691" s="130"/>
      <c r="BQ691" s="130"/>
      <c r="BR691" s="130"/>
      <c r="BS691" s="130"/>
      <c r="BT691" s="130"/>
    </row>
    <row r="692" spans="1:72" ht="15.7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30"/>
      <c r="BB692" s="130"/>
      <c r="BC692" s="130"/>
      <c r="BD692" s="130"/>
      <c r="BE692" s="130"/>
      <c r="BF692" s="130"/>
      <c r="BG692" s="130"/>
      <c r="BH692" s="130"/>
      <c r="BI692" s="130"/>
      <c r="BJ692" s="130"/>
      <c r="BK692" s="130"/>
      <c r="BL692" s="130"/>
      <c r="BM692" s="130"/>
      <c r="BN692" s="130"/>
      <c r="BO692" s="130"/>
      <c r="BP692" s="130"/>
      <c r="BQ692" s="130"/>
      <c r="BR692" s="130"/>
      <c r="BS692" s="130"/>
      <c r="BT692" s="130"/>
    </row>
    <row r="693" spans="1:72" ht="15.7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30"/>
      <c r="BB693" s="130"/>
      <c r="BC693" s="130"/>
      <c r="BD693" s="130"/>
      <c r="BE693" s="130"/>
      <c r="BF693" s="130"/>
      <c r="BG693" s="130"/>
      <c r="BH693" s="130"/>
      <c r="BI693" s="130"/>
      <c r="BJ693" s="130"/>
      <c r="BK693" s="130"/>
      <c r="BL693" s="130"/>
      <c r="BM693" s="130"/>
      <c r="BN693" s="130"/>
      <c r="BO693" s="130"/>
      <c r="BP693" s="130"/>
      <c r="BQ693" s="130"/>
      <c r="BR693" s="130"/>
      <c r="BS693" s="130"/>
      <c r="BT693" s="130"/>
    </row>
    <row r="694" spans="1:72" ht="15.7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30"/>
      <c r="BB694" s="130"/>
      <c r="BC694" s="130"/>
      <c r="BD694" s="130"/>
      <c r="BE694" s="130"/>
      <c r="BF694" s="130"/>
      <c r="BG694" s="130"/>
      <c r="BH694" s="130"/>
      <c r="BI694" s="130"/>
      <c r="BJ694" s="130"/>
      <c r="BK694" s="130"/>
      <c r="BL694" s="130"/>
      <c r="BM694" s="130"/>
      <c r="BN694" s="130"/>
      <c r="BO694" s="130"/>
      <c r="BP694" s="130"/>
      <c r="BQ694" s="130"/>
      <c r="BR694" s="130"/>
      <c r="BS694" s="130"/>
      <c r="BT694" s="130"/>
    </row>
    <row r="695" spans="1:72" ht="15.7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30"/>
      <c r="BB695" s="130"/>
      <c r="BC695" s="130"/>
      <c r="BD695" s="130"/>
      <c r="BE695" s="130"/>
      <c r="BF695" s="130"/>
      <c r="BG695" s="130"/>
      <c r="BH695" s="130"/>
      <c r="BI695" s="130"/>
      <c r="BJ695" s="130"/>
      <c r="BK695" s="130"/>
      <c r="BL695" s="130"/>
      <c r="BM695" s="130"/>
      <c r="BN695" s="130"/>
      <c r="BO695" s="130"/>
      <c r="BP695" s="130"/>
      <c r="BQ695" s="130"/>
      <c r="BR695" s="130"/>
      <c r="BS695" s="130"/>
      <c r="BT695" s="130"/>
    </row>
    <row r="696" spans="1:72" ht="15.7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30"/>
      <c r="BB696" s="130"/>
      <c r="BC696" s="130"/>
      <c r="BD696" s="130"/>
      <c r="BE696" s="130"/>
      <c r="BF696" s="130"/>
      <c r="BG696" s="130"/>
      <c r="BH696" s="130"/>
      <c r="BI696" s="130"/>
      <c r="BJ696" s="130"/>
      <c r="BK696" s="130"/>
      <c r="BL696" s="130"/>
      <c r="BM696" s="130"/>
      <c r="BN696" s="130"/>
      <c r="BO696" s="130"/>
      <c r="BP696" s="130"/>
      <c r="BQ696" s="130"/>
      <c r="BR696" s="130"/>
      <c r="BS696" s="130"/>
      <c r="BT696" s="130"/>
    </row>
    <row r="697" spans="1:72" ht="15.7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30"/>
      <c r="BB697" s="130"/>
      <c r="BC697" s="130"/>
      <c r="BD697" s="130"/>
      <c r="BE697" s="130"/>
      <c r="BF697" s="130"/>
      <c r="BG697" s="130"/>
      <c r="BH697" s="130"/>
      <c r="BI697" s="130"/>
      <c r="BJ697" s="130"/>
      <c r="BK697" s="130"/>
      <c r="BL697" s="130"/>
      <c r="BM697" s="130"/>
      <c r="BN697" s="130"/>
      <c r="BO697" s="130"/>
      <c r="BP697" s="130"/>
      <c r="BQ697" s="130"/>
      <c r="BR697" s="130"/>
      <c r="BS697" s="130"/>
      <c r="BT697" s="130"/>
    </row>
    <row r="698" spans="1:72" ht="15.7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30"/>
      <c r="BB698" s="130"/>
      <c r="BC698" s="130"/>
      <c r="BD698" s="130"/>
      <c r="BE698" s="130"/>
      <c r="BF698" s="130"/>
      <c r="BG698" s="130"/>
      <c r="BH698" s="130"/>
      <c r="BI698" s="130"/>
      <c r="BJ698" s="130"/>
      <c r="BK698" s="130"/>
      <c r="BL698" s="130"/>
      <c r="BM698" s="130"/>
      <c r="BN698" s="130"/>
      <c r="BO698" s="130"/>
      <c r="BP698" s="130"/>
      <c r="BQ698" s="130"/>
      <c r="BR698" s="130"/>
      <c r="BS698" s="130"/>
      <c r="BT698" s="130"/>
    </row>
    <row r="699" spans="1:72" ht="15.7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30"/>
      <c r="BB699" s="130"/>
      <c r="BC699" s="130"/>
      <c r="BD699" s="130"/>
      <c r="BE699" s="130"/>
      <c r="BF699" s="130"/>
      <c r="BG699" s="130"/>
      <c r="BH699" s="130"/>
      <c r="BI699" s="130"/>
      <c r="BJ699" s="130"/>
      <c r="BK699" s="130"/>
      <c r="BL699" s="130"/>
      <c r="BM699" s="130"/>
      <c r="BN699" s="130"/>
      <c r="BO699" s="130"/>
      <c r="BP699" s="130"/>
      <c r="BQ699" s="130"/>
      <c r="BR699" s="130"/>
      <c r="BS699" s="130"/>
      <c r="BT699" s="130"/>
    </row>
    <row r="700" spans="1:72" ht="15.7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30"/>
      <c r="BB700" s="130"/>
      <c r="BC700" s="130"/>
      <c r="BD700" s="130"/>
      <c r="BE700" s="130"/>
      <c r="BF700" s="130"/>
      <c r="BG700" s="130"/>
      <c r="BH700" s="130"/>
      <c r="BI700" s="130"/>
      <c r="BJ700" s="130"/>
      <c r="BK700" s="130"/>
      <c r="BL700" s="130"/>
      <c r="BM700" s="130"/>
      <c r="BN700" s="130"/>
      <c r="BO700" s="130"/>
      <c r="BP700" s="130"/>
      <c r="BQ700" s="130"/>
      <c r="BR700" s="130"/>
      <c r="BS700" s="130"/>
      <c r="BT700" s="130"/>
    </row>
    <row r="701" spans="1:72" ht="15.7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30"/>
      <c r="BB701" s="130"/>
      <c r="BC701" s="130"/>
      <c r="BD701" s="130"/>
      <c r="BE701" s="130"/>
      <c r="BF701" s="130"/>
      <c r="BG701" s="130"/>
      <c r="BH701" s="130"/>
      <c r="BI701" s="130"/>
      <c r="BJ701" s="130"/>
      <c r="BK701" s="130"/>
      <c r="BL701" s="130"/>
      <c r="BM701" s="130"/>
      <c r="BN701" s="130"/>
      <c r="BO701" s="130"/>
      <c r="BP701" s="130"/>
      <c r="BQ701" s="130"/>
      <c r="BR701" s="130"/>
      <c r="BS701" s="130"/>
      <c r="BT701" s="130"/>
    </row>
    <row r="702" spans="1:72" ht="15.7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30"/>
      <c r="BB702" s="130"/>
      <c r="BC702" s="130"/>
      <c r="BD702" s="130"/>
      <c r="BE702" s="130"/>
      <c r="BF702" s="130"/>
      <c r="BG702" s="130"/>
      <c r="BH702" s="130"/>
      <c r="BI702" s="130"/>
      <c r="BJ702" s="130"/>
      <c r="BK702" s="130"/>
      <c r="BL702" s="130"/>
      <c r="BM702" s="130"/>
      <c r="BN702" s="130"/>
      <c r="BO702" s="130"/>
      <c r="BP702" s="130"/>
      <c r="BQ702" s="130"/>
      <c r="BR702" s="130"/>
      <c r="BS702" s="130"/>
      <c r="BT702" s="130"/>
    </row>
    <row r="703" spans="1:72" ht="15.7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30"/>
      <c r="BB703" s="130"/>
      <c r="BC703" s="130"/>
      <c r="BD703" s="130"/>
      <c r="BE703" s="130"/>
      <c r="BF703" s="130"/>
      <c r="BG703" s="130"/>
      <c r="BH703" s="130"/>
      <c r="BI703" s="130"/>
      <c r="BJ703" s="130"/>
      <c r="BK703" s="130"/>
      <c r="BL703" s="130"/>
      <c r="BM703" s="130"/>
      <c r="BN703" s="130"/>
      <c r="BO703" s="130"/>
      <c r="BP703" s="130"/>
      <c r="BQ703" s="130"/>
      <c r="BR703" s="130"/>
      <c r="BS703" s="130"/>
      <c r="BT703" s="130"/>
    </row>
    <row r="704" spans="1:72" ht="15.7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30"/>
      <c r="BB704" s="130"/>
      <c r="BC704" s="130"/>
      <c r="BD704" s="130"/>
      <c r="BE704" s="130"/>
      <c r="BF704" s="130"/>
      <c r="BG704" s="130"/>
      <c r="BH704" s="130"/>
      <c r="BI704" s="130"/>
      <c r="BJ704" s="130"/>
      <c r="BK704" s="130"/>
      <c r="BL704" s="130"/>
      <c r="BM704" s="130"/>
      <c r="BN704" s="130"/>
      <c r="BO704" s="130"/>
      <c r="BP704" s="130"/>
      <c r="BQ704" s="130"/>
      <c r="BR704" s="130"/>
      <c r="BS704" s="130"/>
      <c r="BT704" s="130"/>
    </row>
    <row r="705" spans="1:72" ht="15.7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30"/>
      <c r="BB705" s="130"/>
      <c r="BC705" s="130"/>
      <c r="BD705" s="130"/>
      <c r="BE705" s="130"/>
      <c r="BF705" s="130"/>
      <c r="BG705" s="130"/>
      <c r="BH705" s="130"/>
      <c r="BI705" s="130"/>
      <c r="BJ705" s="130"/>
      <c r="BK705" s="130"/>
      <c r="BL705" s="130"/>
      <c r="BM705" s="130"/>
      <c r="BN705" s="130"/>
      <c r="BO705" s="130"/>
      <c r="BP705" s="130"/>
      <c r="BQ705" s="130"/>
      <c r="BR705" s="130"/>
      <c r="BS705" s="130"/>
      <c r="BT705" s="130"/>
    </row>
    <row r="706" spans="1:72" ht="15.7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30"/>
      <c r="BB706" s="130"/>
      <c r="BC706" s="130"/>
      <c r="BD706" s="130"/>
      <c r="BE706" s="130"/>
      <c r="BF706" s="130"/>
      <c r="BG706" s="130"/>
      <c r="BH706" s="130"/>
      <c r="BI706" s="130"/>
      <c r="BJ706" s="130"/>
      <c r="BK706" s="130"/>
      <c r="BL706" s="130"/>
      <c r="BM706" s="130"/>
      <c r="BN706" s="130"/>
      <c r="BO706" s="130"/>
      <c r="BP706" s="130"/>
      <c r="BQ706" s="130"/>
      <c r="BR706" s="130"/>
      <c r="BS706" s="130"/>
      <c r="BT706" s="130"/>
    </row>
    <row r="707" spans="1:72" ht="15.7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30"/>
      <c r="BB707" s="130"/>
      <c r="BC707" s="130"/>
      <c r="BD707" s="130"/>
      <c r="BE707" s="130"/>
      <c r="BF707" s="130"/>
      <c r="BG707" s="130"/>
      <c r="BH707" s="130"/>
      <c r="BI707" s="130"/>
      <c r="BJ707" s="130"/>
      <c r="BK707" s="130"/>
      <c r="BL707" s="130"/>
      <c r="BM707" s="130"/>
      <c r="BN707" s="130"/>
      <c r="BO707" s="130"/>
      <c r="BP707" s="130"/>
      <c r="BQ707" s="130"/>
      <c r="BR707" s="130"/>
      <c r="BS707" s="130"/>
      <c r="BT707" s="130"/>
    </row>
    <row r="708" spans="1:72" ht="15.7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30"/>
      <c r="BB708" s="130"/>
      <c r="BC708" s="130"/>
      <c r="BD708" s="130"/>
      <c r="BE708" s="130"/>
      <c r="BF708" s="130"/>
      <c r="BG708" s="130"/>
      <c r="BH708" s="130"/>
      <c r="BI708" s="130"/>
      <c r="BJ708" s="130"/>
      <c r="BK708" s="130"/>
      <c r="BL708" s="130"/>
      <c r="BM708" s="130"/>
      <c r="BN708" s="130"/>
      <c r="BO708" s="130"/>
      <c r="BP708" s="130"/>
      <c r="BQ708" s="130"/>
      <c r="BR708" s="130"/>
      <c r="BS708" s="130"/>
      <c r="BT708" s="130"/>
    </row>
    <row r="709" spans="1:72" ht="15.7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30"/>
      <c r="BB709" s="130"/>
      <c r="BC709" s="130"/>
      <c r="BD709" s="130"/>
      <c r="BE709" s="130"/>
      <c r="BF709" s="130"/>
      <c r="BG709" s="130"/>
      <c r="BH709" s="130"/>
      <c r="BI709" s="130"/>
      <c r="BJ709" s="130"/>
      <c r="BK709" s="130"/>
      <c r="BL709" s="130"/>
      <c r="BM709" s="130"/>
      <c r="BN709" s="130"/>
      <c r="BO709" s="130"/>
      <c r="BP709" s="130"/>
      <c r="BQ709" s="130"/>
      <c r="BR709" s="130"/>
      <c r="BS709" s="130"/>
      <c r="BT709" s="130"/>
    </row>
    <row r="710" spans="1:72" ht="15.7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30"/>
      <c r="BB710" s="130"/>
      <c r="BC710" s="130"/>
      <c r="BD710" s="130"/>
      <c r="BE710" s="130"/>
      <c r="BF710" s="130"/>
      <c r="BG710" s="130"/>
      <c r="BH710" s="130"/>
      <c r="BI710" s="130"/>
      <c r="BJ710" s="130"/>
      <c r="BK710" s="130"/>
      <c r="BL710" s="130"/>
      <c r="BM710" s="130"/>
      <c r="BN710" s="130"/>
      <c r="BO710" s="130"/>
      <c r="BP710" s="130"/>
      <c r="BQ710" s="130"/>
      <c r="BR710" s="130"/>
      <c r="BS710" s="130"/>
      <c r="BT710" s="130"/>
    </row>
    <row r="711" spans="1:72" ht="15.7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30"/>
      <c r="BB711" s="130"/>
      <c r="BC711" s="130"/>
      <c r="BD711" s="130"/>
      <c r="BE711" s="130"/>
      <c r="BF711" s="130"/>
      <c r="BG711" s="130"/>
      <c r="BH711" s="130"/>
      <c r="BI711" s="130"/>
      <c r="BJ711" s="130"/>
      <c r="BK711" s="130"/>
      <c r="BL711" s="130"/>
      <c r="BM711" s="130"/>
      <c r="BN711" s="130"/>
      <c r="BO711" s="130"/>
      <c r="BP711" s="130"/>
      <c r="BQ711" s="130"/>
      <c r="BR711" s="130"/>
      <c r="BS711" s="130"/>
      <c r="BT711" s="130"/>
    </row>
    <row r="712" spans="1:72" ht="15.7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30"/>
      <c r="BB712" s="130"/>
      <c r="BC712" s="130"/>
      <c r="BD712" s="130"/>
      <c r="BE712" s="130"/>
      <c r="BF712" s="130"/>
      <c r="BG712" s="130"/>
      <c r="BH712" s="130"/>
      <c r="BI712" s="130"/>
      <c r="BJ712" s="130"/>
      <c r="BK712" s="130"/>
      <c r="BL712" s="130"/>
      <c r="BM712" s="130"/>
      <c r="BN712" s="130"/>
      <c r="BO712" s="130"/>
      <c r="BP712" s="130"/>
      <c r="BQ712" s="130"/>
      <c r="BR712" s="130"/>
      <c r="BS712" s="130"/>
      <c r="BT712" s="130"/>
    </row>
    <row r="713" spans="1:72" ht="15.7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30"/>
      <c r="BB713" s="130"/>
      <c r="BC713" s="130"/>
      <c r="BD713" s="130"/>
      <c r="BE713" s="130"/>
      <c r="BF713" s="130"/>
      <c r="BG713" s="130"/>
      <c r="BH713" s="130"/>
      <c r="BI713" s="130"/>
      <c r="BJ713" s="130"/>
      <c r="BK713" s="130"/>
      <c r="BL713" s="130"/>
      <c r="BM713" s="130"/>
      <c r="BN713" s="130"/>
      <c r="BO713" s="130"/>
      <c r="BP713" s="130"/>
      <c r="BQ713" s="130"/>
      <c r="BR713" s="130"/>
      <c r="BS713" s="130"/>
      <c r="BT713" s="130"/>
    </row>
    <row r="714" spans="1:72" ht="15.7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30"/>
      <c r="BB714" s="130"/>
      <c r="BC714" s="130"/>
      <c r="BD714" s="130"/>
      <c r="BE714" s="130"/>
      <c r="BF714" s="130"/>
      <c r="BG714" s="130"/>
      <c r="BH714" s="130"/>
      <c r="BI714" s="130"/>
      <c r="BJ714" s="130"/>
      <c r="BK714" s="130"/>
      <c r="BL714" s="130"/>
      <c r="BM714" s="130"/>
      <c r="BN714" s="130"/>
      <c r="BO714" s="130"/>
      <c r="BP714" s="130"/>
      <c r="BQ714" s="130"/>
      <c r="BR714" s="130"/>
      <c r="BS714" s="130"/>
      <c r="BT714" s="130"/>
    </row>
    <row r="715" spans="1:72" ht="15.7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30"/>
      <c r="BB715" s="130"/>
      <c r="BC715" s="130"/>
      <c r="BD715" s="130"/>
      <c r="BE715" s="130"/>
      <c r="BF715" s="130"/>
      <c r="BG715" s="130"/>
      <c r="BH715" s="130"/>
      <c r="BI715" s="130"/>
      <c r="BJ715" s="130"/>
      <c r="BK715" s="130"/>
      <c r="BL715" s="130"/>
      <c r="BM715" s="130"/>
      <c r="BN715" s="130"/>
      <c r="BO715" s="130"/>
      <c r="BP715" s="130"/>
      <c r="BQ715" s="130"/>
      <c r="BR715" s="130"/>
      <c r="BS715" s="130"/>
      <c r="BT715" s="130"/>
    </row>
    <row r="716" spans="1:72" ht="15.7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30"/>
      <c r="BB716" s="130"/>
      <c r="BC716" s="130"/>
      <c r="BD716" s="130"/>
      <c r="BE716" s="130"/>
      <c r="BF716" s="130"/>
      <c r="BG716" s="130"/>
      <c r="BH716" s="130"/>
      <c r="BI716" s="130"/>
      <c r="BJ716" s="130"/>
      <c r="BK716" s="130"/>
      <c r="BL716" s="130"/>
      <c r="BM716" s="130"/>
      <c r="BN716" s="130"/>
      <c r="BO716" s="130"/>
      <c r="BP716" s="130"/>
      <c r="BQ716" s="130"/>
      <c r="BR716" s="130"/>
      <c r="BS716" s="130"/>
      <c r="BT716" s="130"/>
    </row>
    <row r="717" spans="1:72" ht="15.7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30"/>
      <c r="BB717" s="130"/>
      <c r="BC717" s="130"/>
      <c r="BD717" s="130"/>
      <c r="BE717" s="130"/>
      <c r="BF717" s="130"/>
      <c r="BG717" s="130"/>
      <c r="BH717" s="130"/>
      <c r="BI717" s="130"/>
      <c r="BJ717" s="130"/>
      <c r="BK717" s="130"/>
      <c r="BL717" s="130"/>
      <c r="BM717" s="130"/>
      <c r="BN717" s="130"/>
      <c r="BO717" s="130"/>
      <c r="BP717" s="130"/>
      <c r="BQ717" s="130"/>
      <c r="BR717" s="130"/>
      <c r="BS717" s="130"/>
      <c r="BT717" s="130"/>
    </row>
    <row r="718" spans="1:72" ht="15.7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30"/>
      <c r="BB718" s="130"/>
      <c r="BC718" s="130"/>
      <c r="BD718" s="130"/>
      <c r="BE718" s="130"/>
      <c r="BF718" s="130"/>
      <c r="BG718" s="130"/>
      <c r="BH718" s="130"/>
      <c r="BI718" s="130"/>
      <c r="BJ718" s="130"/>
      <c r="BK718" s="130"/>
      <c r="BL718" s="130"/>
      <c r="BM718" s="130"/>
      <c r="BN718" s="130"/>
      <c r="BO718" s="130"/>
      <c r="BP718" s="130"/>
      <c r="BQ718" s="130"/>
      <c r="BR718" s="130"/>
      <c r="BS718" s="130"/>
      <c r="BT718" s="130"/>
    </row>
    <row r="719" spans="1:72" ht="15.7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30"/>
      <c r="BB719" s="130"/>
      <c r="BC719" s="130"/>
      <c r="BD719" s="130"/>
      <c r="BE719" s="130"/>
      <c r="BF719" s="130"/>
      <c r="BG719" s="130"/>
      <c r="BH719" s="130"/>
      <c r="BI719" s="130"/>
      <c r="BJ719" s="130"/>
      <c r="BK719" s="130"/>
      <c r="BL719" s="130"/>
      <c r="BM719" s="130"/>
      <c r="BN719" s="130"/>
      <c r="BO719" s="130"/>
      <c r="BP719" s="130"/>
      <c r="BQ719" s="130"/>
      <c r="BR719" s="130"/>
      <c r="BS719" s="130"/>
      <c r="BT719" s="130"/>
    </row>
    <row r="720" spans="1:72" ht="15.7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30"/>
      <c r="BB720" s="130"/>
      <c r="BC720" s="130"/>
      <c r="BD720" s="130"/>
      <c r="BE720" s="130"/>
      <c r="BF720" s="130"/>
      <c r="BG720" s="130"/>
      <c r="BH720" s="130"/>
      <c r="BI720" s="130"/>
      <c r="BJ720" s="130"/>
      <c r="BK720" s="130"/>
      <c r="BL720" s="130"/>
      <c r="BM720" s="130"/>
      <c r="BN720" s="130"/>
      <c r="BO720" s="130"/>
      <c r="BP720" s="130"/>
      <c r="BQ720" s="130"/>
      <c r="BR720" s="130"/>
      <c r="BS720" s="130"/>
      <c r="BT720" s="130"/>
    </row>
    <row r="721" spans="1:72" ht="15.7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30"/>
      <c r="BB721" s="130"/>
      <c r="BC721" s="130"/>
      <c r="BD721" s="130"/>
      <c r="BE721" s="130"/>
      <c r="BF721" s="130"/>
      <c r="BG721" s="130"/>
      <c r="BH721" s="130"/>
      <c r="BI721" s="130"/>
      <c r="BJ721" s="130"/>
      <c r="BK721" s="130"/>
      <c r="BL721" s="130"/>
      <c r="BM721" s="130"/>
      <c r="BN721" s="130"/>
      <c r="BO721" s="130"/>
      <c r="BP721" s="130"/>
      <c r="BQ721" s="130"/>
      <c r="BR721" s="130"/>
      <c r="BS721" s="130"/>
      <c r="BT721" s="130"/>
    </row>
    <row r="722" spans="1:72" ht="15.7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30"/>
      <c r="BB722" s="130"/>
      <c r="BC722" s="130"/>
      <c r="BD722" s="130"/>
      <c r="BE722" s="130"/>
      <c r="BF722" s="130"/>
      <c r="BG722" s="130"/>
      <c r="BH722" s="130"/>
      <c r="BI722" s="130"/>
      <c r="BJ722" s="130"/>
      <c r="BK722" s="130"/>
      <c r="BL722" s="130"/>
      <c r="BM722" s="130"/>
      <c r="BN722" s="130"/>
      <c r="BO722" s="130"/>
      <c r="BP722" s="130"/>
      <c r="BQ722" s="130"/>
      <c r="BR722" s="130"/>
      <c r="BS722" s="130"/>
      <c r="BT722" s="130"/>
    </row>
    <row r="723" spans="1:72" ht="15.7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30"/>
      <c r="BB723" s="130"/>
      <c r="BC723" s="130"/>
      <c r="BD723" s="130"/>
      <c r="BE723" s="130"/>
      <c r="BF723" s="130"/>
      <c r="BG723" s="130"/>
      <c r="BH723" s="130"/>
      <c r="BI723" s="130"/>
      <c r="BJ723" s="130"/>
      <c r="BK723" s="130"/>
      <c r="BL723" s="130"/>
      <c r="BM723" s="130"/>
      <c r="BN723" s="130"/>
      <c r="BO723" s="130"/>
      <c r="BP723" s="130"/>
      <c r="BQ723" s="130"/>
      <c r="BR723" s="130"/>
      <c r="BS723" s="130"/>
      <c r="BT723" s="130"/>
    </row>
    <row r="724" spans="1:72" ht="15.7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30"/>
      <c r="BB724" s="130"/>
      <c r="BC724" s="130"/>
      <c r="BD724" s="130"/>
      <c r="BE724" s="130"/>
      <c r="BF724" s="130"/>
      <c r="BG724" s="130"/>
      <c r="BH724" s="130"/>
      <c r="BI724" s="130"/>
      <c r="BJ724" s="130"/>
      <c r="BK724" s="130"/>
      <c r="BL724" s="130"/>
      <c r="BM724" s="130"/>
      <c r="BN724" s="130"/>
      <c r="BO724" s="130"/>
      <c r="BP724" s="130"/>
      <c r="BQ724" s="130"/>
      <c r="BR724" s="130"/>
      <c r="BS724" s="130"/>
      <c r="BT724" s="130"/>
    </row>
    <row r="725" spans="1:72" ht="15.7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30"/>
      <c r="BB725" s="130"/>
      <c r="BC725" s="130"/>
      <c r="BD725" s="130"/>
      <c r="BE725" s="130"/>
      <c r="BF725" s="130"/>
      <c r="BG725" s="130"/>
      <c r="BH725" s="130"/>
      <c r="BI725" s="130"/>
      <c r="BJ725" s="130"/>
      <c r="BK725" s="130"/>
      <c r="BL725" s="130"/>
      <c r="BM725" s="130"/>
      <c r="BN725" s="130"/>
      <c r="BO725" s="130"/>
      <c r="BP725" s="130"/>
      <c r="BQ725" s="130"/>
      <c r="BR725" s="130"/>
      <c r="BS725" s="130"/>
      <c r="BT725" s="130"/>
    </row>
    <row r="726" spans="1:72" ht="15.7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30"/>
      <c r="BB726" s="130"/>
      <c r="BC726" s="130"/>
      <c r="BD726" s="130"/>
      <c r="BE726" s="130"/>
      <c r="BF726" s="130"/>
      <c r="BG726" s="130"/>
      <c r="BH726" s="130"/>
      <c r="BI726" s="130"/>
      <c r="BJ726" s="130"/>
      <c r="BK726" s="130"/>
      <c r="BL726" s="130"/>
      <c r="BM726" s="130"/>
      <c r="BN726" s="130"/>
      <c r="BO726" s="130"/>
      <c r="BP726" s="130"/>
      <c r="BQ726" s="130"/>
      <c r="BR726" s="130"/>
      <c r="BS726" s="130"/>
      <c r="BT726" s="130"/>
    </row>
    <row r="727" spans="1:72" ht="15.7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30"/>
      <c r="BB727" s="130"/>
      <c r="BC727" s="130"/>
      <c r="BD727" s="130"/>
      <c r="BE727" s="130"/>
      <c r="BF727" s="130"/>
      <c r="BG727" s="130"/>
      <c r="BH727" s="130"/>
      <c r="BI727" s="130"/>
      <c r="BJ727" s="130"/>
      <c r="BK727" s="130"/>
      <c r="BL727" s="130"/>
      <c r="BM727" s="130"/>
      <c r="BN727" s="130"/>
      <c r="BO727" s="130"/>
      <c r="BP727" s="130"/>
      <c r="BQ727" s="130"/>
      <c r="BR727" s="130"/>
      <c r="BS727" s="130"/>
      <c r="BT727" s="130"/>
    </row>
  </sheetData>
  <mergeCells count="2528">
    <mergeCell ref="O349:P349"/>
    <mergeCell ref="Q349:R349"/>
    <mergeCell ref="S349:T349"/>
    <mergeCell ref="C349:D349"/>
    <mergeCell ref="E349:F349"/>
    <mergeCell ref="G349:H349"/>
    <mergeCell ref="I349:J349"/>
    <mergeCell ref="K349:L349"/>
    <mergeCell ref="M349:N349"/>
    <mergeCell ref="O348:P348"/>
    <mergeCell ref="Q348:R348"/>
    <mergeCell ref="A341:A342"/>
    <mergeCell ref="B341:C341"/>
    <mergeCell ref="Q350:R350"/>
    <mergeCell ref="S350:T350"/>
    <mergeCell ref="C350:D350"/>
    <mergeCell ref="E350:F350"/>
    <mergeCell ref="G350:H350"/>
    <mergeCell ref="I350:J350"/>
    <mergeCell ref="U348:V348"/>
    <mergeCell ref="U349:V349"/>
    <mergeCell ref="U352:V352"/>
    <mergeCell ref="U353:V353"/>
    <mergeCell ref="U354:V354"/>
    <mergeCell ref="A350:A357"/>
    <mergeCell ref="O350:P350"/>
    <mergeCell ref="S348:T348"/>
    <mergeCell ref="C348:D348"/>
    <mergeCell ref="E348:F348"/>
    <mergeCell ref="G348:H348"/>
    <mergeCell ref="I348:J348"/>
    <mergeCell ref="K348:L348"/>
    <mergeCell ref="M348:N348"/>
    <mergeCell ref="U355:V355"/>
    <mergeCell ref="C355:D355"/>
    <mergeCell ref="E355:F355"/>
    <mergeCell ref="G355:H355"/>
    <mergeCell ref="I355:J355"/>
    <mergeCell ref="K355:L355"/>
    <mergeCell ref="M355:N355"/>
    <mergeCell ref="S355:T355"/>
    <mergeCell ref="K350:L350"/>
    <mergeCell ref="M350:N350"/>
    <mergeCell ref="U351:V351"/>
    <mergeCell ref="U350:V350"/>
    <mergeCell ref="C352:D352"/>
    <mergeCell ref="E352:F352"/>
    <mergeCell ref="G352:H352"/>
    <mergeCell ref="I352:J352"/>
    <mergeCell ref="K352:L352"/>
    <mergeCell ref="M352:N352"/>
    <mergeCell ref="O352:P352"/>
    <mergeCell ref="Q352:R352"/>
    <mergeCell ref="S352:T352"/>
    <mergeCell ref="S351:T351"/>
    <mergeCell ref="C351:D351"/>
    <mergeCell ref="E351:F351"/>
    <mergeCell ref="G351:H351"/>
    <mergeCell ref="I351:J351"/>
    <mergeCell ref="K351:L351"/>
    <mergeCell ref="M351:N351"/>
    <mergeCell ref="O351:P351"/>
    <mergeCell ref="Q351:R351"/>
    <mergeCell ref="Q355:R355"/>
    <mergeCell ref="Q354:R354"/>
    <mergeCell ref="S354:T354"/>
    <mergeCell ref="C354:D354"/>
    <mergeCell ref="E354:F354"/>
    <mergeCell ref="G354:H354"/>
    <mergeCell ref="I354:J354"/>
    <mergeCell ref="K354:L354"/>
    <mergeCell ref="M354:N354"/>
    <mergeCell ref="O354:P354"/>
    <mergeCell ref="O353:P353"/>
    <mergeCell ref="Q353:R353"/>
    <mergeCell ref="S353:T353"/>
    <mergeCell ref="C353:D353"/>
    <mergeCell ref="E353:F353"/>
    <mergeCell ref="G353:H353"/>
    <mergeCell ref="I353:J353"/>
    <mergeCell ref="K353:L353"/>
    <mergeCell ref="M353:N353"/>
    <mergeCell ref="C505:D505"/>
    <mergeCell ref="C507:D507"/>
    <mergeCell ref="C509:D509"/>
    <mergeCell ref="C511:D511"/>
    <mergeCell ref="C521:D521"/>
    <mergeCell ref="A526:B526"/>
    <mergeCell ref="A527:B527"/>
    <mergeCell ref="A499:A522"/>
    <mergeCell ref="C499:D499"/>
    <mergeCell ref="C501:D501"/>
    <mergeCell ref="C503:D503"/>
    <mergeCell ref="M415:N415"/>
    <mergeCell ref="O415:P415"/>
    <mergeCell ref="Q415:R415"/>
    <mergeCell ref="S415:T415"/>
    <mergeCell ref="I406:J406"/>
    <mergeCell ref="K406:L406"/>
    <mergeCell ref="M406:N406"/>
    <mergeCell ref="L309:AC309"/>
    <mergeCell ref="L307:AC307"/>
    <mergeCell ref="L303:AC303"/>
    <mergeCell ref="L305:AC305"/>
    <mergeCell ref="L299:AC299"/>
    <mergeCell ref="L301:AC301"/>
    <mergeCell ref="L295:AC295"/>
    <mergeCell ref="L297:AC297"/>
    <mergeCell ref="O425:P425"/>
    <mergeCell ref="O426:P426"/>
    <mergeCell ref="A440:A441"/>
    <mergeCell ref="M425:N425"/>
    <mergeCell ref="Q425:R425"/>
    <mergeCell ref="S425:T425"/>
    <mergeCell ref="C425:D425"/>
    <mergeCell ref="E425:F425"/>
    <mergeCell ref="G425:H425"/>
    <mergeCell ref="U404:V404"/>
    <mergeCell ref="U403:V403"/>
    <mergeCell ref="U402:V402"/>
    <mergeCell ref="Q398:R398"/>
    <mergeCell ref="S398:T398"/>
    <mergeCell ref="S397:T397"/>
    <mergeCell ref="S384:T384"/>
    <mergeCell ref="I398:J398"/>
    <mergeCell ref="K398:L398"/>
    <mergeCell ref="M398:N398"/>
    <mergeCell ref="O398:P398"/>
    <mergeCell ref="A395:A397"/>
    <mergeCell ref="A392:A394"/>
    <mergeCell ref="A389:A391"/>
    <mergeCell ref="O355:P355"/>
    <mergeCell ref="L343:AC343"/>
    <mergeCell ref="L345:AC345"/>
    <mergeCell ref="L339:AC339"/>
    <mergeCell ref="L341:AC341"/>
    <mergeCell ref="L337:AC337"/>
    <mergeCell ref="L335:AC335"/>
    <mergeCell ref="L331:AC331"/>
    <mergeCell ref="L333:AC333"/>
    <mergeCell ref="L327:AC327"/>
    <mergeCell ref="L329:AC329"/>
    <mergeCell ref="L323:AC323"/>
    <mergeCell ref="L325:AC325"/>
    <mergeCell ref="L319:AC319"/>
    <mergeCell ref="L321:AC321"/>
    <mergeCell ref="L315:AC315"/>
    <mergeCell ref="L317:AC317"/>
    <mergeCell ref="L311:AC311"/>
    <mergeCell ref="L313:AC313"/>
    <mergeCell ref="AC349:AD349"/>
    <mergeCell ref="AC348:AD348"/>
    <mergeCell ref="AE348:AF348"/>
    <mergeCell ref="AG348:AH348"/>
    <mergeCell ref="AI348:AJ348"/>
    <mergeCell ref="AK348:AL348"/>
    <mergeCell ref="AM348:AN348"/>
    <mergeCell ref="AA352:AB352"/>
    <mergeCell ref="AC352:AD352"/>
    <mergeCell ref="AA351:AB351"/>
    <mergeCell ref="AC351:AD351"/>
    <mergeCell ref="AA350:AB350"/>
    <mergeCell ref="AC350:AD350"/>
    <mergeCell ref="AA349:AB349"/>
    <mergeCell ref="AA348:AB348"/>
    <mergeCell ref="W352:X352"/>
    <mergeCell ref="Y352:Z352"/>
    <mergeCell ref="W351:X351"/>
    <mergeCell ref="Y351:Z351"/>
    <mergeCell ref="W350:X350"/>
    <mergeCell ref="Y350:Z350"/>
    <mergeCell ref="Y349:Z349"/>
    <mergeCell ref="Y348:Z348"/>
    <mergeCell ref="W349:X349"/>
    <mergeCell ref="W348:X348"/>
    <mergeCell ref="L291:AC291"/>
    <mergeCell ref="L293:AC293"/>
    <mergeCell ref="L287:AC287"/>
    <mergeCell ref="L289:AC289"/>
    <mergeCell ref="L283:AC283"/>
    <mergeCell ref="L285:AC285"/>
    <mergeCell ref="L281:AC281"/>
    <mergeCell ref="L279:AC279"/>
    <mergeCell ref="L275:AC275"/>
    <mergeCell ref="L277:AC277"/>
    <mergeCell ref="L271:AC271"/>
    <mergeCell ref="L273:AC273"/>
    <mergeCell ref="L267:AC267"/>
    <mergeCell ref="L269:AC269"/>
    <mergeCell ref="L251:AC251"/>
    <mergeCell ref="L245:AC246"/>
    <mergeCell ref="L247:AC247"/>
    <mergeCell ref="L249:AC249"/>
    <mergeCell ref="L263:AC263"/>
    <mergeCell ref="L265:AC265"/>
    <mergeCell ref="L259:AC259"/>
    <mergeCell ref="L261:AC261"/>
    <mergeCell ref="L255:AC255"/>
    <mergeCell ref="L257:AC257"/>
    <mergeCell ref="L253:AC253"/>
    <mergeCell ref="AC353:AD353"/>
    <mergeCell ref="W353:X353"/>
    <mergeCell ref="Y353:Z353"/>
    <mergeCell ref="AA353:AB353"/>
    <mergeCell ref="AI352:AJ352"/>
    <mergeCell ref="AK352:AL352"/>
    <mergeCell ref="AM352:AN352"/>
    <mergeCell ref="AG351:AH351"/>
    <mergeCell ref="AE351:AF351"/>
    <mergeCell ref="AE350:AF350"/>
    <mergeCell ref="AG350:AH350"/>
    <mergeCell ref="AI350:AJ350"/>
    <mergeCell ref="AK350:AL350"/>
    <mergeCell ref="AM350:AN350"/>
    <mergeCell ref="AO350:AP350"/>
    <mergeCell ref="AE352:AF352"/>
    <mergeCell ref="AG352:AH352"/>
    <mergeCell ref="AI351:AJ351"/>
    <mergeCell ref="AK351:AL351"/>
    <mergeCell ref="AM351:AN351"/>
    <mergeCell ref="AO351:AP351"/>
    <mergeCell ref="AY348:AZ348"/>
    <mergeCell ref="AO348:AP348"/>
    <mergeCell ref="AQ348:AR348"/>
    <mergeCell ref="AS348:AT348"/>
    <mergeCell ref="AU348:AV348"/>
    <mergeCell ref="AW348:AX348"/>
    <mergeCell ref="AU354:AV354"/>
    <mergeCell ref="AW354:AX354"/>
    <mergeCell ref="AO354:AP354"/>
    <mergeCell ref="AO353:AP353"/>
    <mergeCell ref="AQ353:AR353"/>
    <mergeCell ref="AS353:AT353"/>
    <mergeCell ref="AU353:AV353"/>
    <mergeCell ref="AW353:AX353"/>
    <mergeCell ref="AY353:AZ353"/>
    <mergeCell ref="AE353:AF353"/>
    <mergeCell ref="AG353:AH353"/>
    <mergeCell ref="AI353:AJ353"/>
    <mergeCell ref="AK353:AL353"/>
    <mergeCell ref="AM353:AN353"/>
    <mergeCell ref="AO352:AP352"/>
    <mergeCell ref="AQ352:AR352"/>
    <mergeCell ref="AS352:AT352"/>
    <mergeCell ref="AQ351:AR351"/>
    <mergeCell ref="AE349:AF349"/>
    <mergeCell ref="AG349:AH349"/>
    <mergeCell ref="AI349:AJ349"/>
    <mergeCell ref="AK349:AL349"/>
    <mergeCell ref="AM349:AN349"/>
    <mergeCell ref="AO349:AP349"/>
    <mergeCell ref="AY349:AZ349"/>
    <mergeCell ref="AQ367:AR367"/>
    <mergeCell ref="AO367:AP367"/>
    <mergeCell ref="AS367:AT367"/>
    <mergeCell ref="AQ366:AR366"/>
    <mergeCell ref="AS366:AT366"/>
    <mergeCell ref="AU366:AV366"/>
    <mergeCell ref="AW366:AX366"/>
    <mergeCell ref="AY364:AZ364"/>
    <mergeCell ref="AO364:AP364"/>
    <mergeCell ref="AQ364:AR364"/>
    <mergeCell ref="AS364:AT364"/>
    <mergeCell ref="AU364:AV364"/>
    <mergeCell ref="AW364:AX364"/>
    <mergeCell ref="AY363:AZ363"/>
    <mergeCell ref="AW363:AX363"/>
    <mergeCell ref="AO365:AP365"/>
    <mergeCell ref="AQ365:AR365"/>
    <mergeCell ref="AO358:AP358"/>
    <mergeCell ref="AO356:AP356"/>
    <mergeCell ref="AQ356:AR356"/>
    <mergeCell ref="AQ349:AR349"/>
    <mergeCell ref="AS349:AT349"/>
    <mergeCell ref="AS354:AT354"/>
    <mergeCell ref="AY354:AZ354"/>
    <mergeCell ref="AU356:AV356"/>
    <mergeCell ref="AU352:AV352"/>
    <mergeCell ref="AW352:AX352"/>
    <mergeCell ref="AY352:AZ352"/>
    <mergeCell ref="AU351:AV351"/>
    <mergeCell ref="AW351:AX351"/>
    <mergeCell ref="AY351:AZ351"/>
    <mergeCell ref="AU349:AV349"/>
    <mergeCell ref="AW349:AX349"/>
    <mergeCell ref="AS351:AT351"/>
    <mergeCell ref="AQ350:AR350"/>
    <mergeCell ref="AS350:AT350"/>
    <mergeCell ref="AU350:AV350"/>
    <mergeCell ref="AW350:AX350"/>
    <mergeCell ref="AY350:AZ350"/>
    <mergeCell ref="AU410:AV410"/>
    <mergeCell ref="AW410:AX410"/>
    <mergeCell ref="AY410:AZ410"/>
    <mergeCell ref="AY409:AZ409"/>
    <mergeCell ref="AM409:AN409"/>
    <mergeCell ref="AW409:AX409"/>
    <mergeCell ref="AS360:AT360"/>
    <mergeCell ref="AS359:AT359"/>
    <mergeCell ref="AU359:AV359"/>
    <mergeCell ref="AW359:AX359"/>
    <mergeCell ref="AY359:AZ359"/>
    <mergeCell ref="AO359:AP359"/>
    <mergeCell ref="AS358:AT358"/>
    <mergeCell ref="AU358:AV358"/>
    <mergeCell ref="AW358:AX358"/>
    <mergeCell ref="AY358:AZ358"/>
    <mergeCell ref="AS357:AT357"/>
    <mergeCell ref="AY357:AZ357"/>
    <mergeCell ref="AU357:AV357"/>
    <mergeCell ref="AW357:AX357"/>
    <mergeCell ref="AU416:AV416"/>
    <mergeCell ref="AW416:AX416"/>
    <mergeCell ref="AS417:AT417"/>
    <mergeCell ref="AU417:AV417"/>
    <mergeCell ref="AW417:AX417"/>
    <mergeCell ref="AY417:AZ417"/>
    <mergeCell ref="AY416:AZ416"/>
    <mergeCell ref="AQ415:AR415"/>
    <mergeCell ref="AS415:AT415"/>
    <mergeCell ref="AY415:AZ415"/>
    <mergeCell ref="AU412:AV412"/>
    <mergeCell ref="AW412:AX412"/>
    <mergeCell ref="AY412:AZ412"/>
    <mergeCell ref="AQ411:AR411"/>
    <mergeCell ref="AS411:AT411"/>
    <mergeCell ref="AU411:AV411"/>
    <mergeCell ref="AW411:AX411"/>
    <mergeCell ref="AY411:AZ411"/>
    <mergeCell ref="AQ416:AR416"/>
    <mergeCell ref="AS416:AT416"/>
    <mergeCell ref="AQ414:AR414"/>
    <mergeCell ref="AS414:AT414"/>
    <mergeCell ref="AQ413:AR413"/>
    <mergeCell ref="AQ412:AR412"/>
    <mergeCell ref="AS412:AT412"/>
    <mergeCell ref="C415:D415"/>
    <mergeCell ref="E415:F415"/>
    <mergeCell ref="K415:L415"/>
    <mergeCell ref="W415:X415"/>
    <mergeCell ref="W414:X414"/>
    <mergeCell ref="Y414:Z414"/>
    <mergeCell ref="AA414:AB414"/>
    <mergeCell ref="AC414:AD414"/>
    <mergeCell ref="W418:X418"/>
    <mergeCell ref="W416:X416"/>
    <mergeCell ref="Y416:Z416"/>
    <mergeCell ref="AA416:AB416"/>
    <mergeCell ref="AA415:AB415"/>
    <mergeCell ref="AC415:AD415"/>
    <mergeCell ref="Y415:Z415"/>
    <mergeCell ref="AA413:AB413"/>
    <mergeCell ref="AC413:AD413"/>
    <mergeCell ref="C413:D413"/>
    <mergeCell ref="E413:F413"/>
    <mergeCell ref="G413:H413"/>
    <mergeCell ref="I413:J413"/>
    <mergeCell ref="K413:L413"/>
    <mergeCell ref="G415:H415"/>
    <mergeCell ref="I415:J415"/>
    <mergeCell ref="C414:D414"/>
    <mergeCell ref="E414:F414"/>
    <mergeCell ref="G414:H414"/>
    <mergeCell ref="I414:J414"/>
    <mergeCell ref="K414:L414"/>
    <mergeCell ref="W411:X411"/>
    <mergeCell ref="Y411:Z411"/>
    <mergeCell ref="AA411:AB411"/>
    <mergeCell ref="AC408:AD408"/>
    <mergeCell ref="AE408:AF408"/>
    <mergeCell ref="AC409:AD409"/>
    <mergeCell ref="AE409:AF409"/>
    <mergeCell ref="AG409:AH409"/>
    <mergeCell ref="AI409:AJ409"/>
    <mergeCell ref="AK409:AL409"/>
    <mergeCell ref="AI408:AJ408"/>
    <mergeCell ref="AK408:AL408"/>
    <mergeCell ref="AG408:AH408"/>
    <mergeCell ref="Y420:Z420"/>
    <mergeCell ref="AA420:AB420"/>
    <mergeCell ref="Y418:Z418"/>
    <mergeCell ref="AA418:AB418"/>
    <mergeCell ref="AC418:AD418"/>
    <mergeCell ref="W419:X419"/>
    <mergeCell ref="AC419:AD419"/>
    <mergeCell ref="Y419:Z419"/>
    <mergeCell ref="AA419:AB419"/>
    <mergeCell ref="E411:F411"/>
    <mergeCell ref="G411:H411"/>
    <mergeCell ref="I411:J411"/>
    <mergeCell ref="K411:L411"/>
    <mergeCell ref="M414:N414"/>
    <mergeCell ref="A412:A414"/>
    <mergeCell ref="C412:D412"/>
    <mergeCell ref="E412:F412"/>
    <mergeCell ref="G412:H412"/>
    <mergeCell ref="I412:J412"/>
    <mergeCell ref="K412:L412"/>
    <mergeCell ref="M411:N411"/>
    <mergeCell ref="O411:P411"/>
    <mergeCell ref="M412:N412"/>
    <mergeCell ref="O412:P412"/>
    <mergeCell ref="Q411:R411"/>
    <mergeCell ref="S411:T411"/>
    <mergeCell ref="AW413:AX413"/>
    <mergeCell ref="AY413:AZ413"/>
    <mergeCell ref="AU415:AV415"/>
    <mergeCell ref="AW415:AX415"/>
    <mergeCell ref="AU414:AV414"/>
    <mergeCell ref="AW414:AX414"/>
    <mergeCell ref="AY414:AZ414"/>
    <mergeCell ref="AS413:AT413"/>
    <mergeCell ref="AU413:AV413"/>
    <mergeCell ref="O414:P414"/>
    <mergeCell ref="Q414:R414"/>
    <mergeCell ref="S414:T414"/>
    <mergeCell ref="S413:T413"/>
    <mergeCell ref="W413:X413"/>
    <mergeCell ref="Y413:Z413"/>
    <mergeCell ref="Q413:R413"/>
    <mergeCell ref="M413:N413"/>
    <mergeCell ref="O413:P413"/>
    <mergeCell ref="AW422:AX422"/>
    <mergeCell ref="AU423:AV423"/>
    <mergeCell ref="AW423:AX423"/>
    <mergeCell ref="AW421:AX421"/>
    <mergeCell ref="AY421:AZ421"/>
    <mergeCell ref="AW420:AX420"/>
    <mergeCell ref="AY420:AZ420"/>
    <mergeCell ref="AW419:AX419"/>
    <mergeCell ref="AY419:AZ419"/>
    <mergeCell ref="AW427:AX427"/>
    <mergeCell ref="AW426:AX426"/>
    <mergeCell ref="AY426:AZ426"/>
    <mergeCell ref="AW425:AX425"/>
    <mergeCell ref="AY425:AZ425"/>
    <mergeCell ref="AY422:AZ422"/>
    <mergeCell ref="AY423:AZ423"/>
    <mergeCell ref="AS418:AT418"/>
    <mergeCell ref="AU418:AV418"/>
    <mergeCell ref="AW418:AX418"/>
    <mergeCell ref="AY418:AZ418"/>
    <mergeCell ref="AS422:AT422"/>
    <mergeCell ref="AS421:AT421"/>
    <mergeCell ref="AU421:AV421"/>
    <mergeCell ref="AU420:AV420"/>
    <mergeCell ref="AS420:AT420"/>
    <mergeCell ref="AS419:AT419"/>
    <mergeCell ref="AU419:AV419"/>
    <mergeCell ref="AQ417:AR417"/>
    <mergeCell ref="AM417:AN417"/>
    <mergeCell ref="AQ418:AR418"/>
    <mergeCell ref="AM418:AN418"/>
    <mergeCell ref="AI421:AJ421"/>
    <mergeCell ref="AI420:AJ420"/>
    <mergeCell ref="AK420:AL420"/>
    <mergeCell ref="AM420:AN420"/>
    <mergeCell ref="AO420:AP420"/>
    <mergeCell ref="AQ420:AR420"/>
    <mergeCell ref="AO418:AP418"/>
    <mergeCell ref="AQ419:AR419"/>
    <mergeCell ref="AC417:AD417"/>
    <mergeCell ref="W417:X417"/>
    <mergeCell ref="Y417:Z417"/>
    <mergeCell ref="AA417:AB417"/>
    <mergeCell ref="AU422:AV422"/>
    <mergeCell ref="AK422:AL422"/>
    <mergeCell ref="AK423:AL423"/>
    <mergeCell ref="AG423:AH423"/>
    <mergeCell ref="AI423:AJ423"/>
    <mergeCell ref="AO421:AP421"/>
    <mergeCell ref="AQ421:AR421"/>
    <mergeCell ref="AG421:AH421"/>
    <mergeCell ref="AK421:AL421"/>
    <mergeCell ref="AM421:AN421"/>
    <mergeCell ref="AC423:AD423"/>
    <mergeCell ref="AC421:AD421"/>
    <mergeCell ref="AE421:AF421"/>
    <mergeCell ref="W421:X421"/>
    <mergeCell ref="Y421:Z421"/>
    <mergeCell ref="AA421:AB421"/>
    <mergeCell ref="W420:X420"/>
    <mergeCell ref="AI419:AJ419"/>
    <mergeCell ref="AK419:AL419"/>
    <mergeCell ref="AM419:AN419"/>
    <mergeCell ref="AO419:AP419"/>
    <mergeCell ref="AM426:AN426"/>
    <mergeCell ref="AU425:AV425"/>
    <mergeCell ref="W424:X424"/>
    <mergeCell ref="Y424:Z424"/>
    <mergeCell ref="AA424:AB424"/>
    <mergeCell ref="AS424:AT424"/>
    <mergeCell ref="AU424:AV424"/>
    <mergeCell ref="AW424:AX424"/>
    <mergeCell ref="AY424:AZ424"/>
    <mergeCell ref="AM424:AN424"/>
    <mergeCell ref="AO424:AP424"/>
    <mergeCell ref="AQ424:AR424"/>
    <mergeCell ref="AQ423:AR423"/>
    <mergeCell ref="AS423:AT423"/>
    <mergeCell ref="AM423:AN423"/>
    <mergeCell ref="AO423:AP423"/>
    <mergeCell ref="AE424:AF424"/>
    <mergeCell ref="AE423:AF423"/>
    <mergeCell ref="AK425:AL425"/>
    <mergeCell ref="AG424:AH424"/>
    <mergeCell ref="AI424:AJ424"/>
    <mergeCell ref="AK424:AL424"/>
    <mergeCell ref="AC424:AD424"/>
    <mergeCell ref="A432:A433"/>
    <mergeCell ref="B432:B433"/>
    <mergeCell ref="AO428:AP428"/>
    <mergeCell ref="AO426:AP426"/>
    <mergeCell ref="AQ426:AR426"/>
    <mergeCell ref="AS426:AT426"/>
    <mergeCell ref="AU426:AV426"/>
    <mergeCell ref="AI426:AJ426"/>
    <mergeCell ref="AI425:AJ425"/>
    <mergeCell ref="AC425:AD425"/>
    <mergeCell ref="AE425:AF425"/>
    <mergeCell ref="AG425:AH425"/>
    <mergeCell ref="AC426:AD426"/>
    <mergeCell ref="AE426:AF426"/>
    <mergeCell ref="AG426:AH426"/>
    <mergeCell ref="AA426:AB426"/>
    <mergeCell ref="AM429:AN429"/>
    <mergeCell ref="AO429:AP429"/>
    <mergeCell ref="AS428:AT428"/>
    <mergeCell ref="AU428:AV428"/>
    <mergeCell ref="AM428:AN428"/>
    <mergeCell ref="AQ427:AR427"/>
    <mergeCell ref="AS427:AT427"/>
    <mergeCell ref="AU427:AV427"/>
    <mergeCell ref="AM427:AN427"/>
    <mergeCell ref="AQ428:AR428"/>
    <mergeCell ref="AO427:AP427"/>
    <mergeCell ref="AM425:AN425"/>
    <mergeCell ref="AO425:AP425"/>
    <mergeCell ref="AQ425:AR425"/>
    <mergeCell ref="AS425:AT425"/>
    <mergeCell ref="AK426:AL426"/>
    <mergeCell ref="AS429:AT429"/>
    <mergeCell ref="AU429:AV429"/>
    <mergeCell ref="AW429:AX429"/>
    <mergeCell ref="AY429:AZ429"/>
    <mergeCell ref="AI429:AJ429"/>
    <mergeCell ref="AK429:AL429"/>
    <mergeCell ref="AQ429:AR429"/>
    <mergeCell ref="AG428:AH428"/>
    <mergeCell ref="AI428:AJ428"/>
    <mergeCell ref="AK428:AL428"/>
    <mergeCell ref="AA428:AB428"/>
    <mergeCell ref="AC428:AD428"/>
    <mergeCell ref="AC427:AD427"/>
    <mergeCell ref="AE427:AF427"/>
    <mergeCell ref="AG427:AH427"/>
    <mergeCell ref="AI427:AJ427"/>
    <mergeCell ref="AK427:AL427"/>
    <mergeCell ref="AA427:AB427"/>
    <mergeCell ref="AG429:AH429"/>
    <mergeCell ref="AA429:AB429"/>
    <mergeCell ref="AC429:AD429"/>
    <mergeCell ref="AE429:AF429"/>
    <mergeCell ref="AE428:AF428"/>
    <mergeCell ref="AW428:AX428"/>
    <mergeCell ref="AY428:AZ428"/>
    <mergeCell ref="AY427:AZ427"/>
    <mergeCell ref="C466:D466"/>
    <mergeCell ref="C468:D468"/>
    <mergeCell ref="C470:D470"/>
    <mergeCell ref="O410:P410"/>
    <mergeCell ref="Q410:R410"/>
    <mergeCell ref="C406:D406"/>
    <mergeCell ref="C410:D410"/>
    <mergeCell ref="E410:F410"/>
    <mergeCell ref="G410:H410"/>
    <mergeCell ref="I410:J410"/>
    <mergeCell ref="K410:L410"/>
    <mergeCell ref="M410:N410"/>
    <mergeCell ref="M409:N409"/>
    <mergeCell ref="O409:P409"/>
    <mergeCell ref="Q409:R409"/>
    <mergeCell ref="Y397:Z397"/>
    <mergeCell ref="AA397:AB397"/>
    <mergeCell ref="W400:X400"/>
    <mergeCell ref="Y400:Z400"/>
    <mergeCell ref="AA400:AB400"/>
    <mergeCell ref="W398:X398"/>
    <mergeCell ref="Y398:Z398"/>
    <mergeCell ref="AA398:AB398"/>
    <mergeCell ref="W397:X397"/>
    <mergeCell ref="W429:X429"/>
    <mergeCell ref="Y429:Z429"/>
    <mergeCell ref="Q412:R412"/>
    <mergeCell ref="S412:T412"/>
    <mergeCell ref="W412:X412"/>
    <mergeCell ref="Y412:Z412"/>
    <mergeCell ref="AA412:AB412"/>
    <mergeCell ref="C411:D411"/>
    <mergeCell ref="C429:D429"/>
    <mergeCell ref="E429:F429"/>
    <mergeCell ref="G429:H429"/>
    <mergeCell ref="I429:J429"/>
    <mergeCell ref="K429:L429"/>
    <mergeCell ref="M429:N429"/>
    <mergeCell ref="Q428:R428"/>
    <mergeCell ref="S428:T428"/>
    <mergeCell ref="C492:D492"/>
    <mergeCell ref="C493:D493"/>
    <mergeCell ref="B490:B491"/>
    <mergeCell ref="B477:B478"/>
    <mergeCell ref="A466:A467"/>
    <mergeCell ref="A468:A469"/>
    <mergeCell ref="A470:A471"/>
    <mergeCell ref="A460:A461"/>
    <mergeCell ref="A462:A463"/>
    <mergeCell ref="A464:A465"/>
    <mergeCell ref="A456:A457"/>
    <mergeCell ref="C456:D456"/>
    <mergeCell ref="A458:A459"/>
    <mergeCell ref="C458:D458"/>
    <mergeCell ref="G428:H428"/>
    <mergeCell ref="I428:J428"/>
    <mergeCell ref="A436:A437"/>
    <mergeCell ref="A438:A439"/>
    <mergeCell ref="A434:A435"/>
    <mergeCell ref="A427:A429"/>
    <mergeCell ref="C432:D432"/>
    <mergeCell ref="C428:D428"/>
    <mergeCell ref="E428:F428"/>
    <mergeCell ref="C477:D477"/>
    <mergeCell ref="AA408:AB408"/>
    <mergeCell ref="Y406:Z406"/>
    <mergeCell ref="AA406:AB406"/>
    <mergeCell ref="W407:X407"/>
    <mergeCell ref="W405:X405"/>
    <mergeCell ref="Y405:Z405"/>
    <mergeCell ref="Y390:Z390"/>
    <mergeCell ref="AA390:AB390"/>
    <mergeCell ref="A479:A480"/>
    <mergeCell ref="A472:A473"/>
    <mergeCell ref="A474:A475"/>
    <mergeCell ref="A477:A478"/>
    <mergeCell ref="A406:A408"/>
    <mergeCell ref="A409:A411"/>
    <mergeCell ref="A492:A495"/>
    <mergeCell ref="A496:A497"/>
    <mergeCell ref="A485:A486"/>
    <mergeCell ref="A487:A488"/>
    <mergeCell ref="A490:A491"/>
    <mergeCell ref="A481:A482"/>
    <mergeCell ref="A483:A484"/>
    <mergeCell ref="C494:D494"/>
    <mergeCell ref="C496:D496"/>
    <mergeCell ref="C485:D485"/>
    <mergeCell ref="C487:D487"/>
    <mergeCell ref="C490:D490"/>
    <mergeCell ref="C479:D479"/>
    <mergeCell ref="C481:D481"/>
    <mergeCell ref="C483:D483"/>
    <mergeCell ref="C472:D472"/>
    <mergeCell ref="C474:D474"/>
    <mergeCell ref="C460:D460"/>
    <mergeCell ref="W391:X391"/>
    <mergeCell ref="Y391:Z391"/>
    <mergeCell ref="W393:X393"/>
    <mergeCell ref="Y393:Z393"/>
    <mergeCell ref="AA393:AB393"/>
    <mergeCell ref="W392:X392"/>
    <mergeCell ref="Y392:Z392"/>
    <mergeCell ref="AA392:AB392"/>
    <mergeCell ref="W390:X390"/>
    <mergeCell ref="AA391:AB391"/>
    <mergeCell ref="W423:X423"/>
    <mergeCell ref="Y423:Z423"/>
    <mergeCell ref="AA423:AB423"/>
    <mergeCell ref="W428:X428"/>
    <mergeCell ref="Y428:Z428"/>
    <mergeCell ref="W427:X427"/>
    <mergeCell ref="Y427:Z427"/>
    <mergeCell ref="W425:X425"/>
    <mergeCell ref="Y425:Z425"/>
    <mergeCell ref="AA425:AB425"/>
    <mergeCell ref="W426:X426"/>
    <mergeCell ref="Y426:Z426"/>
    <mergeCell ref="Y409:Z409"/>
    <mergeCell ref="W410:X410"/>
    <mergeCell ref="Y410:Z410"/>
    <mergeCell ref="AA410:AB410"/>
    <mergeCell ref="AA409:AB409"/>
    <mergeCell ref="Y407:Z407"/>
    <mergeCell ref="AA407:AB407"/>
    <mergeCell ref="W409:X409"/>
    <mergeCell ref="W408:X408"/>
    <mergeCell ref="Y408:Z408"/>
    <mergeCell ref="W406:X406"/>
    <mergeCell ref="W404:X404"/>
    <mergeCell ref="Y404:Z404"/>
    <mergeCell ref="AA404:AB404"/>
    <mergeCell ref="AA403:AB403"/>
    <mergeCell ref="Y403:Z403"/>
    <mergeCell ref="AA405:AB405"/>
    <mergeCell ref="W403:X403"/>
    <mergeCell ref="W402:X402"/>
    <mergeCell ref="Y402:Z402"/>
    <mergeCell ref="AA402:AB402"/>
    <mergeCell ref="W401:X401"/>
    <mergeCell ref="Y401:Z401"/>
    <mergeCell ref="AA401:AB401"/>
    <mergeCell ref="Y394:Z394"/>
    <mergeCell ref="AA394:AB394"/>
    <mergeCell ref="W396:X396"/>
    <mergeCell ref="Y396:Z396"/>
    <mergeCell ref="AA396:AB396"/>
    <mergeCell ref="W395:X395"/>
    <mergeCell ref="Y395:Z395"/>
    <mergeCell ref="AA395:AB395"/>
    <mergeCell ref="W394:X394"/>
    <mergeCell ref="U385:V385"/>
    <mergeCell ref="U389:V389"/>
    <mergeCell ref="U398:V398"/>
    <mergeCell ref="C517:D517"/>
    <mergeCell ref="C519:D519"/>
    <mergeCell ref="S393:T393"/>
    <mergeCell ref="G390:H390"/>
    <mergeCell ref="K386:L386"/>
    <mergeCell ref="M386:N386"/>
    <mergeCell ref="O386:P386"/>
    <mergeCell ref="Q386:R386"/>
    <mergeCell ref="S386:T386"/>
    <mergeCell ref="S385:T385"/>
    <mergeCell ref="C385:D385"/>
    <mergeCell ref="E385:F385"/>
    <mergeCell ref="G385:H385"/>
    <mergeCell ref="I385:J385"/>
    <mergeCell ref="K385:L385"/>
    <mergeCell ref="M385:N385"/>
    <mergeCell ref="O385:P385"/>
    <mergeCell ref="Q385:R385"/>
    <mergeCell ref="C513:D513"/>
    <mergeCell ref="C515:D515"/>
    <mergeCell ref="C462:D462"/>
    <mergeCell ref="C464:D464"/>
    <mergeCell ref="C454:D454"/>
    <mergeCell ref="C448:D448"/>
    <mergeCell ref="C450:D450"/>
    <mergeCell ref="C452:D452"/>
    <mergeCell ref="C442:D442"/>
    <mergeCell ref="C444:D444"/>
    <mergeCell ref="C446:D446"/>
    <mergeCell ref="U387:V387"/>
    <mergeCell ref="C387:D387"/>
    <mergeCell ref="E387:F387"/>
    <mergeCell ref="G387:H387"/>
    <mergeCell ref="I387:J387"/>
    <mergeCell ref="K387:L387"/>
    <mergeCell ref="C386:D386"/>
    <mergeCell ref="E386:F386"/>
    <mergeCell ref="G386:H386"/>
    <mergeCell ref="I386:J386"/>
    <mergeCell ref="S409:T409"/>
    <mergeCell ref="E407:F407"/>
    <mergeCell ref="G407:H407"/>
    <mergeCell ref="I407:J407"/>
    <mergeCell ref="K407:L407"/>
    <mergeCell ref="M407:N407"/>
    <mergeCell ref="G409:H409"/>
    <mergeCell ref="S407:T407"/>
    <mergeCell ref="Q390:R390"/>
    <mergeCell ref="S390:T390"/>
    <mergeCell ref="S391:T391"/>
    <mergeCell ref="I390:J390"/>
    <mergeCell ref="K390:L390"/>
    <mergeCell ref="M390:N390"/>
    <mergeCell ref="O390:P390"/>
    <mergeCell ref="M387:N387"/>
    <mergeCell ref="O387:P387"/>
    <mergeCell ref="Q387:R387"/>
    <mergeCell ref="S387:T387"/>
    <mergeCell ref="C389:D389"/>
    <mergeCell ref="E389:F389"/>
    <mergeCell ref="G389:H389"/>
    <mergeCell ref="I389:J389"/>
    <mergeCell ref="K389:L389"/>
    <mergeCell ref="M389:N389"/>
    <mergeCell ref="C390:D390"/>
    <mergeCell ref="E390:F390"/>
    <mergeCell ref="S392:T392"/>
    <mergeCell ref="K392:L392"/>
    <mergeCell ref="M392:N392"/>
    <mergeCell ref="O392:P392"/>
    <mergeCell ref="Q392:R392"/>
    <mergeCell ref="C393:D393"/>
    <mergeCell ref="E393:F393"/>
    <mergeCell ref="G393:H393"/>
    <mergeCell ref="I393:J393"/>
    <mergeCell ref="K393:L393"/>
    <mergeCell ref="M393:N393"/>
    <mergeCell ref="O393:P393"/>
    <mergeCell ref="Q393:R393"/>
    <mergeCell ref="C391:D391"/>
    <mergeCell ref="E391:F391"/>
    <mergeCell ref="G391:H391"/>
    <mergeCell ref="I391:J391"/>
    <mergeCell ref="K391:L391"/>
    <mergeCell ref="M391:N391"/>
    <mergeCell ref="O391:P391"/>
    <mergeCell ref="Q391:R391"/>
    <mergeCell ref="O395:P395"/>
    <mergeCell ref="Q395:R395"/>
    <mergeCell ref="S395:T395"/>
    <mergeCell ref="U395:V395"/>
    <mergeCell ref="C395:D395"/>
    <mergeCell ref="E395:F395"/>
    <mergeCell ref="G395:H395"/>
    <mergeCell ref="I395:J395"/>
    <mergeCell ref="K395:L395"/>
    <mergeCell ref="M395:N395"/>
    <mergeCell ref="O394:P394"/>
    <mergeCell ref="Q394:R394"/>
    <mergeCell ref="S394:T394"/>
    <mergeCell ref="C394:D394"/>
    <mergeCell ref="E394:F394"/>
    <mergeCell ref="G394:H394"/>
    <mergeCell ref="I394:J394"/>
    <mergeCell ref="K394:L394"/>
    <mergeCell ref="M394:N394"/>
    <mergeCell ref="E406:F406"/>
    <mergeCell ref="G406:H406"/>
    <mergeCell ref="G397:H397"/>
    <mergeCell ref="I397:J397"/>
    <mergeCell ref="K397:L397"/>
    <mergeCell ref="M397:N397"/>
    <mergeCell ref="O397:P397"/>
    <mergeCell ref="Q397:R397"/>
    <mergeCell ref="Q396:R396"/>
    <mergeCell ref="S396:T396"/>
    <mergeCell ref="C396:D396"/>
    <mergeCell ref="E396:F396"/>
    <mergeCell ref="G396:H396"/>
    <mergeCell ref="I396:J396"/>
    <mergeCell ref="K396:L396"/>
    <mergeCell ref="M396:N396"/>
    <mergeCell ref="O396:P396"/>
    <mergeCell ref="A415:A416"/>
    <mergeCell ref="A454:A455"/>
    <mergeCell ref="A448:A449"/>
    <mergeCell ref="A450:A451"/>
    <mergeCell ref="A452:A453"/>
    <mergeCell ref="A442:A443"/>
    <mergeCell ref="A444:A445"/>
    <mergeCell ref="A446:A447"/>
    <mergeCell ref="O407:P407"/>
    <mergeCell ref="Q407:R407"/>
    <mergeCell ref="C409:D409"/>
    <mergeCell ref="E409:F409"/>
    <mergeCell ref="I409:J409"/>
    <mergeCell ref="K409:L409"/>
    <mergeCell ref="S410:T410"/>
    <mergeCell ref="I408:J408"/>
    <mergeCell ref="K408:L408"/>
    <mergeCell ref="M408:N408"/>
    <mergeCell ref="O408:P408"/>
    <mergeCell ref="Q408:R408"/>
    <mergeCell ref="S408:T408"/>
    <mergeCell ref="C407:D407"/>
    <mergeCell ref="C408:D408"/>
    <mergeCell ref="E408:F408"/>
    <mergeCell ref="G408:H408"/>
    <mergeCell ref="C436:D436"/>
    <mergeCell ref="C438:D438"/>
    <mergeCell ref="C440:D440"/>
    <mergeCell ref="C434:D434"/>
    <mergeCell ref="O429:P429"/>
    <mergeCell ref="Q429:R429"/>
    <mergeCell ref="S429:T429"/>
    <mergeCell ref="O417:P417"/>
    <mergeCell ref="Q417:R417"/>
    <mergeCell ref="S417:T417"/>
    <mergeCell ref="Q416:R416"/>
    <mergeCell ref="S416:T416"/>
    <mergeCell ref="C417:D417"/>
    <mergeCell ref="E417:F417"/>
    <mergeCell ref="G417:H417"/>
    <mergeCell ref="I417:J417"/>
    <mergeCell ref="K417:L417"/>
    <mergeCell ref="M417:N417"/>
    <mergeCell ref="O416:P416"/>
    <mergeCell ref="C416:D416"/>
    <mergeCell ref="E416:F416"/>
    <mergeCell ref="G416:H416"/>
    <mergeCell ref="I416:J416"/>
    <mergeCell ref="K416:L416"/>
    <mergeCell ref="M416:N416"/>
    <mergeCell ref="S420:T420"/>
    <mergeCell ref="S421:T421"/>
    <mergeCell ref="Q419:R419"/>
    <mergeCell ref="Q418:R418"/>
    <mergeCell ref="I418:J418"/>
    <mergeCell ref="K418:L418"/>
    <mergeCell ref="M418:N418"/>
    <mergeCell ref="O418:P418"/>
    <mergeCell ref="C419:D419"/>
    <mergeCell ref="E419:F419"/>
    <mergeCell ref="G419:H419"/>
    <mergeCell ref="I419:J419"/>
    <mergeCell ref="K419:L419"/>
    <mergeCell ref="M419:N419"/>
    <mergeCell ref="O419:P419"/>
    <mergeCell ref="S418:T418"/>
    <mergeCell ref="S419:T419"/>
    <mergeCell ref="C418:D418"/>
    <mergeCell ref="E418:F418"/>
    <mergeCell ref="G418:H418"/>
    <mergeCell ref="O421:P421"/>
    <mergeCell ref="Q421:R421"/>
    <mergeCell ref="I420:J420"/>
    <mergeCell ref="C421:D421"/>
    <mergeCell ref="E421:F421"/>
    <mergeCell ref="G421:H421"/>
    <mergeCell ref="I421:J421"/>
    <mergeCell ref="C420:D420"/>
    <mergeCell ref="E420:F420"/>
    <mergeCell ref="G420:H420"/>
    <mergeCell ref="K421:L421"/>
    <mergeCell ref="M421:N421"/>
    <mergeCell ref="A422:A426"/>
    <mergeCell ref="K420:L420"/>
    <mergeCell ref="M420:N420"/>
    <mergeCell ref="O420:P420"/>
    <mergeCell ref="Q420:R420"/>
    <mergeCell ref="A417:A421"/>
    <mergeCell ref="O423:P423"/>
    <mergeCell ref="C424:D424"/>
    <mergeCell ref="E424:F424"/>
    <mergeCell ref="G424:H424"/>
    <mergeCell ref="I424:J424"/>
    <mergeCell ref="K424:L424"/>
    <mergeCell ref="M424:N424"/>
    <mergeCell ref="O424:P424"/>
    <mergeCell ref="I422:J422"/>
    <mergeCell ref="K422:L422"/>
    <mergeCell ref="S423:T423"/>
    <mergeCell ref="S424:T424"/>
    <mergeCell ref="O422:P422"/>
    <mergeCell ref="Q422:R422"/>
    <mergeCell ref="C422:D422"/>
    <mergeCell ref="E422:F422"/>
    <mergeCell ref="G422:H422"/>
    <mergeCell ref="M422:N422"/>
    <mergeCell ref="A161:A162"/>
    <mergeCell ref="A155:A156"/>
    <mergeCell ref="K428:L428"/>
    <mergeCell ref="M428:N428"/>
    <mergeCell ref="O428:P428"/>
    <mergeCell ref="O427:P427"/>
    <mergeCell ref="Q427:R427"/>
    <mergeCell ref="S427:T427"/>
    <mergeCell ref="Q426:R426"/>
    <mergeCell ref="S426:T426"/>
    <mergeCell ref="C427:D427"/>
    <mergeCell ref="E427:F427"/>
    <mergeCell ref="C426:D426"/>
    <mergeCell ref="E426:F426"/>
    <mergeCell ref="G427:H427"/>
    <mergeCell ref="I427:J427"/>
    <mergeCell ref="G426:H426"/>
    <mergeCell ref="I426:J426"/>
    <mergeCell ref="K427:L427"/>
    <mergeCell ref="M427:N427"/>
    <mergeCell ref="I425:J425"/>
    <mergeCell ref="K425:L425"/>
    <mergeCell ref="K426:L426"/>
    <mergeCell ref="M426:N426"/>
    <mergeCell ref="Q424:R424"/>
    <mergeCell ref="Q423:R423"/>
    <mergeCell ref="C423:D423"/>
    <mergeCell ref="E423:F423"/>
    <mergeCell ref="G423:H423"/>
    <mergeCell ref="I423:J423"/>
    <mergeCell ref="K423:L423"/>
    <mergeCell ref="M423:N423"/>
    <mergeCell ref="A273:A274"/>
    <mergeCell ref="A267:A268"/>
    <mergeCell ref="A269:A270"/>
    <mergeCell ref="A263:A264"/>
    <mergeCell ref="A265:A266"/>
    <mergeCell ref="A259:A260"/>
    <mergeCell ref="A261:A262"/>
    <mergeCell ref="A257:A258"/>
    <mergeCell ref="A255:A256"/>
    <mergeCell ref="A251:A252"/>
    <mergeCell ref="A253:A254"/>
    <mergeCell ref="A247:A248"/>
    <mergeCell ref="A249:A250"/>
    <mergeCell ref="A243:A244"/>
    <mergeCell ref="A245:A246"/>
    <mergeCell ref="A241:A242"/>
    <mergeCell ref="A235:A236"/>
    <mergeCell ref="A237:A238"/>
    <mergeCell ref="A239:A240"/>
    <mergeCell ref="A157:A158"/>
    <mergeCell ref="A151:A152"/>
    <mergeCell ref="A153:A154"/>
    <mergeCell ref="C151:D151"/>
    <mergeCell ref="C153:D153"/>
    <mergeCell ref="C161:D161"/>
    <mergeCell ref="C155:D155"/>
    <mergeCell ref="B157:B158"/>
    <mergeCell ref="C157:D157"/>
    <mergeCell ref="A159:A160"/>
    <mergeCell ref="C159:D159"/>
    <mergeCell ref="C149:D149"/>
    <mergeCell ref="A319:A320"/>
    <mergeCell ref="A315:A316"/>
    <mergeCell ref="A317:A318"/>
    <mergeCell ref="A311:A312"/>
    <mergeCell ref="A313:A314"/>
    <mergeCell ref="A307:A308"/>
    <mergeCell ref="A309:A310"/>
    <mergeCell ref="A295:A296"/>
    <mergeCell ref="A297:A298"/>
    <mergeCell ref="A291:A292"/>
    <mergeCell ref="A293:A294"/>
    <mergeCell ref="A287:A288"/>
    <mergeCell ref="A289:A290"/>
    <mergeCell ref="A285:A286"/>
    <mergeCell ref="A283:A284"/>
    <mergeCell ref="A279:A280"/>
    <mergeCell ref="A281:A282"/>
    <mergeCell ref="A275:A276"/>
    <mergeCell ref="A277:A278"/>
    <mergeCell ref="A271:A272"/>
    <mergeCell ref="C241:D241"/>
    <mergeCell ref="C243:D243"/>
    <mergeCell ref="C235:D235"/>
    <mergeCell ref="C237:D237"/>
    <mergeCell ref="C239:D239"/>
    <mergeCell ref="C229:D229"/>
    <mergeCell ref="B231:B232"/>
    <mergeCell ref="A221:A228"/>
    <mergeCell ref="A211:A212"/>
    <mergeCell ref="A213:A220"/>
    <mergeCell ref="A201:A202"/>
    <mergeCell ref="A204:A205"/>
    <mergeCell ref="A206:A210"/>
    <mergeCell ref="A195:A196"/>
    <mergeCell ref="A197:A198"/>
    <mergeCell ref="A199:A200"/>
    <mergeCell ref="A163:A167"/>
    <mergeCell ref="C163:D163"/>
    <mergeCell ref="C164:D164"/>
    <mergeCell ref="C165:D165"/>
    <mergeCell ref="C166:D166"/>
    <mergeCell ref="A229:A230"/>
    <mergeCell ref="A231:A232"/>
    <mergeCell ref="A233:A234"/>
    <mergeCell ref="A188:A192"/>
    <mergeCell ref="A193:A194"/>
    <mergeCell ref="A186:A187"/>
    <mergeCell ref="A168:A169"/>
    <mergeCell ref="A170:A185"/>
    <mergeCell ref="B271:C271"/>
    <mergeCell ref="B273:C273"/>
    <mergeCell ref="B267:C267"/>
    <mergeCell ref="B269:C269"/>
    <mergeCell ref="B263:C263"/>
    <mergeCell ref="B265:C265"/>
    <mergeCell ref="B261:C261"/>
    <mergeCell ref="D255:K255"/>
    <mergeCell ref="D257:K257"/>
    <mergeCell ref="D251:K251"/>
    <mergeCell ref="D253:K253"/>
    <mergeCell ref="D247:K247"/>
    <mergeCell ref="D249:K249"/>
    <mergeCell ref="D245:K246"/>
    <mergeCell ref="D271:K271"/>
    <mergeCell ref="D267:K267"/>
    <mergeCell ref="D269:K269"/>
    <mergeCell ref="D263:K263"/>
    <mergeCell ref="D265:K265"/>
    <mergeCell ref="D259:K259"/>
    <mergeCell ref="D261:K261"/>
    <mergeCell ref="B259:C259"/>
    <mergeCell ref="B255:C255"/>
    <mergeCell ref="B257:C257"/>
    <mergeCell ref="B251:C251"/>
    <mergeCell ref="B253:C253"/>
    <mergeCell ref="B247:C247"/>
    <mergeCell ref="B249:C249"/>
    <mergeCell ref="B245:C246"/>
    <mergeCell ref="B283:C283"/>
    <mergeCell ref="B279:C279"/>
    <mergeCell ref="B281:C281"/>
    <mergeCell ref="B287:C287"/>
    <mergeCell ref="D287:K287"/>
    <mergeCell ref="B289:C289"/>
    <mergeCell ref="D289:K289"/>
    <mergeCell ref="D283:K283"/>
    <mergeCell ref="B285:C285"/>
    <mergeCell ref="D285:K285"/>
    <mergeCell ref="D279:K279"/>
    <mergeCell ref="D281:K281"/>
    <mergeCell ref="B275:C275"/>
    <mergeCell ref="D275:K275"/>
    <mergeCell ref="B277:C277"/>
    <mergeCell ref="D277:K277"/>
    <mergeCell ref="D273:K273"/>
    <mergeCell ref="A327:A328"/>
    <mergeCell ref="B327:C327"/>
    <mergeCell ref="D327:K327"/>
    <mergeCell ref="D329:K329"/>
    <mergeCell ref="A325:A326"/>
    <mergeCell ref="B325:C325"/>
    <mergeCell ref="D325:K325"/>
    <mergeCell ref="A329:A330"/>
    <mergeCell ref="B329:C329"/>
    <mergeCell ref="A323:A324"/>
    <mergeCell ref="B323:C323"/>
    <mergeCell ref="B319:C319"/>
    <mergeCell ref="A321:A322"/>
    <mergeCell ref="B321:C321"/>
    <mergeCell ref="A303:A304"/>
    <mergeCell ref="A305:A306"/>
    <mergeCell ref="A299:A300"/>
    <mergeCell ref="D299:K299"/>
    <mergeCell ref="A301:A302"/>
    <mergeCell ref="B301:C301"/>
    <mergeCell ref="D301:K301"/>
    <mergeCell ref="B339:C339"/>
    <mergeCell ref="D339:K339"/>
    <mergeCell ref="D335:K335"/>
    <mergeCell ref="B337:C337"/>
    <mergeCell ref="D337:K337"/>
    <mergeCell ref="D331:K331"/>
    <mergeCell ref="B333:C333"/>
    <mergeCell ref="D333:K333"/>
    <mergeCell ref="A343:A344"/>
    <mergeCell ref="B343:C343"/>
    <mergeCell ref="D343:K343"/>
    <mergeCell ref="A345:A346"/>
    <mergeCell ref="B345:C345"/>
    <mergeCell ref="D345:K345"/>
    <mergeCell ref="D341:K341"/>
    <mergeCell ref="A339:A340"/>
    <mergeCell ref="A335:A336"/>
    <mergeCell ref="B335:C335"/>
    <mergeCell ref="A337:A338"/>
    <mergeCell ref="A331:A332"/>
    <mergeCell ref="B331:C331"/>
    <mergeCell ref="A333:A334"/>
    <mergeCell ref="A1:BB1"/>
    <mergeCell ref="A2:BB2"/>
    <mergeCell ref="A3:B3"/>
    <mergeCell ref="C3:BB3"/>
    <mergeCell ref="D307:K307"/>
    <mergeCell ref="D309:K309"/>
    <mergeCell ref="D323:K323"/>
    <mergeCell ref="D319:K319"/>
    <mergeCell ref="D321:K321"/>
    <mergeCell ref="D315:K315"/>
    <mergeCell ref="D317:K317"/>
    <mergeCell ref="D311:K311"/>
    <mergeCell ref="D313:K313"/>
    <mergeCell ref="B303:C303"/>
    <mergeCell ref="B305:C305"/>
    <mergeCell ref="B315:C315"/>
    <mergeCell ref="B317:C317"/>
    <mergeCell ref="B311:C311"/>
    <mergeCell ref="B313:C313"/>
    <mergeCell ref="B307:C307"/>
    <mergeCell ref="B309:C309"/>
    <mergeCell ref="D303:K303"/>
    <mergeCell ref="D305:K305"/>
    <mergeCell ref="B293:C293"/>
    <mergeCell ref="D293:K293"/>
    <mergeCell ref="B299:C299"/>
    <mergeCell ref="B295:C295"/>
    <mergeCell ref="D295:K295"/>
    <mergeCell ref="B297:C297"/>
    <mergeCell ref="D297:K297"/>
    <mergeCell ref="B291:C291"/>
    <mergeCell ref="D291:K291"/>
    <mergeCell ref="A4:B4"/>
    <mergeCell ref="C4:BB4"/>
    <mergeCell ref="C25:D25"/>
    <mergeCell ref="G25:H25"/>
    <mergeCell ref="C5:BB5"/>
    <mergeCell ref="A6:BB6"/>
    <mergeCell ref="A7:BB8"/>
    <mergeCell ref="A9:D9"/>
    <mergeCell ref="B10:D10"/>
    <mergeCell ref="E25:F25"/>
    <mergeCell ref="C36:F36"/>
    <mergeCell ref="C30:F30"/>
    <mergeCell ref="C32:F32"/>
    <mergeCell ref="C34:F34"/>
    <mergeCell ref="C26:F26"/>
    <mergeCell ref="C28:F28"/>
    <mergeCell ref="G36:J36"/>
    <mergeCell ref="G30:J30"/>
    <mergeCell ref="G32:J32"/>
    <mergeCell ref="I25:J25"/>
    <mergeCell ref="G26:J26"/>
    <mergeCell ref="B24:B25"/>
    <mergeCell ref="C24:F24"/>
    <mergeCell ref="G24:J24"/>
    <mergeCell ref="B12:B13"/>
    <mergeCell ref="C18:D18"/>
    <mergeCell ref="G34:J34"/>
    <mergeCell ref="G28:J28"/>
    <mergeCell ref="G54:J54"/>
    <mergeCell ref="G56:J56"/>
    <mergeCell ref="G58:J58"/>
    <mergeCell ref="G48:J48"/>
    <mergeCell ref="A24:A59"/>
    <mergeCell ref="A12:A19"/>
    <mergeCell ref="A20:A21"/>
    <mergeCell ref="A22:A23"/>
    <mergeCell ref="B11:D11"/>
    <mergeCell ref="C12:D12"/>
    <mergeCell ref="A5:B5"/>
    <mergeCell ref="C14:D14"/>
    <mergeCell ref="C15:D15"/>
    <mergeCell ref="C16:D16"/>
    <mergeCell ref="C17:D17"/>
    <mergeCell ref="C20:J20"/>
    <mergeCell ref="C22:J22"/>
    <mergeCell ref="C38:F38"/>
    <mergeCell ref="G38:J38"/>
    <mergeCell ref="C40:F40"/>
    <mergeCell ref="G40:J40"/>
    <mergeCell ref="G46:J46"/>
    <mergeCell ref="A60:A63"/>
    <mergeCell ref="B60:B62"/>
    <mergeCell ref="C62:D62"/>
    <mergeCell ref="B64:B65"/>
    <mergeCell ref="C64:D64"/>
    <mergeCell ref="C42:F42"/>
    <mergeCell ref="C44:F44"/>
    <mergeCell ref="C60:D60"/>
    <mergeCell ref="C54:F54"/>
    <mergeCell ref="C56:F56"/>
    <mergeCell ref="C58:F58"/>
    <mergeCell ref="C48:F48"/>
    <mergeCell ref="C50:F50"/>
    <mergeCell ref="C52:F52"/>
    <mergeCell ref="C46:F46"/>
    <mergeCell ref="G50:J50"/>
    <mergeCell ref="G52:J52"/>
    <mergeCell ref="G42:J42"/>
    <mergeCell ref="G44:J44"/>
    <mergeCell ref="E66:H66"/>
    <mergeCell ref="I66:L66"/>
    <mergeCell ref="M66:P66"/>
    <mergeCell ref="E64:H64"/>
    <mergeCell ref="I64:L64"/>
    <mergeCell ref="M64:P64"/>
    <mergeCell ref="E65:F65"/>
    <mergeCell ref="O65:P65"/>
    <mergeCell ref="C86:D86"/>
    <mergeCell ref="C82:D82"/>
    <mergeCell ref="C84:D84"/>
    <mergeCell ref="A64:A87"/>
    <mergeCell ref="C66:D66"/>
    <mergeCell ref="E82:H82"/>
    <mergeCell ref="I82:L82"/>
    <mergeCell ref="G65:H65"/>
    <mergeCell ref="I65:J65"/>
    <mergeCell ref="K65:L65"/>
    <mergeCell ref="M65:N65"/>
    <mergeCell ref="I72:L72"/>
    <mergeCell ref="M72:P72"/>
    <mergeCell ref="C74:D74"/>
    <mergeCell ref="M82:P82"/>
    <mergeCell ref="E84:H84"/>
    <mergeCell ref="A131:A132"/>
    <mergeCell ref="A133:A134"/>
    <mergeCell ref="I80:L80"/>
    <mergeCell ref="M80:P80"/>
    <mergeCell ref="E74:H74"/>
    <mergeCell ref="I74:L74"/>
    <mergeCell ref="M74:P74"/>
    <mergeCell ref="C68:D68"/>
    <mergeCell ref="E68:H68"/>
    <mergeCell ref="I68:L68"/>
    <mergeCell ref="M68:P68"/>
    <mergeCell ref="C76:D76"/>
    <mergeCell ref="E76:H76"/>
    <mergeCell ref="E70:H70"/>
    <mergeCell ref="I70:L70"/>
    <mergeCell ref="M70:P70"/>
    <mergeCell ref="C72:D72"/>
    <mergeCell ref="E72:H72"/>
    <mergeCell ref="C70:D70"/>
    <mergeCell ref="A149:A150"/>
    <mergeCell ref="A143:A144"/>
    <mergeCell ref="A145:A146"/>
    <mergeCell ref="A147:A148"/>
    <mergeCell ref="A137:A138"/>
    <mergeCell ref="A139:A140"/>
    <mergeCell ref="A141:A142"/>
    <mergeCell ref="A135:A136"/>
    <mergeCell ref="I76:L76"/>
    <mergeCell ref="M76:P76"/>
    <mergeCell ref="C78:D78"/>
    <mergeCell ref="E78:H78"/>
    <mergeCell ref="I78:L78"/>
    <mergeCell ref="M78:P78"/>
    <mergeCell ref="C80:D80"/>
    <mergeCell ref="E80:H80"/>
    <mergeCell ref="A125:A126"/>
    <mergeCell ref="A127:A128"/>
    <mergeCell ref="A129:A130"/>
    <mergeCell ref="A122:A123"/>
    <mergeCell ref="A88:A121"/>
    <mergeCell ref="B88:B89"/>
    <mergeCell ref="C88:D88"/>
    <mergeCell ref="C90:D90"/>
    <mergeCell ref="I84:L84"/>
    <mergeCell ref="M84:P84"/>
    <mergeCell ref="B204:B205"/>
    <mergeCell ref="C204:D204"/>
    <mergeCell ref="C206:D206"/>
    <mergeCell ref="C207:D207"/>
    <mergeCell ref="C208:D208"/>
    <mergeCell ref="C209:D209"/>
    <mergeCell ref="C195:D195"/>
    <mergeCell ref="C197:D197"/>
    <mergeCell ref="C199:D199"/>
    <mergeCell ref="C189:D189"/>
    <mergeCell ref="C190:D190"/>
    <mergeCell ref="C191:D191"/>
    <mergeCell ref="C193:D193"/>
    <mergeCell ref="C182:D182"/>
    <mergeCell ref="C180:D180"/>
    <mergeCell ref="C188:D188"/>
    <mergeCell ref="E182:F182"/>
    <mergeCell ref="C184:D184"/>
    <mergeCell ref="E184:F184"/>
    <mergeCell ref="C186:D186"/>
    <mergeCell ref="E180:F180"/>
    <mergeCell ref="C226:D226"/>
    <mergeCell ref="C227:D227"/>
    <mergeCell ref="C231:D231"/>
    <mergeCell ref="C233:D233"/>
    <mergeCell ref="C221:D221"/>
    <mergeCell ref="C222:D222"/>
    <mergeCell ref="C223:D223"/>
    <mergeCell ref="C224:D224"/>
    <mergeCell ref="C225:D225"/>
    <mergeCell ref="C211:D211"/>
    <mergeCell ref="C214:D214"/>
    <mergeCell ref="C215:D215"/>
    <mergeCell ref="C216:D216"/>
    <mergeCell ref="C217:D217"/>
    <mergeCell ref="C218:D218"/>
    <mergeCell ref="C219:D219"/>
    <mergeCell ref="C201:D201"/>
    <mergeCell ref="C100:D100"/>
    <mergeCell ref="C114:D114"/>
    <mergeCell ref="C102:D102"/>
    <mergeCell ref="C104:D104"/>
    <mergeCell ref="C106:D106"/>
    <mergeCell ref="C108:D108"/>
    <mergeCell ref="C110:D110"/>
    <mergeCell ref="C112:D112"/>
    <mergeCell ref="C116:D116"/>
    <mergeCell ref="C118:D118"/>
    <mergeCell ref="C120:D120"/>
    <mergeCell ref="C122:D122"/>
    <mergeCell ref="C172:D172"/>
    <mergeCell ref="C174:D174"/>
    <mergeCell ref="C92:D92"/>
    <mergeCell ref="C94:D94"/>
    <mergeCell ref="C96:D96"/>
    <mergeCell ref="C98:D98"/>
    <mergeCell ref="C135:D135"/>
    <mergeCell ref="C176:D176"/>
    <mergeCell ref="C178:D178"/>
    <mergeCell ref="C168:D168"/>
    <mergeCell ref="B170:B171"/>
    <mergeCell ref="C170:D170"/>
    <mergeCell ref="E170:F170"/>
    <mergeCell ref="E172:F172"/>
    <mergeCell ref="E174:F174"/>
    <mergeCell ref="C143:D143"/>
    <mergeCell ref="C145:D145"/>
    <mergeCell ref="C147:D147"/>
    <mergeCell ref="C137:D137"/>
    <mergeCell ref="C139:D139"/>
    <mergeCell ref="C141:D141"/>
    <mergeCell ref="C131:D131"/>
    <mergeCell ref="C133:D133"/>
    <mergeCell ref="B125:B126"/>
    <mergeCell ref="C125:D125"/>
    <mergeCell ref="C127:D127"/>
    <mergeCell ref="C129:D129"/>
    <mergeCell ref="E176:F176"/>
    <mergeCell ref="E178:F178"/>
    <mergeCell ref="AE354:AF354"/>
    <mergeCell ref="AG354:AH354"/>
    <mergeCell ref="AI354:AJ354"/>
    <mergeCell ref="AK354:AL354"/>
    <mergeCell ref="AM354:AN354"/>
    <mergeCell ref="W354:X354"/>
    <mergeCell ref="Y354:Z354"/>
    <mergeCell ref="AQ354:AR354"/>
    <mergeCell ref="Y355:Z355"/>
    <mergeCell ref="AA355:AB355"/>
    <mergeCell ref="AC355:AD355"/>
    <mergeCell ref="AE355:AF355"/>
    <mergeCell ref="AA354:AB354"/>
    <mergeCell ref="AC354:AD354"/>
    <mergeCell ref="AG355:AH355"/>
    <mergeCell ref="AI355:AJ355"/>
    <mergeCell ref="AK355:AL355"/>
    <mergeCell ref="AM355:AN355"/>
    <mergeCell ref="W355:X355"/>
    <mergeCell ref="AQ359:AR359"/>
    <mergeCell ref="AO355:AP355"/>
    <mergeCell ref="AQ355:AR355"/>
    <mergeCell ref="AQ358:AR358"/>
    <mergeCell ref="AO357:AP357"/>
    <mergeCell ref="AQ357:AR357"/>
    <mergeCell ref="AS355:AT355"/>
    <mergeCell ref="AU355:AV355"/>
    <mergeCell ref="AW355:AX355"/>
    <mergeCell ref="AY355:AZ355"/>
    <mergeCell ref="W357:X357"/>
    <mergeCell ref="W356:X356"/>
    <mergeCell ref="W360:X360"/>
    <mergeCell ref="Y360:Z360"/>
    <mergeCell ref="W359:X359"/>
    <mergeCell ref="Y359:Z359"/>
    <mergeCell ref="W358:X358"/>
    <mergeCell ref="Y358:Z358"/>
    <mergeCell ref="Y357:Z357"/>
    <mergeCell ref="Y356:Z356"/>
    <mergeCell ref="AW356:AX356"/>
    <mergeCell ref="AY356:AZ356"/>
    <mergeCell ref="AS356:AT356"/>
    <mergeCell ref="AY366:AZ366"/>
    <mergeCell ref="AO366:AP366"/>
    <mergeCell ref="AS365:AT365"/>
    <mergeCell ref="AU365:AV365"/>
    <mergeCell ref="AO372:AP372"/>
    <mergeCell ref="AO373:AP373"/>
    <mergeCell ref="AO371:AP371"/>
    <mergeCell ref="AU367:AV367"/>
    <mergeCell ref="AW367:AX367"/>
    <mergeCell ref="AY367:AZ367"/>
    <mergeCell ref="AY365:AZ365"/>
    <mergeCell ref="AW365:AX365"/>
    <mergeCell ref="AU362:AV362"/>
    <mergeCell ref="AW362:AX362"/>
    <mergeCell ref="AS363:AT363"/>
    <mergeCell ref="AU363:AV363"/>
    <mergeCell ref="AY360:AZ360"/>
    <mergeCell ref="AU360:AV360"/>
    <mergeCell ref="AW360:AX360"/>
    <mergeCell ref="AS362:AT362"/>
    <mergeCell ref="AY362:AZ362"/>
    <mergeCell ref="AO363:AP363"/>
    <mergeCell ref="AQ363:AR363"/>
    <mergeCell ref="AO360:AP360"/>
    <mergeCell ref="AQ360:AR360"/>
    <mergeCell ref="AO362:AP362"/>
    <mergeCell ref="AQ362:AR362"/>
    <mergeCell ref="AC372:AD372"/>
    <mergeCell ref="AE372:AF372"/>
    <mergeCell ref="AG372:AH372"/>
    <mergeCell ref="AI372:AJ372"/>
    <mergeCell ref="AK372:AL372"/>
    <mergeCell ref="AM372:AN372"/>
    <mergeCell ref="W372:X372"/>
    <mergeCell ref="Y372:Z372"/>
    <mergeCell ref="AA372:AB372"/>
    <mergeCell ref="AC371:AD371"/>
    <mergeCell ref="AE371:AF371"/>
    <mergeCell ref="AG371:AH371"/>
    <mergeCell ref="AI371:AJ371"/>
    <mergeCell ref="AK371:AL371"/>
    <mergeCell ref="AM371:AN371"/>
    <mergeCell ref="AI369:AJ369"/>
    <mergeCell ref="AK369:AL369"/>
    <mergeCell ref="AM375:AN375"/>
    <mergeCell ref="AO375:AP375"/>
    <mergeCell ref="AO376:AP376"/>
    <mergeCell ref="Y373:Z373"/>
    <mergeCell ref="AA373:AB373"/>
    <mergeCell ref="Y375:Z375"/>
    <mergeCell ref="AA375:AB375"/>
    <mergeCell ref="AC375:AD375"/>
    <mergeCell ref="W376:X376"/>
    <mergeCell ref="Y376:Z376"/>
    <mergeCell ref="AA376:AB376"/>
    <mergeCell ref="AC376:AD376"/>
    <mergeCell ref="W375:X375"/>
    <mergeCell ref="W374:X374"/>
    <mergeCell ref="Y374:Z374"/>
    <mergeCell ref="AA374:AB374"/>
    <mergeCell ref="AC374:AD374"/>
    <mergeCell ref="AC373:AD373"/>
    <mergeCell ref="W373:X373"/>
    <mergeCell ref="AI356:AJ356"/>
    <mergeCell ref="AK356:AL356"/>
    <mergeCell ref="AM356:AN356"/>
    <mergeCell ref="AA356:AB356"/>
    <mergeCell ref="AC356:AD356"/>
    <mergeCell ref="AE356:AF356"/>
    <mergeCell ref="AG356:AH356"/>
    <mergeCell ref="AI378:AJ378"/>
    <mergeCell ref="AK378:AL378"/>
    <mergeCell ref="AM378:AN378"/>
    <mergeCell ref="AO378:AP378"/>
    <mergeCell ref="AQ378:AR378"/>
    <mergeCell ref="AS378:AT378"/>
    <mergeCell ref="W378:X378"/>
    <mergeCell ref="AG378:AH378"/>
    <mergeCell ref="AE378:AF378"/>
    <mergeCell ref="AG377:AH377"/>
    <mergeCell ref="AI377:AJ377"/>
    <mergeCell ref="AK377:AL377"/>
    <mergeCell ref="AM377:AN377"/>
    <mergeCell ref="AO377:AP377"/>
    <mergeCell ref="AQ377:AR377"/>
    <mergeCell ref="AG376:AH376"/>
    <mergeCell ref="AI376:AJ376"/>
    <mergeCell ref="AK376:AL376"/>
    <mergeCell ref="AM376:AN376"/>
    <mergeCell ref="AM374:AN374"/>
    <mergeCell ref="AO374:AP374"/>
    <mergeCell ref="AK373:AL373"/>
    <mergeCell ref="AM373:AN373"/>
    <mergeCell ref="AK374:AL374"/>
    <mergeCell ref="AE375:AF375"/>
    <mergeCell ref="AM360:AN360"/>
    <mergeCell ref="AA360:AB360"/>
    <mergeCell ref="AE359:AF359"/>
    <mergeCell ref="AG359:AH359"/>
    <mergeCell ref="AI359:AJ359"/>
    <mergeCell ref="AK359:AL359"/>
    <mergeCell ref="AM359:AN359"/>
    <mergeCell ref="AA359:AB359"/>
    <mergeCell ref="AC359:AD359"/>
    <mergeCell ref="AC358:AD358"/>
    <mergeCell ref="AE358:AF358"/>
    <mergeCell ref="AG358:AH358"/>
    <mergeCell ref="AI358:AJ358"/>
    <mergeCell ref="AK358:AL358"/>
    <mergeCell ref="AM358:AN358"/>
    <mergeCell ref="AA358:AB358"/>
    <mergeCell ref="AC357:AD357"/>
    <mergeCell ref="AE357:AF357"/>
    <mergeCell ref="AG357:AH357"/>
    <mergeCell ref="AI357:AJ357"/>
    <mergeCell ref="AK357:AL357"/>
    <mergeCell ref="AM357:AN357"/>
    <mergeCell ref="AA357:AB357"/>
    <mergeCell ref="W365:X365"/>
    <mergeCell ref="Y365:Z365"/>
    <mergeCell ref="W364:X364"/>
    <mergeCell ref="Y364:Z364"/>
    <mergeCell ref="W363:X363"/>
    <mergeCell ref="W362:X362"/>
    <mergeCell ref="Y362:Z362"/>
    <mergeCell ref="AA362:AB362"/>
    <mergeCell ref="AC362:AD362"/>
    <mergeCell ref="AE362:AF362"/>
    <mergeCell ref="AG362:AH362"/>
    <mergeCell ref="AI362:AJ362"/>
    <mergeCell ref="AC360:AD360"/>
    <mergeCell ref="AE360:AF360"/>
    <mergeCell ref="AG360:AH360"/>
    <mergeCell ref="AI360:AJ360"/>
    <mergeCell ref="AK360:AL360"/>
    <mergeCell ref="AI366:AJ366"/>
    <mergeCell ref="AK366:AL366"/>
    <mergeCell ref="AM365:AN365"/>
    <mergeCell ref="AM364:AN364"/>
    <mergeCell ref="AK364:AL364"/>
    <mergeCell ref="AK362:AL362"/>
    <mergeCell ref="AM362:AN362"/>
    <mergeCell ref="AA367:AB367"/>
    <mergeCell ref="AC367:AD367"/>
    <mergeCell ref="AE365:AF365"/>
    <mergeCell ref="AG365:AH365"/>
    <mergeCell ref="AI365:AJ365"/>
    <mergeCell ref="AK365:AL365"/>
    <mergeCell ref="AM366:AN366"/>
    <mergeCell ref="AG363:AH363"/>
    <mergeCell ref="AI363:AJ363"/>
    <mergeCell ref="AK363:AL363"/>
    <mergeCell ref="AM363:AN363"/>
    <mergeCell ref="AA363:AB363"/>
    <mergeCell ref="AC363:AD363"/>
    <mergeCell ref="AE363:AF363"/>
    <mergeCell ref="AC365:AD365"/>
    <mergeCell ref="AA365:AB365"/>
    <mergeCell ref="AA364:AB364"/>
    <mergeCell ref="AC364:AD364"/>
    <mergeCell ref="AE364:AF364"/>
    <mergeCell ref="AG364:AH364"/>
    <mergeCell ref="AI364:AJ364"/>
    <mergeCell ref="AI367:AJ367"/>
    <mergeCell ref="AK367:AL367"/>
    <mergeCell ref="AM367:AN367"/>
    <mergeCell ref="W370:X370"/>
    <mergeCell ref="Y370:Z370"/>
    <mergeCell ref="AA370:AB370"/>
    <mergeCell ref="AC370:AD370"/>
    <mergeCell ref="W369:X369"/>
    <mergeCell ref="Y369:Z369"/>
    <mergeCell ref="AA369:AB369"/>
    <mergeCell ref="AC369:AD369"/>
    <mergeCell ref="Y368:Z368"/>
    <mergeCell ref="AA368:AB368"/>
    <mergeCell ref="AC368:AD368"/>
    <mergeCell ref="AE366:AF366"/>
    <mergeCell ref="AG366:AH366"/>
    <mergeCell ref="W368:X368"/>
    <mergeCell ref="W366:X366"/>
    <mergeCell ref="Y366:Z366"/>
    <mergeCell ref="AA366:AB366"/>
    <mergeCell ref="AC366:AD366"/>
    <mergeCell ref="AE367:AF367"/>
    <mergeCell ref="AG367:AH367"/>
    <mergeCell ref="W367:X367"/>
    <mergeCell ref="Y367:Z367"/>
    <mergeCell ref="AM369:AN369"/>
    <mergeCell ref="AO369:AP369"/>
    <mergeCell ref="AG369:AH369"/>
    <mergeCell ref="AG368:AH368"/>
    <mergeCell ref="AI368:AJ368"/>
    <mergeCell ref="AK368:AL368"/>
    <mergeCell ref="AM368:AN368"/>
    <mergeCell ref="AO368:AP368"/>
    <mergeCell ref="AE368:AF368"/>
    <mergeCell ref="AI370:AJ370"/>
    <mergeCell ref="AK370:AL370"/>
    <mergeCell ref="AM370:AN370"/>
    <mergeCell ref="AO370:AP370"/>
    <mergeCell ref="AE370:AF370"/>
    <mergeCell ref="AG370:AH370"/>
    <mergeCell ref="AE369:AF369"/>
    <mergeCell ref="AA371:AB371"/>
    <mergeCell ref="Y378:Z378"/>
    <mergeCell ref="AA378:AB378"/>
    <mergeCell ref="W377:X377"/>
    <mergeCell ref="Y377:Z377"/>
    <mergeCell ref="AA377:AB377"/>
    <mergeCell ref="AC378:AD378"/>
    <mergeCell ref="AC377:AD377"/>
    <mergeCell ref="AQ371:AR371"/>
    <mergeCell ref="AQ372:AR372"/>
    <mergeCell ref="AS372:AT372"/>
    <mergeCell ref="AU372:AV372"/>
    <mergeCell ref="AY375:AZ375"/>
    <mergeCell ref="AY373:AZ373"/>
    <mergeCell ref="AY374:AZ374"/>
    <mergeCell ref="AY372:AZ372"/>
    <mergeCell ref="AS371:AT371"/>
    <mergeCell ref="AU371:AV371"/>
    <mergeCell ref="AW371:AX371"/>
    <mergeCell ref="AW372:AX372"/>
    <mergeCell ref="W371:X371"/>
    <mergeCell ref="Y371:Z371"/>
    <mergeCell ref="AE376:AF376"/>
    <mergeCell ref="AE373:AF373"/>
    <mergeCell ref="AG373:AH373"/>
    <mergeCell ref="AI373:AJ373"/>
    <mergeCell ref="AE374:AF374"/>
    <mergeCell ref="AG374:AH374"/>
    <mergeCell ref="AI374:AJ374"/>
    <mergeCell ref="AE377:AF377"/>
    <mergeCell ref="AG375:AH375"/>
    <mergeCell ref="AI375:AJ375"/>
    <mergeCell ref="AK375:AL375"/>
    <mergeCell ref="AK380:AL380"/>
    <mergeCell ref="AM379:AN379"/>
    <mergeCell ref="AO379:AP379"/>
    <mergeCell ref="AK379:AL379"/>
    <mergeCell ref="AM381:AN381"/>
    <mergeCell ref="AO380:AP380"/>
    <mergeCell ref="AQ380:AR380"/>
    <mergeCell ref="AS380:AT380"/>
    <mergeCell ref="AU380:AV380"/>
    <mergeCell ref="AW380:AX380"/>
    <mergeCell ref="AY380:AZ380"/>
    <mergeCell ref="AM380:AN380"/>
    <mergeCell ref="AC380:AD380"/>
    <mergeCell ref="AE380:AF380"/>
    <mergeCell ref="AG380:AH380"/>
    <mergeCell ref="AI380:AJ380"/>
    <mergeCell ref="W380:X380"/>
    <mergeCell ref="Y380:Z380"/>
    <mergeCell ref="AA380:AB380"/>
    <mergeCell ref="AA379:AB379"/>
    <mergeCell ref="AC379:AD379"/>
    <mergeCell ref="AE379:AF379"/>
    <mergeCell ref="AG379:AH379"/>
    <mergeCell ref="AI379:AJ379"/>
    <mergeCell ref="W379:X379"/>
    <mergeCell ref="Y379:Z379"/>
    <mergeCell ref="AM384:AN384"/>
    <mergeCell ref="AO384:AP384"/>
    <mergeCell ref="W384:X384"/>
    <mergeCell ref="Y384:Z384"/>
    <mergeCell ref="AE384:AF384"/>
    <mergeCell ref="AA384:AB384"/>
    <mergeCell ref="AC384:AD384"/>
    <mergeCell ref="AG383:AH383"/>
    <mergeCell ref="AI383:AJ383"/>
    <mergeCell ref="AK383:AL383"/>
    <mergeCell ref="AM383:AN383"/>
    <mergeCell ref="AO383:AP383"/>
    <mergeCell ref="AG381:AH381"/>
    <mergeCell ref="AI381:AJ381"/>
    <mergeCell ref="W381:X381"/>
    <mergeCell ref="Y381:Z381"/>
    <mergeCell ref="AA381:AB381"/>
    <mergeCell ref="AI382:AJ382"/>
    <mergeCell ref="AK382:AL382"/>
    <mergeCell ref="AM382:AN382"/>
    <mergeCell ref="AO382:AP382"/>
    <mergeCell ref="AO381:AP381"/>
    <mergeCell ref="AC381:AD381"/>
    <mergeCell ref="AE381:AF381"/>
    <mergeCell ref="AK381:AL381"/>
    <mergeCell ref="AM388:AN388"/>
    <mergeCell ref="AO388:AP388"/>
    <mergeCell ref="W385:X385"/>
    <mergeCell ref="Y385:Z385"/>
    <mergeCell ref="AA385:AB385"/>
    <mergeCell ref="AC385:AD385"/>
    <mergeCell ref="AE385:AF385"/>
    <mergeCell ref="W389:X389"/>
    <mergeCell ref="W388:X388"/>
    <mergeCell ref="AA387:AB387"/>
    <mergeCell ref="AC387:AD387"/>
    <mergeCell ref="AE387:AF387"/>
    <mergeCell ref="AG387:AH387"/>
    <mergeCell ref="AI387:AJ387"/>
    <mergeCell ref="AM387:AN387"/>
    <mergeCell ref="AO387:AP387"/>
    <mergeCell ref="AG385:AH385"/>
    <mergeCell ref="AI385:AJ385"/>
    <mergeCell ref="AK385:AL385"/>
    <mergeCell ref="AM385:AN385"/>
    <mergeCell ref="AO385:AP385"/>
    <mergeCell ref="W382:X382"/>
    <mergeCell ref="Y382:Z382"/>
    <mergeCell ref="AA382:AB382"/>
    <mergeCell ref="AC382:AD382"/>
    <mergeCell ref="AE383:AF383"/>
    <mergeCell ref="W383:X383"/>
    <mergeCell ref="Y383:Z383"/>
    <mergeCell ref="AA383:AB383"/>
    <mergeCell ref="AC383:AD383"/>
    <mergeCell ref="AE382:AF382"/>
    <mergeCell ref="AG382:AH382"/>
    <mergeCell ref="AC389:AD389"/>
    <mergeCell ref="AC388:AD388"/>
    <mergeCell ref="AE388:AF388"/>
    <mergeCell ref="AG388:AH388"/>
    <mergeCell ref="AI388:AJ388"/>
    <mergeCell ref="AK388:AL388"/>
    <mergeCell ref="AG384:AH384"/>
    <mergeCell ref="AI384:AJ384"/>
    <mergeCell ref="AK384:AL384"/>
    <mergeCell ref="AY376:AZ376"/>
    <mergeCell ref="AS409:AT409"/>
    <mergeCell ref="AU409:AV409"/>
    <mergeCell ref="AU408:AV408"/>
    <mergeCell ref="AW408:AX408"/>
    <mergeCell ref="AY408:AZ408"/>
    <mergeCell ref="AS408:AT408"/>
    <mergeCell ref="AS407:AT407"/>
    <mergeCell ref="AO389:AP389"/>
    <mergeCell ref="AE389:AF389"/>
    <mergeCell ref="AG389:AH389"/>
    <mergeCell ref="AI389:AJ389"/>
    <mergeCell ref="AK389:AL389"/>
    <mergeCell ref="AM389:AN389"/>
    <mergeCell ref="AA389:AB389"/>
    <mergeCell ref="Y388:Z388"/>
    <mergeCell ref="AA388:AB388"/>
    <mergeCell ref="Y389:Z389"/>
    <mergeCell ref="AQ387:AR387"/>
    <mergeCell ref="AS387:AT387"/>
    <mergeCell ref="AU387:AV387"/>
    <mergeCell ref="AW387:AX387"/>
    <mergeCell ref="AK387:AL387"/>
    <mergeCell ref="Y387:Z387"/>
    <mergeCell ref="Y386:Z386"/>
    <mergeCell ref="AA386:AB386"/>
    <mergeCell ref="AC386:AD386"/>
    <mergeCell ref="AI386:AJ386"/>
    <mergeCell ref="AK386:AL386"/>
    <mergeCell ref="AM386:AN386"/>
    <mergeCell ref="AO386:AP386"/>
    <mergeCell ref="AE386:AF386"/>
    <mergeCell ref="AS382:AT382"/>
    <mergeCell ref="AU382:AV382"/>
    <mergeCell ref="AY407:AZ407"/>
    <mergeCell ref="AY389:AZ389"/>
    <mergeCell ref="AY388:AZ388"/>
    <mergeCell ref="AY386:AZ386"/>
    <mergeCell ref="AY387:AZ387"/>
    <mergeCell ref="AY385:AZ385"/>
    <mergeCell ref="AY384:AZ384"/>
    <mergeCell ref="AU379:AV379"/>
    <mergeCell ref="AW379:AX379"/>
    <mergeCell ref="AY383:AZ383"/>
    <mergeCell ref="AY382:AZ382"/>
    <mergeCell ref="AY381:AZ381"/>
    <mergeCell ref="AY379:AZ379"/>
    <mergeCell ref="AY378:AZ378"/>
    <mergeCell ref="AY377:AZ377"/>
    <mergeCell ref="AS389:AT389"/>
    <mergeCell ref="AU389:AV389"/>
    <mergeCell ref="AW389:AX389"/>
    <mergeCell ref="AQ388:AR388"/>
    <mergeCell ref="AS388:AT388"/>
    <mergeCell ref="AU388:AV388"/>
    <mergeCell ref="AW388:AX388"/>
    <mergeCell ref="AU386:AV386"/>
    <mergeCell ref="AW386:AX386"/>
    <mergeCell ref="AQ386:AR386"/>
    <mergeCell ref="AS386:AT386"/>
    <mergeCell ref="AS385:AT385"/>
    <mergeCell ref="AU385:AV385"/>
    <mergeCell ref="AW385:AX385"/>
    <mergeCell ref="AQ385:AR385"/>
    <mergeCell ref="AU384:AV384"/>
    <mergeCell ref="AW384:AX384"/>
    <mergeCell ref="AY369:AZ369"/>
    <mergeCell ref="AU368:AV368"/>
    <mergeCell ref="AW368:AX368"/>
    <mergeCell ref="AY368:AZ368"/>
    <mergeCell ref="AU375:AV375"/>
    <mergeCell ref="AU373:AV373"/>
    <mergeCell ref="AW373:AX373"/>
    <mergeCell ref="AW374:AX374"/>
    <mergeCell ref="AW370:AX370"/>
    <mergeCell ref="AY370:AZ370"/>
    <mergeCell ref="AY371:AZ371"/>
    <mergeCell ref="AS368:AT368"/>
    <mergeCell ref="AQ368:AR368"/>
    <mergeCell ref="AQ374:AR374"/>
    <mergeCell ref="AQ373:AR373"/>
    <mergeCell ref="AS373:AT373"/>
    <mergeCell ref="AQ370:AR370"/>
    <mergeCell ref="AS370:AT370"/>
    <mergeCell ref="AS369:AT369"/>
    <mergeCell ref="AQ369:AR369"/>
    <mergeCell ref="S357:T357"/>
    <mergeCell ref="AS384:AT384"/>
    <mergeCell ref="AQ384:AR384"/>
    <mergeCell ref="AQ383:AR383"/>
    <mergeCell ref="AS383:AT383"/>
    <mergeCell ref="AU383:AV383"/>
    <mergeCell ref="AW383:AX383"/>
    <mergeCell ref="AW382:AX382"/>
    <mergeCell ref="AQ382:AR382"/>
    <mergeCell ref="AQ381:AR381"/>
    <mergeCell ref="AS381:AT381"/>
    <mergeCell ref="AU381:AV381"/>
    <mergeCell ref="AW381:AX381"/>
    <mergeCell ref="AQ379:AR379"/>
    <mergeCell ref="AS379:AT379"/>
    <mergeCell ref="AU378:AV378"/>
    <mergeCell ref="AW378:AX378"/>
    <mergeCell ref="AS377:AT377"/>
    <mergeCell ref="AU377:AV377"/>
    <mergeCell ref="AW377:AX377"/>
    <mergeCell ref="AW375:AX375"/>
    <mergeCell ref="AW376:AX376"/>
    <mergeCell ref="AS376:AT376"/>
    <mergeCell ref="AU376:AV376"/>
    <mergeCell ref="AQ376:AR376"/>
    <mergeCell ref="AQ375:AR375"/>
    <mergeCell ref="AS375:AT375"/>
    <mergeCell ref="AS374:AT374"/>
    <mergeCell ref="AU374:AV374"/>
    <mergeCell ref="AU370:AV370"/>
    <mergeCell ref="AU369:AV369"/>
    <mergeCell ref="AW369:AX369"/>
    <mergeCell ref="U400:V400"/>
    <mergeCell ref="U401:V401"/>
    <mergeCell ref="A400:A402"/>
    <mergeCell ref="O400:P400"/>
    <mergeCell ref="C364:D364"/>
    <mergeCell ref="E364:F364"/>
    <mergeCell ref="C362:D362"/>
    <mergeCell ref="E362:F362"/>
    <mergeCell ref="B360:B361"/>
    <mergeCell ref="C360:D360"/>
    <mergeCell ref="E360:F360"/>
    <mergeCell ref="C357:D357"/>
    <mergeCell ref="E357:F357"/>
    <mergeCell ref="C356:D356"/>
    <mergeCell ref="E356:F356"/>
    <mergeCell ref="G357:H357"/>
    <mergeCell ref="I357:J357"/>
    <mergeCell ref="G356:H356"/>
    <mergeCell ref="I356:J356"/>
    <mergeCell ref="K357:L357"/>
    <mergeCell ref="M357:N357"/>
    <mergeCell ref="K356:L356"/>
    <mergeCell ref="M356:N356"/>
    <mergeCell ref="O356:P356"/>
    <mergeCell ref="Q356:R356"/>
    <mergeCell ref="S356:T356"/>
    <mergeCell ref="E363:F363"/>
    <mergeCell ref="G363:H363"/>
    <mergeCell ref="G362:H362"/>
    <mergeCell ref="G360:H360"/>
    <mergeCell ref="O357:P357"/>
    <mergeCell ref="Q357:R357"/>
    <mergeCell ref="A403:A405"/>
    <mergeCell ref="C403:D403"/>
    <mergeCell ref="E403:F403"/>
    <mergeCell ref="K403:L403"/>
    <mergeCell ref="Q402:R402"/>
    <mergeCell ref="S402:T402"/>
    <mergeCell ref="G403:H403"/>
    <mergeCell ref="I403:J403"/>
    <mergeCell ref="C402:D402"/>
    <mergeCell ref="E402:F402"/>
    <mergeCell ref="G402:H402"/>
    <mergeCell ref="I402:J402"/>
    <mergeCell ref="K402:L402"/>
    <mergeCell ref="O401:P401"/>
    <mergeCell ref="Q401:R401"/>
    <mergeCell ref="M402:N402"/>
    <mergeCell ref="O402:P402"/>
    <mergeCell ref="S401:T401"/>
    <mergeCell ref="C401:D401"/>
    <mergeCell ref="E401:F401"/>
    <mergeCell ref="G401:H401"/>
    <mergeCell ref="I401:J401"/>
    <mergeCell ref="K401:L401"/>
    <mergeCell ref="M401:N401"/>
    <mergeCell ref="O406:P406"/>
    <mergeCell ref="U405:V405"/>
    <mergeCell ref="Q406:R406"/>
    <mergeCell ref="S406:T406"/>
    <mergeCell ref="C405:D405"/>
    <mergeCell ref="E405:F405"/>
    <mergeCell ref="G405:H405"/>
    <mergeCell ref="K404:L404"/>
    <mergeCell ref="M404:N404"/>
    <mergeCell ref="O404:P404"/>
    <mergeCell ref="Q404:R404"/>
    <mergeCell ref="S404:T404"/>
    <mergeCell ref="C404:D404"/>
    <mergeCell ref="E404:F404"/>
    <mergeCell ref="G404:H404"/>
    <mergeCell ref="I404:J404"/>
    <mergeCell ref="U356:V356"/>
    <mergeCell ref="U358:V358"/>
    <mergeCell ref="U360:V360"/>
    <mergeCell ref="U362:V362"/>
    <mergeCell ref="U364:V364"/>
    <mergeCell ref="U367:V367"/>
    <mergeCell ref="U369:V369"/>
    <mergeCell ref="U371:V371"/>
    <mergeCell ref="U373:V373"/>
    <mergeCell ref="U375:V375"/>
    <mergeCell ref="U377:V377"/>
    <mergeCell ref="U379:V379"/>
    <mergeCell ref="U381:V381"/>
    <mergeCell ref="U384:V384"/>
    <mergeCell ref="U383:V383"/>
    <mergeCell ref="M403:N403"/>
    <mergeCell ref="S364:T364"/>
    <mergeCell ref="Q363:R363"/>
    <mergeCell ref="S363:T363"/>
    <mergeCell ref="C363:D363"/>
    <mergeCell ref="K364:L364"/>
    <mergeCell ref="C359:D359"/>
    <mergeCell ref="E359:F359"/>
    <mergeCell ref="G359:H359"/>
    <mergeCell ref="I359:J359"/>
    <mergeCell ref="K359:L359"/>
    <mergeCell ref="C358:D358"/>
    <mergeCell ref="E358:F358"/>
    <mergeCell ref="G358:H358"/>
    <mergeCell ref="I358:J358"/>
    <mergeCell ref="K358:L358"/>
    <mergeCell ref="I405:J405"/>
    <mergeCell ref="K405:L405"/>
    <mergeCell ref="M405:N405"/>
    <mergeCell ref="O405:P405"/>
    <mergeCell ref="Q405:R405"/>
    <mergeCell ref="S405:T405"/>
    <mergeCell ref="O403:P403"/>
    <mergeCell ref="Q403:R403"/>
    <mergeCell ref="S403:T403"/>
    <mergeCell ref="G400:H400"/>
    <mergeCell ref="I400:J400"/>
    <mergeCell ref="K400:L400"/>
    <mergeCell ref="M400:N400"/>
    <mergeCell ref="Q400:R400"/>
    <mergeCell ref="S400:T400"/>
    <mergeCell ref="C388:D388"/>
    <mergeCell ref="E388:F388"/>
    <mergeCell ref="A369:A370"/>
    <mergeCell ref="A364:A366"/>
    <mergeCell ref="A362:A363"/>
    <mergeCell ref="A360:A361"/>
    <mergeCell ref="A358:A359"/>
    <mergeCell ref="G372:H372"/>
    <mergeCell ref="C371:D371"/>
    <mergeCell ref="E371:F371"/>
    <mergeCell ref="G371:H371"/>
    <mergeCell ref="C370:D370"/>
    <mergeCell ref="E370:F370"/>
    <mergeCell ref="G370:H370"/>
    <mergeCell ref="I363:J363"/>
    <mergeCell ref="K363:L363"/>
    <mergeCell ref="I362:J362"/>
    <mergeCell ref="K362:L362"/>
    <mergeCell ref="I360:J360"/>
    <mergeCell ref="K360:L360"/>
    <mergeCell ref="G364:H364"/>
    <mergeCell ref="I364:J364"/>
    <mergeCell ref="S360:T360"/>
    <mergeCell ref="Q359:R359"/>
    <mergeCell ref="S359:T359"/>
    <mergeCell ref="Q358:R358"/>
    <mergeCell ref="S358:T358"/>
    <mergeCell ref="M360:N360"/>
    <mergeCell ref="M359:N359"/>
    <mergeCell ref="O359:P359"/>
    <mergeCell ref="O358:P358"/>
    <mergeCell ref="M358:N358"/>
    <mergeCell ref="M363:N363"/>
    <mergeCell ref="O363:P363"/>
    <mergeCell ref="O362:P362"/>
    <mergeCell ref="Q362:R362"/>
    <mergeCell ref="S362:T362"/>
    <mergeCell ref="M362:N362"/>
    <mergeCell ref="O360:P360"/>
    <mergeCell ref="C366:D366"/>
    <mergeCell ref="E366:F366"/>
    <mergeCell ref="G366:H366"/>
    <mergeCell ref="I366:J366"/>
    <mergeCell ref="K366:L366"/>
    <mergeCell ref="M366:N366"/>
    <mergeCell ref="O366:P366"/>
    <mergeCell ref="M367:N367"/>
    <mergeCell ref="O367:P367"/>
    <mergeCell ref="C368:D368"/>
    <mergeCell ref="A367:A368"/>
    <mergeCell ref="C367:D367"/>
    <mergeCell ref="E367:F367"/>
    <mergeCell ref="G367:H367"/>
    <mergeCell ref="I367:J367"/>
    <mergeCell ref="K367:L367"/>
    <mergeCell ref="Q360:R360"/>
    <mergeCell ref="M364:N364"/>
    <mergeCell ref="O364:P364"/>
    <mergeCell ref="Q364:R364"/>
    <mergeCell ref="K365:L365"/>
    <mergeCell ref="M365:N365"/>
    <mergeCell ref="O365:P365"/>
    <mergeCell ref="Q365:R365"/>
    <mergeCell ref="S365:T365"/>
    <mergeCell ref="C365:D365"/>
    <mergeCell ref="E365:F365"/>
    <mergeCell ref="G365:H365"/>
    <mergeCell ref="I365:J365"/>
    <mergeCell ref="O371:P371"/>
    <mergeCell ref="Q371:R371"/>
    <mergeCell ref="Q372:R372"/>
    <mergeCell ref="S372:T372"/>
    <mergeCell ref="I372:J372"/>
    <mergeCell ref="K372:L372"/>
    <mergeCell ref="M372:N372"/>
    <mergeCell ref="M371:N371"/>
    <mergeCell ref="S371:T371"/>
    <mergeCell ref="S370:T370"/>
    <mergeCell ref="S369:T369"/>
    <mergeCell ref="S368:T368"/>
    <mergeCell ref="S366:T366"/>
    <mergeCell ref="Q367:R367"/>
    <mergeCell ref="S367:T367"/>
    <mergeCell ref="Q366:R366"/>
    <mergeCell ref="I371:J371"/>
    <mergeCell ref="K371:L371"/>
    <mergeCell ref="I370:J370"/>
    <mergeCell ref="K370:L370"/>
    <mergeCell ref="M370:N370"/>
    <mergeCell ref="O370:P370"/>
    <mergeCell ref="Q370:R370"/>
    <mergeCell ref="Q374:R374"/>
    <mergeCell ref="S374:T374"/>
    <mergeCell ref="O373:P373"/>
    <mergeCell ref="Q373:R373"/>
    <mergeCell ref="S373:T373"/>
    <mergeCell ref="O372:P372"/>
    <mergeCell ref="C369:D369"/>
    <mergeCell ref="E369:F369"/>
    <mergeCell ref="G369:H369"/>
    <mergeCell ref="I369:J369"/>
    <mergeCell ref="K369:L369"/>
    <mergeCell ref="M369:N369"/>
    <mergeCell ref="O369:P369"/>
    <mergeCell ref="Q369:R369"/>
    <mergeCell ref="E368:F368"/>
    <mergeCell ref="G368:H368"/>
    <mergeCell ref="I368:J368"/>
    <mergeCell ref="K368:L368"/>
    <mergeCell ref="M368:N368"/>
    <mergeCell ref="O368:P368"/>
    <mergeCell ref="Q368:R368"/>
    <mergeCell ref="M374:N374"/>
    <mergeCell ref="O374:P374"/>
    <mergeCell ref="C376:D376"/>
    <mergeCell ref="C375:D375"/>
    <mergeCell ref="C372:D372"/>
    <mergeCell ref="E372:F372"/>
    <mergeCell ref="A373:A374"/>
    <mergeCell ref="C373:D373"/>
    <mergeCell ref="E373:F373"/>
    <mergeCell ref="E375:F375"/>
    <mergeCell ref="G375:H375"/>
    <mergeCell ref="G373:H373"/>
    <mergeCell ref="I373:J373"/>
    <mergeCell ref="K373:L373"/>
    <mergeCell ref="M373:N373"/>
    <mergeCell ref="C378:D378"/>
    <mergeCell ref="E378:F378"/>
    <mergeCell ref="G378:H378"/>
    <mergeCell ref="E376:F376"/>
    <mergeCell ref="G376:H376"/>
    <mergeCell ref="I376:J376"/>
    <mergeCell ref="A375:A376"/>
    <mergeCell ref="I375:J375"/>
    <mergeCell ref="A371:A372"/>
    <mergeCell ref="C400:D400"/>
    <mergeCell ref="E400:F400"/>
    <mergeCell ref="A398:A399"/>
    <mergeCell ref="B398:B399"/>
    <mergeCell ref="C398:D398"/>
    <mergeCell ref="E398:F398"/>
    <mergeCell ref="G398:H398"/>
    <mergeCell ref="C397:D397"/>
    <mergeCell ref="E397:F397"/>
    <mergeCell ref="C379:D379"/>
    <mergeCell ref="E379:F379"/>
    <mergeCell ref="G379:H379"/>
    <mergeCell ref="I379:J379"/>
    <mergeCell ref="K379:L379"/>
    <mergeCell ref="C374:D374"/>
    <mergeCell ref="E374:F374"/>
    <mergeCell ref="G374:H374"/>
    <mergeCell ref="I374:J374"/>
    <mergeCell ref="K374:L374"/>
    <mergeCell ref="G388:H388"/>
    <mergeCell ref="I388:J388"/>
    <mergeCell ref="K388:L388"/>
    <mergeCell ref="C392:D392"/>
    <mergeCell ref="E392:F392"/>
    <mergeCell ref="G392:H392"/>
    <mergeCell ref="I392:J392"/>
    <mergeCell ref="O377:P377"/>
    <mergeCell ref="Q377:R377"/>
    <mergeCell ref="A377:A378"/>
    <mergeCell ref="C377:D377"/>
    <mergeCell ref="E377:F377"/>
    <mergeCell ref="G377:H377"/>
    <mergeCell ref="I377:J377"/>
    <mergeCell ref="K377:L377"/>
    <mergeCell ref="M377:N377"/>
    <mergeCell ref="K375:L375"/>
    <mergeCell ref="M375:N375"/>
    <mergeCell ref="K376:L376"/>
    <mergeCell ref="M376:N376"/>
    <mergeCell ref="O376:P376"/>
    <mergeCell ref="Q376:R376"/>
    <mergeCell ref="S377:T377"/>
    <mergeCell ref="S375:T375"/>
    <mergeCell ref="S376:T376"/>
    <mergeCell ref="O375:P375"/>
    <mergeCell ref="Q375:R375"/>
    <mergeCell ref="K380:L380"/>
    <mergeCell ref="M380:N380"/>
    <mergeCell ref="O380:P380"/>
    <mergeCell ref="Q380:R380"/>
    <mergeCell ref="S380:T380"/>
    <mergeCell ref="C380:D380"/>
    <mergeCell ref="E380:F380"/>
    <mergeCell ref="G380:H380"/>
    <mergeCell ref="I380:J380"/>
    <mergeCell ref="M379:N379"/>
    <mergeCell ref="O379:P379"/>
    <mergeCell ref="Q379:R379"/>
    <mergeCell ref="S379:T379"/>
    <mergeCell ref="A379:A380"/>
    <mergeCell ref="I378:J378"/>
    <mergeCell ref="K378:L378"/>
    <mergeCell ref="M378:N378"/>
    <mergeCell ref="O378:P378"/>
    <mergeCell ref="Q378:R378"/>
    <mergeCell ref="S378:T378"/>
    <mergeCell ref="M382:N382"/>
    <mergeCell ref="O382:P382"/>
    <mergeCell ref="Q382:R382"/>
    <mergeCell ref="S382:T382"/>
    <mergeCell ref="C382:D382"/>
    <mergeCell ref="E382:F382"/>
    <mergeCell ref="G382:H382"/>
    <mergeCell ref="I382:J382"/>
    <mergeCell ref="K382:L382"/>
    <mergeCell ref="I381:J381"/>
    <mergeCell ref="K381:L381"/>
    <mergeCell ref="O381:P381"/>
    <mergeCell ref="Q381:R381"/>
    <mergeCell ref="S381:T381"/>
    <mergeCell ref="A381:A382"/>
    <mergeCell ref="C381:D381"/>
    <mergeCell ref="E381:F381"/>
    <mergeCell ref="G381:H381"/>
    <mergeCell ref="M381:N381"/>
    <mergeCell ref="AQ392:AR392"/>
    <mergeCell ref="M384:N384"/>
    <mergeCell ref="O384:P384"/>
    <mergeCell ref="A387:A388"/>
    <mergeCell ref="A385:A386"/>
    <mergeCell ref="C384:D384"/>
    <mergeCell ref="E384:F384"/>
    <mergeCell ref="G384:H384"/>
    <mergeCell ref="I384:J384"/>
    <mergeCell ref="K384:L384"/>
    <mergeCell ref="I383:J383"/>
    <mergeCell ref="K383:L383"/>
    <mergeCell ref="M383:N383"/>
    <mergeCell ref="O383:P383"/>
    <mergeCell ref="Q384:R384"/>
    <mergeCell ref="Q383:R383"/>
    <mergeCell ref="S383:T383"/>
    <mergeCell ref="A383:A384"/>
    <mergeCell ref="C383:D383"/>
    <mergeCell ref="E383:F383"/>
    <mergeCell ref="G383:H383"/>
    <mergeCell ref="AQ389:AR389"/>
    <mergeCell ref="M388:N388"/>
    <mergeCell ref="O389:P389"/>
    <mergeCell ref="Q389:R389"/>
    <mergeCell ref="S389:T389"/>
    <mergeCell ref="O388:P388"/>
    <mergeCell ref="Q388:R388"/>
    <mergeCell ref="S388:T388"/>
    <mergeCell ref="W387:X387"/>
    <mergeCell ref="W386:X386"/>
    <mergeCell ref="AG386:AH386"/>
    <mergeCell ref="AE396:AF396"/>
    <mergeCell ref="AG396:AH396"/>
    <mergeCell ref="AI396:AJ396"/>
    <mergeCell ref="AK396:AL396"/>
    <mergeCell ref="AM396:AN396"/>
    <mergeCell ref="AC396:AD396"/>
    <mergeCell ref="AI398:AJ398"/>
    <mergeCell ref="AK398:AL398"/>
    <mergeCell ref="AG397:AH397"/>
    <mergeCell ref="AI397:AJ397"/>
    <mergeCell ref="AK397:AL397"/>
    <mergeCell ref="AC397:AD397"/>
    <mergeCell ref="AE397:AF397"/>
    <mergeCell ref="AY396:AZ396"/>
    <mergeCell ref="AY395:AZ395"/>
    <mergeCell ref="AO397:AP397"/>
    <mergeCell ref="AQ397:AR397"/>
    <mergeCell ref="AQ396:AR396"/>
    <mergeCell ref="AS396:AT396"/>
    <mergeCell ref="AU396:AV396"/>
    <mergeCell ref="AW396:AX396"/>
    <mergeCell ref="AO396:AP396"/>
    <mergeCell ref="AG395:AH395"/>
    <mergeCell ref="AI395:AJ395"/>
    <mergeCell ref="AY400:AZ400"/>
    <mergeCell ref="AM400:AN400"/>
    <mergeCell ref="AO400:AP400"/>
    <mergeCell ref="AQ398:AR398"/>
    <mergeCell ref="AS398:AT398"/>
    <mergeCell ref="AU398:AV398"/>
    <mergeCell ref="AW398:AX398"/>
    <mergeCell ref="AY398:AZ398"/>
    <mergeCell ref="AE398:AF398"/>
    <mergeCell ref="AG398:AH398"/>
    <mergeCell ref="AC398:AD398"/>
    <mergeCell ref="AM398:AN398"/>
    <mergeCell ref="AO398:AP398"/>
    <mergeCell ref="AS397:AT397"/>
    <mergeCell ref="AU397:AV397"/>
    <mergeCell ref="AW397:AX397"/>
    <mergeCell ref="AY397:AZ397"/>
    <mergeCell ref="AM397:AN397"/>
    <mergeCell ref="AU404:AV404"/>
    <mergeCell ref="AW404:AX404"/>
    <mergeCell ref="AY404:AZ404"/>
    <mergeCell ref="AY403:AZ403"/>
    <mergeCell ref="AW403:AX403"/>
    <mergeCell ref="AS403:AT403"/>
    <mergeCell ref="AU403:AV403"/>
    <mergeCell ref="AU402:AV402"/>
    <mergeCell ref="AW402:AX402"/>
    <mergeCell ref="AY402:AZ402"/>
    <mergeCell ref="AS402:AT402"/>
    <mergeCell ref="AS401:AT401"/>
    <mergeCell ref="AY401:AZ401"/>
    <mergeCell ref="AG401:AH401"/>
    <mergeCell ref="AC401:AD401"/>
    <mergeCell ref="AE401:AF401"/>
    <mergeCell ref="AE400:AF400"/>
    <mergeCell ref="AG400:AH400"/>
    <mergeCell ref="AI400:AJ400"/>
    <mergeCell ref="AK400:AL400"/>
    <mergeCell ref="AC400:AD400"/>
    <mergeCell ref="AU401:AV401"/>
    <mergeCell ref="AW401:AX401"/>
    <mergeCell ref="AI401:AJ401"/>
    <mergeCell ref="AK401:AL401"/>
    <mergeCell ref="AM401:AN401"/>
    <mergeCell ref="AO401:AP401"/>
    <mergeCell ref="AQ401:AR401"/>
    <mergeCell ref="AQ400:AR400"/>
    <mergeCell ref="AS400:AT400"/>
    <mergeCell ref="AU400:AV400"/>
    <mergeCell ref="AW400:AX400"/>
    <mergeCell ref="AC404:AD404"/>
    <mergeCell ref="AE404:AF404"/>
    <mergeCell ref="AC403:AD403"/>
    <mergeCell ref="AE403:AF403"/>
    <mergeCell ref="AC402:AD402"/>
    <mergeCell ref="AE402:AF402"/>
    <mergeCell ref="AO404:AP404"/>
    <mergeCell ref="AM404:AN404"/>
    <mergeCell ref="AM405:AN405"/>
    <mergeCell ref="AM403:AN403"/>
    <mergeCell ref="AO403:AP403"/>
    <mergeCell ref="AQ403:AR403"/>
    <mergeCell ref="AI402:AJ402"/>
    <mergeCell ref="AK402:AL402"/>
    <mergeCell ref="AM402:AN402"/>
    <mergeCell ref="AO402:AP402"/>
    <mergeCell ref="AQ402:AR402"/>
    <mergeCell ref="AO405:AP405"/>
    <mergeCell ref="AQ404:AR404"/>
    <mergeCell ref="AI410:AJ410"/>
    <mergeCell ref="AK410:AL410"/>
    <mergeCell ref="AK407:AL407"/>
    <mergeCell ref="AE407:AF407"/>
    <mergeCell ref="AE405:AF405"/>
    <mergeCell ref="AG405:AH405"/>
    <mergeCell ref="AG404:AH404"/>
    <mergeCell ref="AG403:AH403"/>
    <mergeCell ref="AG402:AH402"/>
    <mergeCell ref="AI405:AJ405"/>
    <mergeCell ref="AK405:AL405"/>
    <mergeCell ref="AI404:AJ404"/>
    <mergeCell ref="AK404:AL404"/>
    <mergeCell ref="AI403:AJ403"/>
    <mergeCell ref="AK403:AL403"/>
    <mergeCell ref="AQ406:AR406"/>
    <mergeCell ref="AS406:AT406"/>
    <mergeCell ref="AE406:AF406"/>
    <mergeCell ref="AS404:AT404"/>
    <mergeCell ref="AQ407:AR407"/>
    <mergeCell ref="AO409:AP409"/>
    <mergeCell ref="AQ409:AR409"/>
    <mergeCell ref="AM408:AN408"/>
    <mergeCell ref="AO408:AP408"/>
    <mergeCell ref="AQ408:AR408"/>
    <mergeCell ref="AQ410:AR410"/>
    <mergeCell ref="AS410:AT410"/>
    <mergeCell ref="AG407:AH407"/>
    <mergeCell ref="AI407:AJ407"/>
    <mergeCell ref="AM407:AN407"/>
    <mergeCell ref="AO407:AP407"/>
    <mergeCell ref="AG406:AH406"/>
    <mergeCell ref="AI406:AJ406"/>
    <mergeCell ref="AK406:AL406"/>
    <mergeCell ref="AM406:AN406"/>
    <mergeCell ref="AC407:AD407"/>
    <mergeCell ref="AC405:AD405"/>
    <mergeCell ref="AQ405:AR405"/>
    <mergeCell ref="AS405:AT405"/>
    <mergeCell ref="AU405:AV405"/>
    <mergeCell ref="AW405:AX405"/>
    <mergeCell ref="AY405:AZ405"/>
    <mergeCell ref="AY406:AZ406"/>
    <mergeCell ref="AO406:AP406"/>
    <mergeCell ref="AU406:AV406"/>
    <mergeCell ref="AW406:AX406"/>
    <mergeCell ref="AC406:AD406"/>
    <mergeCell ref="AU407:AV407"/>
    <mergeCell ref="AW407:AX407"/>
    <mergeCell ref="AC420:AD420"/>
    <mergeCell ref="AE420:AF420"/>
    <mergeCell ref="AG420:AH420"/>
    <mergeCell ref="AG419:AH419"/>
    <mergeCell ref="AE419:AF419"/>
    <mergeCell ref="AE417:AF417"/>
    <mergeCell ref="AG417:AH417"/>
    <mergeCell ref="AM414:AN414"/>
    <mergeCell ref="AM415:AN415"/>
    <mergeCell ref="AM413:AN413"/>
    <mergeCell ref="AO413:AP413"/>
    <mergeCell ref="AO410:AP410"/>
    <mergeCell ref="AM410:AN410"/>
    <mergeCell ref="AG415:AH415"/>
    <mergeCell ref="AI415:AJ415"/>
    <mergeCell ref="AK415:AL415"/>
    <mergeCell ref="AI414:AJ414"/>
    <mergeCell ref="AK414:AL414"/>
    <mergeCell ref="AO414:AP414"/>
    <mergeCell ref="AG414:AH414"/>
    <mergeCell ref="AO415:AP415"/>
    <mergeCell ref="AE415:AF415"/>
    <mergeCell ref="AE414:AF414"/>
    <mergeCell ref="AG413:AH413"/>
    <mergeCell ref="AI413:AJ413"/>
    <mergeCell ref="AK413:AL413"/>
    <mergeCell ref="AE413:AF413"/>
    <mergeCell ref="AK412:AL412"/>
    <mergeCell ref="AC411:AD411"/>
    <mergeCell ref="AC410:AD410"/>
    <mergeCell ref="AE410:AF410"/>
    <mergeCell ref="AG410:AH410"/>
    <mergeCell ref="AG412:AH412"/>
    <mergeCell ref="AI412:AJ412"/>
    <mergeCell ref="AM412:AN412"/>
    <mergeCell ref="AO412:AP412"/>
    <mergeCell ref="AC412:AD412"/>
    <mergeCell ref="AE412:AF412"/>
    <mergeCell ref="AE411:AF411"/>
    <mergeCell ref="AG411:AH411"/>
    <mergeCell ref="AI411:AJ411"/>
    <mergeCell ref="AK411:AL411"/>
    <mergeCell ref="AM411:AN411"/>
    <mergeCell ref="AO411:AP411"/>
    <mergeCell ref="AE418:AF418"/>
    <mergeCell ref="AG418:AH418"/>
    <mergeCell ref="AC416:AD416"/>
    <mergeCell ref="AE416:AF416"/>
    <mergeCell ref="AG416:AH416"/>
    <mergeCell ref="AI416:AJ416"/>
    <mergeCell ref="AK416:AL416"/>
    <mergeCell ref="AM416:AN416"/>
    <mergeCell ref="AO416:AP416"/>
    <mergeCell ref="AI417:AJ417"/>
    <mergeCell ref="AK417:AL417"/>
    <mergeCell ref="AI418:AJ418"/>
    <mergeCell ref="AK418:AL418"/>
    <mergeCell ref="AO417:AP417"/>
    <mergeCell ref="AY394:AZ394"/>
    <mergeCell ref="AC392:AD392"/>
    <mergeCell ref="AE392:AF392"/>
    <mergeCell ref="AC393:AD393"/>
    <mergeCell ref="AC390:AD390"/>
    <mergeCell ref="AC391:AD391"/>
    <mergeCell ref="AG391:AH391"/>
    <mergeCell ref="AI391:AJ391"/>
    <mergeCell ref="AU390:AV390"/>
    <mergeCell ref="AW390:AX390"/>
    <mergeCell ref="AS391:AT391"/>
    <mergeCell ref="AU391:AV391"/>
    <mergeCell ref="AW391:AX391"/>
    <mergeCell ref="AY391:AZ391"/>
    <mergeCell ref="AQ391:AR391"/>
    <mergeCell ref="AQ390:AR390"/>
    <mergeCell ref="AS390:AT390"/>
    <mergeCell ref="AY390:AZ390"/>
    <mergeCell ref="AU393:AV393"/>
    <mergeCell ref="AW393:AX393"/>
    <mergeCell ref="AY393:AZ393"/>
    <mergeCell ref="AI393:AJ393"/>
    <mergeCell ref="AK393:AL393"/>
    <mergeCell ref="AM393:AN393"/>
    <mergeCell ref="AO393:AP393"/>
    <mergeCell ref="AG393:AH393"/>
    <mergeCell ref="AQ393:AR393"/>
    <mergeCell ref="AS393:AT393"/>
    <mergeCell ref="AS392:AT392"/>
    <mergeCell ref="AU392:AV392"/>
    <mergeCell ref="AW392:AX392"/>
    <mergeCell ref="AY392:AZ392"/>
    <mergeCell ref="AQ395:AR395"/>
    <mergeCell ref="AS395:AT395"/>
    <mergeCell ref="AU395:AV395"/>
    <mergeCell ref="AW395:AX395"/>
    <mergeCell ref="AC395:AD395"/>
    <mergeCell ref="AE395:AF395"/>
    <mergeCell ref="AO394:AP394"/>
    <mergeCell ref="AC394:AD394"/>
    <mergeCell ref="AE394:AF394"/>
    <mergeCell ref="AG394:AH394"/>
    <mergeCell ref="AI394:AJ394"/>
    <mergeCell ref="AK394:AL394"/>
    <mergeCell ref="AM394:AN394"/>
    <mergeCell ref="AK395:AL395"/>
    <mergeCell ref="AM395:AN395"/>
    <mergeCell ref="AQ394:AR394"/>
    <mergeCell ref="AS394:AT394"/>
    <mergeCell ref="AU394:AV394"/>
    <mergeCell ref="AW394:AX394"/>
    <mergeCell ref="AK391:AL391"/>
    <mergeCell ref="AM391:AN391"/>
    <mergeCell ref="AE393:AF393"/>
    <mergeCell ref="AE391:AF391"/>
    <mergeCell ref="AE390:AF390"/>
    <mergeCell ref="AG390:AH390"/>
    <mergeCell ref="AI390:AJ390"/>
    <mergeCell ref="AK390:AL390"/>
    <mergeCell ref="AM390:AN390"/>
    <mergeCell ref="AG392:AH392"/>
    <mergeCell ref="AI392:AJ392"/>
    <mergeCell ref="AK392:AL392"/>
    <mergeCell ref="AM392:AN392"/>
    <mergeCell ref="AO392:AP392"/>
    <mergeCell ref="AO390:AP390"/>
    <mergeCell ref="AO391:AP391"/>
    <mergeCell ref="AO395:AP395"/>
  </mergeCells>
  <pageMargins left="0.23622047244094488" right="0.23622047244094488" top="0.74803149606299213" bottom="0.74803149606299213"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48"/>
  <sheetViews>
    <sheetView workbookViewId="0"/>
  </sheetViews>
  <sheetFormatPr baseColWidth="10" defaultColWidth="14.42578125" defaultRowHeight="15" customHeight="1"/>
  <cols>
    <col min="1" max="1" width="3.140625" customWidth="1"/>
    <col min="2" max="2" width="6.85546875" customWidth="1"/>
    <col min="3" max="3" width="31.28515625" customWidth="1"/>
    <col min="4" max="4" width="38.85546875" customWidth="1"/>
    <col min="5" max="11" width="12.85546875" customWidth="1"/>
    <col min="12" max="12" width="12.7109375" customWidth="1"/>
    <col min="13" max="14" width="16.42578125" customWidth="1"/>
    <col min="15" max="15" width="11.28515625" customWidth="1"/>
    <col min="16" max="16" width="14.42578125" customWidth="1"/>
    <col min="17" max="21" width="21.5703125" customWidth="1"/>
    <col min="22" max="22" width="20.85546875" customWidth="1"/>
    <col min="23" max="23" width="22.140625" customWidth="1"/>
    <col min="24" max="24" width="24.85546875" customWidth="1"/>
    <col min="25" max="26" width="11.42578125" customWidth="1"/>
    <col min="27" max="27" width="13.7109375" customWidth="1"/>
    <col min="28" max="29" width="11.42578125" customWidth="1"/>
  </cols>
  <sheetData>
    <row r="1" spans="1:29" ht="15.75" customHeight="1">
      <c r="A1" s="200"/>
      <c r="B1" s="657" t="s">
        <v>285</v>
      </c>
      <c r="C1" s="632"/>
      <c r="D1" s="632"/>
      <c r="E1" s="632"/>
      <c r="F1" s="632"/>
      <c r="G1" s="632"/>
      <c r="H1" s="632"/>
      <c r="I1" s="632"/>
      <c r="J1" s="632"/>
      <c r="K1" s="633"/>
      <c r="L1" s="200"/>
      <c r="M1" s="200"/>
      <c r="N1" s="200"/>
      <c r="O1" s="200"/>
      <c r="P1" s="200"/>
      <c r="Q1" s="200"/>
      <c r="R1" s="200"/>
      <c r="S1" s="200"/>
      <c r="T1" s="200"/>
      <c r="U1" s="200"/>
      <c r="V1" s="200"/>
      <c r="W1" s="200"/>
      <c r="X1" s="200"/>
      <c r="Y1" s="200"/>
      <c r="Z1" s="200"/>
      <c r="AA1" s="200"/>
      <c r="AB1" s="200"/>
      <c r="AC1" s="200"/>
    </row>
    <row r="2" spans="1:29" ht="12.75" customHeight="1">
      <c r="A2" s="200"/>
      <c r="B2" s="658" t="s">
        <v>855</v>
      </c>
      <c r="C2" s="635"/>
      <c r="D2" s="635"/>
      <c r="E2" s="635"/>
      <c r="F2" s="635"/>
      <c r="G2" s="635"/>
      <c r="H2" s="635"/>
      <c r="I2" s="635"/>
      <c r="J2" s="635"/>
      <c r="K2" s="636"/>
      <c r="L2" s="200"/>
      <c r="M2" s="200"/>
      <c r="N2" s="200"/>
      <c r="O2" s="200"/>
      <c r="P2" s="200"/>
      <c r="Q2" s="200"/>
      <c r="R2" s="200"/>
      <c r="S2" s="200"/>
      <c r="T2" s="200"/>
      <c r="U2" s="200"/>
      <c r="V2" s="200"/>
      <c r="W2" s="200"/>
      <c r="X2" s="200"/>
      <c r="Y2" s="200"/>
      <c r="Z2" s="200"/>
      <c r="AA2" s="200"/>
      <c r="AB2" s="200"/>
      <c r="AC2" s="200"/>
    </row>
    <row r="3" spans="1:29" ht="12.75" customHeight="1">
      <c r="A3" s="200"/>
      <c r="B3" s="659" t="s">
        <v>856</v>
      </c>
      <c r="C3" s="510"/>
      <c r="D3" s="660" t="s">
        <v>857</v>
      </c>
      <c r="E3" s="632"/>
      <c r="F3" s="632"/>
      <c r="G3" s="632"/>
      <c r="H3" s="632"/>
      <c r="I3" s="632"/>
      <c r="J3" s="632"/>
      <c r="K3" s="633"/>
      <c r="L3" s="200"/>
      <c r="M3" s="200"/>
      <c r="N3" s="200"/>
      <c r="O3" s="200"/>
      <c r="P3" s="200"/>
      <c r="Q3" s="200"/>
      <c r="R3" s="200"/>
      <c r="S3" s="200"/>
      <c r="T3" s="200"/>
      <c r="U3" s="200"/>
      <c r="V3" s="200"/>
      <c r="W3" s="200"/>
      <c r="X3" s="200"/>
      <c r="Y3" s="200"/>
      <c r="Z3" s="200"/>
      <c r="AA3" s="200"/>
      <c r="AB3" s="200"/>
      <c r="AC3" s="200"/>
    </row>
    <row r="4" spans="1:29" ht="15.75" customHeight="1">
      <c r="A4" s="200"/>
      <c r="B4" s="648" t="s">
        <v>858</v>
      </c>
      <c r="C4" s="649"/>
      <c r="D4" s="650" t="s">
        <v>859</v>
      </c>
      <c r="E4" s="632"/>
      <c r="F4" s="632"/>
      <c r="G4" s="632"/>
      <c r="H4" s="632"/>
      <c r="I4" s="632"/>
      <c r="J4" s="632"/>
      <c r="K4" s="633"/>
      <c r="L4" s="200"/>
      <c r="M4" s="200"/>
      <c r="N4" s="200"/>
      <c r="O4" s="200"/>
      <c r="P4" s="200"/>
      <c r="Q4" s="200"/>
      <c r="R4" s="200"/>
      <c r="S4" s="200"/>
      <c r="T4" s="200"/>
      <c r="U4" s="200"/>
      <c r="V4" s="200"/>
      <c r="W4" s="200"/>
      <c r="X4" s="200"/>
      <c r="Y4" s="200"/>
      <c r="Z4" s="200"/>
      <c r="AA4" s="200"/>
      <c r="AB4" s="200"/>
      <c r="AC4" s="200"/>
    </row>
    <row r="5" spans="1:29" ht="13.5" customHeight="1">
      <c r="A5" s="200"/>
      <c r="B5" s="651" t="s">
        <v>860</v>
      </c>
      <c r="C5" s="653" t="s">
        <v>861</v>
      </c>
      <c r="D5" s="654" t="s">
        <v>862</v>
      </c>
      <c r="E5" s="633"/>
      <c r="F5" s="654" t="s">
        <v>753</v>
      </c>
      <c r="G5" s="633"/>
      <c r="H5" s="654" t="s">
        <v>863</v>
      </c>
      <c r="I5" s="661"/>
      <c r="J5" s="656" t="s">
        <v>864</v>
      </c>
      <c r="K5" s="633"/>
      <c r="L5" s="200"/>
      <c r="M5" s="200"/>
      <c r="N5" s="200"/>
      <c r="O5" s="200"/>
      <c r="P5" s="200"/>
      <c r="Q5" s="200"/>
      <c r="R5" s="200"/>
      <c r="S5" s="200"/>
      <c r="T5" s="200"/>
      <c r="U5" s="200"/>
      <c r="V5" s="200"/>
      <c r="W5" s="200"/>
      <c r="X5" s="200"/>
      <c r="Y5" s="200"/>
      <c r="Z5" s="200"/>
      <c r="AA5" s="200"/>
      <c r="AB5" s="200"/>
      <c r="AC5" s="200"/>
    </row>
    <row r="6" spans="1:29" ht="12.75" customHeight="1">
      <c r="A6" s="200"/>
      <c r="B6" s="652"/>
      <c r="C6" s="647"/>
      <c r="D6" s="201" t="s">
        <v>865</v>
      </c>
      <c r="E6" s="201" t="s">
        <v>866</v>
      </c>
      <c r="F6" s="201" t="s">
        <v>865</v>
      </c>
      <c r="G6" s="201" t="s">
        <v>866</v>
      </c>
      <c r="H6" s="201" t="s">
        <v>865</v>
      </c>
      <c r="I6" s="201" t="s">
        <v>866</v>
      </c>
      <c r="J6" s="201" t="s">
        <v>865</v>
      </c>
      <c r="K6" s="201" t="s">
        <v>867</v>
      </c>
      <c r="L6" s="200"/>
      <c r="M6" s="200"/>
      <c r="N6" s="200"/>
      <c r="O6" s="200"/>
      <c r="P6" s="200"/>
      <c r="Q6" s="200"/>
      <c r="R6" s="200"/>
      <c r="S6" s="200"/>
      <c r="T6" s="200"/>
      <c r="U6" s="200"/>
      <c r="V6" s="200"/>
      <c r="W6" s="200"/>
      <c r="X6" s="200"/>
      <c r="Y6" s="200"/>
      <c r="Z6" s="200"/>
      <c r="AA6" s="200"/>
      <c r="AB6" s="200"/>
      <c r="AC6" s="200"/>
    </row>
    <row r="7" spans="1:29" ht="12.75" customHeight="1">
      <c r="A7" s="200"/>
      <c r="B7" s="202">
        <v>1</v>
      </c>
      <c r="C7" s="203" t="s">
        <v>529</v>
      </c>
      <c r="D7" s="204" t="s">
        <v>868</v>
      </c>
      <c r="E7" s="205">
        <f>SUM(G44:G51)</f>
        <v>4.2699999999999996</v>
      </c>
      <c r="F7" s="206" t="s">
        <v>869</v>
      </c>
      <c r="G7" s="207">
        <v>4.5</v>
      </c>
      <c r="H7" s="206"/>
      <c r="I7" s="206"/>
      <c r="J7" s="208"/>
      <c r="K7" s="209"/>
      <c r="L7" s="200"/>
      <c r="M7" s="200"/>
      <c r="N7" s="200"/>
      <c r="O7" s="200"/>
      <c r="P7" s="200"/>
      <c r="Q7" s="200"/>
      <c r="R7" s="200"/>
      <c r="S7" s="200"/>
      <c r="T7" s="200"/>
      <c r="U7" s="200"/>
      <c r="V7" s="200"/>
      <c r="W7" s="200"/>
      <c r="X7" s="200"/>
      <c r="Y7" s="200"/>
      <c r="Z7" s="200"/>
      <c r="AA7" s="200"/>
      <c r="AB7" s="200"/>
      <c r="AC7" s="200"/>
    </row>
    <row r="8" spans="1:29" ht="12.75" customHeight="1">
      <c r="A8" s="200"/>
      <c r="B8" s="210">
        <v>2</v>
      </c>
      <c r="C8" s="211" t="s">
        <v>530</v>
      </c>
      <c r="D8" s="204" t="s">
        <v>870</v>
      </c>
      <c r="E8" s="205">
        <f>SUM(G52:G57)</f>
        <v>0.99</v>
      </c>
      <c r="F8" s="212"/>
      <c r="G8" s="213"/>
      <c r="H8" s="212"/>
      <c r="I8" s="212"/>
      <c r="J8" s="214"/>
      <c r="K8" s="215"/>
      <c r="L8" s="200"/>
      <c r="M8" s="200"/>
      <c r="N8" s="200"/>
      <c r="O8" s="200"/>
      <c r="P8" s="200"/>
      <c r="Q8" s="200"/>
      <c r="R8" s="200"/>
      <c r="S8" s="200"/>
      <c r="T8" s="200"/>
      <c r="U8" s="200"/>
      <c r="V8" s="200"/>
      <c r="W8" s="200"/>
      <c r="X8" s="200"/>
      <c r="Y8" s="200"/>
      <c r="Z8" s="200"/>
      <c r="AA8" s="200"/>
      <c r="AB8" s="200"/>
      <c r="AC8" s="200"/>
    </row>
    <row r="9" spans="1:29" ht="12.75" customHeight="1">
      <c r="A9" s="200"/>
      <c r="B9" s="202">
        <v>3</v>
      </c>
      <c r="C9" s="203" t="s">
        <v>871</v>
      </c>
      <c r="D9" s="216" t="s">
        <v>872</v>
      </c>
      <c r="E9" s="205">
        <f>SUM(G58:G61)</f>
        <v>2.84</v>
      </c>
      <c r="F9" s="212"/>
      <c r="G9" s="213"/>
      <c r="H9" s="212"/>
      <c r="I9" s="212"/>
      <c r="J9" s="214"/>
      <c r="K9" s="215"/>
      <c r="L9" s="200"/>
      <c r="M9" s="200"/>
      <c r="N9" s="200"/>
      <c r="O9" s="200"/>
      <c r="P9" s="200"/>
      <c r="Q9" s="200"/>
      <c r="R9" s="200"/>
      <c r="S9" s="200"/>
      <c r="T9" s="200"/>
      <c r="U9" s="200"/>
      <c r="V9" s="200"/>
      <c r="W9" s="200"/>
      <c r="X9" s="200"/>
      <c r="Y9" s="200"/>
      <c r="Z9" s="200"/>
      <c r="AA9" s="200"/>
      <c r="AB9" s="200"/>
      <c r="AC9" s="200"/>
    </row>
    <row r="10" spans="1:29" ht="12.75" customHeight="1">
      <c r="A10" s="200"/>
      <c r="B10" s="210">
        <v>4</v>
      </c>
      <c r="C10" s="211" t="s">
        <v>873</v>
      </c>
      <c r="D10" s="216" t="s">
        <v>874</v>
      </c>
      <c r="E10" s="205">
        <f>SUM(G62:G67)</f>
        <v>5.0199999999999996</v>
      </c>
      <c r="F10" s="212"/>
      <c r="G10" s="213"/>
      <c r="H10" s="212"/>
      <c r="I10" s="212"/>
      <c r="J10" s="214"/>
      <c r="K10" s="215"/>
      <c r="L10" s="200"/>
      <c r="M10" s="200"/>
      <c r="N10" s="200"/>
      <c r="O10" s="200"/>
      <c r="P10" s="200"/>
      <c r="Q10" s="200"/>
      <c r="R10" s="200"/>
      <c r="S10" s="200"/>
      <c r="T10" s="200"/>
      <c r="U10" s="200"/>
      <c r="V10" s="200"/>
      <c r="W10" s="200"/>
      <c r="X10" s="200"/>
      <c r="Y10" s="200"/>
      <c r="Z10" s="200"/>
      <c r="AA10" s="200"/>
      <c r="AB10" s="200"/>
      <c r="AC10" s="200"/>
    </row>
    <row r="11" spans="1:29" ht="12.75" customHeight="1">
      <c r="A11" s="200"/>
      <c r="B11" s="202">
        <v>5</v>
      </c>
      <c r="C11" s="217" t="s">
        <v>875</v>
      </c>
      <c r="D11" s="216" t="s">
        <v>876</v>
      </c>
      <c r="E11" s="218">
        <f>SUM(G68:G90)</f>
        <v>24.81</v>
      </c>
      <c r="F11" s="212" t="s">
        <v>877</v>
      </c>
      <c r="G11" s="213">
        <f>SUM(G280:G300)</f>
        <v>108.75</v>
      </c>
      <c r="H11" s="212"/>
      <c r="I11" s="212"/>
      <c r="J11" s="214"/>
      <c r="K11" s="215"/>
      <c r="L11" s="200"/>
      <c r="M11" s="200"/>
      <c r="N11" s="200"/>
      <c r="O11" s="200"/>
      <c r="P11" s="200"/>
      <c r="Q11" s="200"/>
      <c r="R11" s="200"/>
      <c r="S11" s="200"/>
      <c r="T11" s="200"/>
      <c r="U11" s="200"/>
      <c r="V11" s="200"/>
      <c r="W11" s="200"/>
      <c r="X11" s="200"/>
      <c r="Y11" s="200"/>
      <c r="Z11" s="200"/>
      <c r="AA11" s="200"/>
      <c r="AB11" s="200"/>
      <c r="AC11" s="200"/>
    </row>
    <row r="12" spans="1:29" ht="12.75" customHeight="1">
      <c r="A12" s="200"/>
      <c r="B12" s="210">
        <v>6</v>
      </c>
      <c r="C12" s="203" t="s">
        <v>536</v>
      </c>
      <c r="D12" s="216" t="s">
        <v>878</v>
      </c>
      <c r="E12" s="205">
        <f>SUM(G91:G92)</f>
        <v>0.62</v>
      </c>
      <c r="F12" s="212"/>
      <c r="G12" s="213"/>
      <c r="H12" s="212"/>
      <c r="I12" s="212"/>
      <c r="J12" s="214"/>
      <c r="K12" s="215"/>
      <c r="L12" s="200"/>
      <c r="M12" s="200"/>
      <c r="N12" s="200"/>
      <c r="O12" s="200"/>
      <c r="P12" s="200"/>
      <c r="Q12" s="200"/>
      <c r="R12" s="200"/>
      <c r="S12" s="200"/>
      <c r="T12" s="200"/>
      <c r="U12" s="200"/>
      <c r="V12" s="200"/>
      <c r="W12" s="200"/>
      <c r="X12" s="200"/>
      <c r="Y12" s="200"/>
      <c r="Z12" s="200"/>
      <c r="AA12" s="200"/>
      <c r="AB12" s="200"/>
      <c r="AC12" s="200"/>
    </row>
    <row r="13" spans="1:29" ht="12.75" customHeight="1">
      <c r="A13" s="200"/>
      <c r="B13" s="202">
        <v>7</v>
      </c>
      <c r="C13" s="203" t="s">
        <v>535</v>
      </c>
      <c r="D13" s="216" t="s">
        <v>879</v>
      </c>
      <c r="E13" s="212">
        <v>0.57999999999999996</v>
      </c>
      <c r="F13" s="212"/>
      <c r="G13" s="213"/>
      <c r="H13" s="212"/>
      <c r="I13" s="212"/>
      <c r="J13" s="214"/>
      <c r="K13" s="215"/>
      <c r="L13" s="200"/>
      <c r="M13" s="200"/>
      <c r="N13" s="200"/>
      <c r="O13" s="200"/>
      <c r="P13" s="200"/>
      <c r="Q13" s="200"/>
      <c r="R13" s="200"/>
      <c r="S13" s="200"/>
      <c r="T13" s="200"/>
      <c r="U13" s="200"/>
      <c r="V13" s="200"/>
      <c r="W13" s="200"/>
      <c r="X13" s="200"/>
      <c r="Y13" s="200"/>
      <c r="Z13" s="200"/>
      <c r="AA13" s="200"/>
      <c r="AB13" s="200"/>
      <c r="AC13" s="200"/>
    </row>
    <row r="14" spans="1:29" ht="12.75" customHeight="1">
      <c r="A14" s="200"/>
      <c r="B14" s="210">
        <v>8</v>
      </c>
      <c r="C14" s="211" t="s">
        <v>537</v>
      </c>
      <c r="D14" s="219" t="s">
        <v>880</v>
      </c>
      <c r="E14" s="205">
        <f>SUM(G95:G126)</f>
        <v>13.730000000000002</v>
      </c>
      <c r="F14" s="212" t="s">
        <v>881</v>
      </c>
      <c r="G14" s="213">
        <f>SUM(G305:G306)</f>
        <v>22</v>
      </c>
      <c r="H14" s="212"/>
      <c r="I14" s="212"/>
      <c r="J14" s="214"/>
      <c r="K14" s="215"/>
      <c r="L14" s="200"/>
      <c r="M14" s="200"/>
      <c r="N14" s="200"/>
      <c r="O14" s="200"/>
      <c r="P14" s="200"/>
      <c r="Q14" s="200"/>
      <c r="R14" s="200"/>
      <c r="S14" s="200"/>
      <c r="T14" s="200"/>
      <c r="U14" s="200"/>
      <c r="V14" s="200"/>
      <c r="W14" s="200"/>
      <c r="X14" s="200"/>
      <c r="Y14" s="200"/>
      <c r="Z14" s="200"/>
      <c r="AA14" s="200"/>
      <c r="AB14" s="200"/>
      <c r="AC14" s="200"/>
    </row>
    <row r="15" spans="1:29" ht="12.75" customHeight="1">
      <c r="A15" s="200"/>
      <c r="B15" s="202">
        <v>9</v>
      </c>
      <c r="C15" s="203" t="s">
        <v>882</v>
      </c>
      <c r="D15" s="220" t="s">
        <v>883</v>
      </c>
      <c r="E15" s="212">
        <v>0.64</v>
      </c>
      <c r="F15" s="212"/>
      <c r="G15" s="213"/>
      <c r="H15" s="212"/>
      <c r="I15" s="212"/>
      <c r="J15" s="214"/>
      <c r="K15" s="215"/>
      <c r="L15" s="200"/>
      <c r="M15" s="200"/>
      <c r="N15" s="200"/>
      <c r="O15" s="200"/>
      <c r="P15" s="200"/>
      <c r="Q15" s="200"/>
      <c r="R15" s="200"/>
      <c r="S15" s="200"/>
      <c r="T15" s="200"/>
      <c r="U15" s="200"/>
      <c r="V15" s="200"/>
      <c r="W15" s="200"/>
      <c r="X15" s="200"/>
      <c r="Y15" s="200"/>
      <c r="Z15" s="200"/>
      <c r="AA15" s="200"/>
      <c r="AB15" s="200"/>
      <c r="AC15" s="200"/>
    </row>
    <row r="16" spans="1:29" ht="12.75" customHeight="1">
      <c r="A16" s="200"/>
      <c r="B16" s="210">
        <v>10</v>
      </c>
      <c r="C16" s="211" t="s">
        <v>884</v>
      </c>
      <c r="D16" s="219" t="s">
        <v>885</v>
      </c>
      <c r="E16" s="205">
        <f>SUM(G129:G134)</f>
        <v>3.17</v>
      </c>
      <c r="F16" s="212"/>
      <c r="G16" s="213"/>
      <c r="H16" s="212"/>
      <c r="I16" s="212"/>
      <c r="J16" s="214"/>
      <c r="K16" s="215"/>
      <c r="L16" s="200"/>
      <c r="M16" s="200"/>
      <c r="N16" s="200"/>
      <c r="O16" s="200"/>
      <c r="P16" s="200"/>
      <c r="Q16" s="200"/>
      <c r="R16" s="200"/>
      <c r="S16" s="200"/>
      <c r="T16" s="200"/>
      <c r="U16" s="200"/>
      <c r="V16" s="200"/>
      <c r="W16" s="200"/>
      <c r="X16" s="200"/>
      <c r="Y16" s="200"/>
      <c r="Z16" s="200"/>
      <c r="AA16" s="200"/>
      <c r="AB16" s="200"/>
      <c r="AC16" s="200"/>
    </row>
    <row r="17" spans="1:29" ht="12.75" customHeight="1">
      <c r="A17" s="200"/>
      <c r="B17" s="202">
        <v>11</v>
      </c>
      <c r="C17" s="203" t="s">
        <v>886</v>
      </c>
      <c r="D17" s="219" t="s">
        <v>878</v>
      </c>
      <c r="E17" s="205">
        <f>SUM(G135:G139)</f>
        <v>4.0200000000000005</v>
      </c>
      <c r="F17" s="212" t="s">
        <v>887</v>
      </c>
      <c r="G17" s="213">
        <f>SUM(G301:G304)</f>
        <v>258.39999999999998</v>
      </c>
      <c r="H17" s="212"/>
      <c r="I17" s="212"/>
      <c r="J17" s="214"/>
      <c r="K17" s="215"/>
      <c r="L17" s="200"/>
      <c r="M17" s="200"/>
      <c r="N17" s="200"/>
      <c r="O17" s="200"/>
      <c r="P17" s="200"/>
      <c r="Q17" s="200"/>
      <c r="R17" s="200"/>
      <c r="S17" s="200"/>
      <c r="T17" s="200"/>
      <c r="U17" s="200"/>
      <c r="V17" s="200"/>
      <c r="W17" s="200"/>
      <c r="X17" s="200"/>
      <c r="Y17" s="200"/>
      <c r="Z17" s="200"/>
      <c r="AA17" s="200"/>
      <c r="AB17" s="200"/>
      <c r="AC17" s="200"/>
    </row>
    <row r="18" spans="1:29" ht="12.75" customHeight="1">
      <c r="A18" s="200"/>
      <c r="B18" s="210">
        <v>12</v>
      </c>
      <c r="C18" s="211" t="s">
        <v>548</v>
      </c>
      <c r="D18" s="219" t="s">
        <v>870</v>
      </c>
      <c r="E18" s="205">
        <f>SUM(G140:G142)</f>
        <v>7.66</v>
      </c>
      <c r="F18" s="203" t="s">
        <v>881</v>
      </c>
      <c r="G18" s="221">
        <f>SUM(G307:G309)</f>
        <v>19.5</v>
      </c>
      <c r="H18" s="212"/>
      <c r="I18" s="212"/>
      <c r="J18" s="222"/>
      <c r="K18" s="223"/>
      <c r="L18" s="200"/>
      <c r="M18" s="200"/>
      <c r="N18" s="200"/>
      <c r="O18" s="200"/>
      <c r="P18" s="200"/>
      <c r="Q18" s="200"/>
      <c r="R18" s="200"/>
      <c r="S18" s="200"/>
      <c r="T18" s="200"/>
      <c r="U18" s="200"/>
      <c r="V18" s="200"/>
      <c r="W18" s="200"/>
      <c r="X18" s="200"/>
      <c r="Y18" s="200"/>
      <c r="Z18" s="200"/>
      <c r="AA18" s="200"/>
      <c r="AB18" s="200"/>
      <c r="AC18" s="200"/>
    </row>
    <row r="19" spans="1:29" ht="12.75" customHeight="1">
      <c r="A19" s="200"/>
      <c r="B19" s="202">
        <v>13</v>
      </c>
      <c r="C19" s="203" t="s">
        <v>888</v>
      </c>
      <c r="D19" s="219" t="s">
        <v>885</v>
      </c>
      <c r="E19" s="205">
        <f>SUM(G143:G158)</f>
        <v>12.660000000000002</v>
      </c>
      <c r="F19" s="222" t="s">
        <v>889</v>
      </c>
      <c r="G19" s="205">
        <f>SUM(G310:G312)</f>
        <v>48.480000000000004</v>
      </c>
      <c r="H19" s="212"/>
      <c r="I19" s="212"/>
      <c r="J19" s="214"/>
      <c r="K19" s="215"/>
      <c r="L19" s="200"/>
      <c r="M19" s="200"/>
      <c r="N19" s="200"/>
      <c r="O19" s="200"/>
      <c r="P19" s="200"/>
      <c r="Q19" s="200"/>
      <c r="R19" s="200"/>
      <c r="S19" s="200"/>
      <c r="T19" s="200"/>
      <c r="U19" s="200"/>
      <c r="V19" s="200"/>
      <c r="W19" s="200"/>
      <c r="X19" s="200"/>
      <c r="Y19" s="200"/>
      <c r="Z19" s="200"/>
      <c r="AA19" s="200"/>
      <c r="AB19" s="200"/>
      <c r="AC19" s="200"/>
    </row>
    <row r="20" spans="1:29" ht="12.75" customHeight="1">
      <c r="A20" s="200"/>
      <c r="B20" s="210">
        <v>14</v>
      </c>
      <c r="C20" s="203" t="s">
        <v>890</v>
      </c>
      <c r="D20" s="219" t="s">
        <v>891</v>
      </c>
      <c r="E20" s="205">
        <f>SUM(G159:G162)</f>
        <v>1.53</v>
      </c>
      <c r="F20" s="222"/>
      <c r="G20" s="212"/>
      <c r="H20" s="212"/>
      <c r="I20" s="212"/>
      <c r="J20" s="214"/>
      <c r="K20" s="215"/>
      <c r="L20" s="200"/>
      <c r="M20" s="200"/>
      <c r="N20" s="200"/>
      <c r="O20" s="200"/>
      <c r="P20" s="200"/>
      <c r="Q20" s="200"/>
      <c r="R20" s="200"/>
      <c r="S20" s="200"/>
      <c r="T20" s="200"/>
      <c r="U20" s="200"/>
      <c r="V20" s="200"/>
      <c r="W20" s="200"/>
      <c r="X20" s="200"/>
      <c r="Y20" s="200"/>
      <c r="Z20" s="200"/>
      <c r="AA20" s="200"/>
      <c r="AB20" s="200"/>
      <c r="AC20" s="200"/>
    </row>
    <row r="21" spans="1:29" ht="12.75" customHeight="1">
      <c r="A21" s="200"/>
      <c r="B21" s="202">
        <v>15</v>
      </c>
      <c r="C21" s="203" t="s">
        <v>892</v>
      </c>
      <c r="D21" s="219" t="s">
        <v>891</v>
      </c>
      <c r="E21" s="212">
        <v>0.36</v>
      </c>
      <c r="F21" s="222"/>
      <c r="G21" s="212"/>
      <c r="H21" s="212"/>
      <c r="I21" s="212"/>
      <c r="J21" s="214"/>
      <c r="K21" s="215"/>
      <c r="L21" s="200"/>
      <c r="M21" s="200"/>
      <c r="N21" s="200"/>
      <c r="O21" s="200"/>
      <c r="P21" s="200"/>
      <c r="Q21" s="200"/>
      <c r="R21" s="200"/>
      <c r="S21" s="200"/>
      <c r="T21" s="200"/>
      <c r="U21" s="200"/>
      <c r="V21" s="200"/>
      <c r="W21" s="200"/>
      <c r="X21" s="200"/>
      <c r="Y21" s="200"/>
      <c r="Z21" s="200"/>
      <c r="AA21" s="200"/>
      <c r="AB21" s="200"/>
      <c r="AC21" s="200"/>
    </row>
    <row r="22" spans="1:29" ht="12.75" customHeight="1">
      <c r="A22" s="200"/>
      <c r="B22" s="210">
        <v>16</v>
      </c>
      <c r="C22" s="203" t="s">
        <v>550</v>
      </c>
      <c r="D22" s="219" t="s">
        <v>891</v>
      </c>
      <c r="E22" s="205">
        <f>SUM(G165:G167)</f>
        <v>3.16</v>
      </c>
      <c r="F22" s="222"/>
      <c r="G22" s="212"/>
      <c r="H22" s="212"/>
      <c r="I22" s="212"/>
      <c r="J22" s="214"/>
      <c r="K22" s="215"/>
      <c r="L22" s="200"/>
      <c r="M22" s="200"/>
      <c r="N22" s="200"/>
      <c r="O22" s="200"/>
      <c r="P22" s="200"/>
      <c r="Q22" s="200"/>
      <c r="R22" s="200"/>
      <c r="S22" s="200"/>
      <c r="T22" s="200"/>
      <c r="U22" s="200"/>
      <c r="V22" s="200"/>
      <c r="W22" s="200"/>
      <c r="X22" s="200"/>
      <c r="Y22" s="200"/>
      <c r="Z22" s="200"/>
      <c r="AA22" s="200"/>
      <c r="AB22" s="200"/>
      <c r="AC22" s="200"/>
    </row>
    <row r="23" spans="1:29" ht="12.75" customHeight="1">
      <c r="A23" s="200"/>
      <c r="B23" s="202">
        <v>17</v>
      </c>
      <c r="C23" s="203" t="s">
        <v>893</v>
      </c>
      <c r="D23" s="219" t="s">
        <v>894</v>
      </c>
      <c r="E23" s="205">
        <f>SUM(G168:G216)</f>
        <v>32.949999999999989</v>
      </c>
      <c r="F23" s="222" t="s">
        <v>895</v>
      </c>
      <c r="G23" s="212">
        <v>1</v>
      </c>
      <c r="H23" s="212"/>
      <c r="I23" s="212"/>
      <c r="J23" s="214"/>
      <c r="K23" s="215"/>
      <c r="L23" s="200"/>
      <c r="M23" s="200"/>
      <c r="N23" s="200"/>
      <c r="O23" s="200"/>
      <c r="P23" s="200"/>
      <c r="Q23" s="200"/>
      <c r="R23" s="200"/>
      <c r="S23" s="200"/>
      <c r="T23" s="200"/>
      <c r="U23" s="200"/>
      <c r="V23" s="200"/>
      <c r="W23" s="200"/>
      <c r="X23" s="200"/>
      <c r="Y23" s="200"/>
      <c r="Z23" s="200"/>
      <c r="AA23" s="200"/>
      <c r="AB23" s="200"/>
      <c r="AC23" s="200"/>
    </row>
    <row r="24" spans="1:29" ht="12.75" customHeight="1">
      <c r="A24" s="200"/>
      <c r="B24" s="210">
        <v>18</v>
      </c>
      <c r="C24" s="203" t="s">
        <v>896</v>
      </c>
      <c r="D24" s="219" t="s">
        <v>891</v>
      </c>
      <c r="E24" s="224">
        <f>SUM(G217:G222)</f>
        <v>3.4800000000000004</v>
      </c>
      <c r="F24" s="222"/>
      <c r="G24" s="212"/>
      <c r="H24" s="212"/>
      <c r="I24" s="212"/>
      <c r="J24" s="214"/>
      <c r="K24" s="215"/>
      <c r="L24" s="200"/>
      <c r="M24" s="200"/>
      <c r="N24" s="200"/>
      <c r="O24" s="200"/>
      <c r="P24" s="200"/>
      <c r="Q24" s="200"/>
      <c r="R24" s="200"/>
      <c r="S24" s="200"/>
      <c r="T24" s="200"/>
      <c r="U24" s="200"/>
      <c r="V24" s="200"/>
      <c r="W24" s="200"/>
      <c r="X24" s="200"/>
      <c r="Y24" s="200"/>
      <c r="Z24" s="200"/>
      <c r="AA24" s="200"/>
      <c r="AB24" s="200"/>
      <c r="AC24" s="200"/>
    </row>
    <row r="25" spans="1:29" ht="12.75" customHeight="1">
      <c r="A25" s="200"/>
      <c r="B25" s="202">
        <v>19</v>
      </c>
      <c r="C25" s="203" t="s">
        <v>545</v>
      </c>
      <c r="D25" s="219" t="s">
        <v>891</v>
      </c>
      <c r="E25" s="224">
        <f>SUM(G223:G227)</f>
        <v>1.55</v>
      </c>
      <c r="F25" s="222"/>
      <c r="G25" s="212"/>
      <c r="H25" s="212"/>
      <c r="I25" s="212"/>
      <c r="J25" s="214"/>
      <c r="K25" s="215"/>
      <c r="L25" s="200"/>
      <c r="M25" s="200"/>
      <c r="N25" s="200"/>
      <c r="O25" s="200"/>
      <c r="P25" s="200"/>
      <c r="Q25" s="200"/>
      <c r="R25" s="200"/>
      <c r="S25" s="200"/>
      <c r="T25" s="200"/>
      <c r="U25" s="200"/>
      <c r="V25" s="200"/>
      <c r="W25" s="200"/>
      <c r="X25" s="200"/>
      <c r="Y25" s="200"/>
      <c r="Z25" s="200"/>
      <c r="AA25" s="200"/>
      <c r="AB25" s="200"/>
      <c r="AC25" s="200"/>
    </row>
    <row r="26" spans="1:29" ht="12.75" customHeight="1">
      <c r="A26" s="200"/>
      <c r="B26" s="210">
        <v>20</v>
      </c>
      <c r="C26" s="211" t="s">
        <v>897</v>
      </c>
      <c r="D26" s="219">
        <v>2017</v>
      </c>
      <c r="E26" s="224">
        <f>SUM(G228:G233)</f>
        <v>1.4600000000000004</v>
      </c>
      <c r="F26" s="222"/>
      <c r="G26" s="212"/>
      <c r="H26" s="212"/>
      <c r="I26" s="212"/>
      <c r="J26" s="214"/>
      <c r="K26" s="215"/>
      <c r="L26" s="200"/>
      <c r="M26" s="200"/>
      <c r="N26" s="200"/>
      <c r="O26" s="200"/>
      <c r="P26" s="200"/>
      <c r="Q26" s="200"/>
      <c r="R26" s="200"/>
      <c r="S26" s="200"/>
      <c r="T26" s="200"/>
      <c r="U26" s="200"/>
      <c r="V26" s="200"/>
      <c r="W26" s="200"/>
      <c r="X26" s="200"/>
      <c r="Y26" s="200"/>
      <c r="Z26" s="200"/>
      <c r="AA26" s="200"/>
      <c r="AB26" s="200"/>
      <c r="AC26" s="200"/>
    </row>
    <row r="27" spans="1:29" ht="12.75" customHeight="1">
      <c r="A27" s="200"/>
      <c r="B27" s="202">
        <v>21</v>
      </c>
      <c r="C27" s="211" t="s">
        <v>898</v>
      </c>
      <c r="D27" s="219" t="s">
        <v>879</v>
      </c>
      <c r="E27" s="224">
        <f>SUM(G234:G251)</f>
        <v>6.669999999999999</v>
      </c>
      <c r="F27" s="222"/>
      <c r="G27" s="212"/>
      <c r="H27" s="212"/>
      <c r="I27" s="212"/>
      <c r="J27" s="214"/>
      <c r="K27" s="215"/>
      <c r="L27" s="200"/>
      <c r="M27" s="200"/>
      <c r="N27" s="200"/>
      <c r="O27" s="200"/>
      <c r="P27" s="200"/>
      <c r="Q27" s="200"/>
      <c r="R27" s="200"/>
      <c r="S27" s="200"/>
      <c r="T27" s="200"/>
      <c r="U27" s="200"/>
      <c r="V27" s="200"/>
      <c r="W27" s="200"/>
      <c r="X27" s="200"/>
      <c r="Y27" s="200"/>
      <c r="Z27" s="200"/>
      <c r="AA27" s="200"/>
      <c r="AB27" s="200"/>
      <c r="AC27" s="200"/>
    </row>
    <row r="28" spans="1:29" ht="12.75" customHeight="1">
      <c r="A28" s="200"/>
      <c r="B28" s="210">
        <v>22</v>
      </c>
      <c r="C28" s="211" t="s">
        <v>546</v>
      </c>
      <c r="D28" s="219">
        <v>2017</v>
      </c>
      <c r="E28" s="224">
        <f>SUM(G252:G256)</f>
        <v>0.75</v>
      </c>
      <c r="F28" s="222"/>
      <c r="G28" s="212"/>
      <c r="H28" s="212"/>
      <c r="I28" s="212"/>
      <c r="J28" s="214"/>
      <c r="K28" s="215"/>
      <c r="L28" s="200"/>
      <c r="M28" s="200"/>
      <c r="N28" s="200"/>
      <c r="O28" s="200"/>
      <c r="P28" s="200"/>
      <c r="Q28" s="200"/>
      <c r="R28" s="200"/>
      <c r="S28" s="200"/>
      <c r="T28" s="200"/>
      <c r="U28" s="200"/>
      <c r="V28" s="200"/>
      <c r="W28" s="200"/>
      <c r="X28" s="200"/>
      <c r="Y28" s="200"/>
      <c r="Z28" s="200"/>
      <c r="AA28" s="200"/>
      <c r="AB28" s="200"/>
      <c r="AC28" s="200"/>
    </row>
    <row r="29" spans="1:29" ht="12.75" customHeight="1">
      <c r="A29" s="200"/>
      <c r="B29" s="202">
        <v>23</v>
      </c>
      <c r="C29" s="211" t="s">
        <v>899</v>
      </c>
      <c r="D29" s="219" t="s">
        <v>891</v>
      </c>
      <c r="E29" s="224">
        <f>SUM(G257:G268)</f>
        <v>7.3699999999999992</v>
      </c>
      <c r="F29" s="222"/>
      <c r="G29" s="212"/>
      <c r="H29" s="212"/>
      <c r="I29" s="212"/>
      <c r="J29" s="214"/>
      <c r="K29" s="215"/>
      <c r="L29" s="200"/>
      <c r="M29" s="200"/>
      <c r="N29" s="200"/>
      <c r="O29" s="200"/>
      <c r="P29" s="200"/>
      <c r="Q29" s="200"/>
      <c r="R29" s="200"/>
      <c r="S29" s="200"/>
      <c r="T29" s="200"/>
      <c r="U29" s="200"/>
      <c r="V29" s="200"/>
      <c r="W29" s="200"/>
      <c r="X29" s="200"/>
      <c r="Y29" s="200"/>
      <c r="Z29" s="200"/>
      <c r="AA29" s="200"/>
      <c r="AB29" s="200"/>
      <c r="AC29" s="200"/>
    </row>
    <row r="30" spans="1:29" ht="12.75" customHeight="1">
      <c r="A30" s="200"/>
      <c r="B30" s="210"/>
      <c r="C30" s="211"/>
      <c r="D30" s="219"/>
      <c r="E30" s="224"/>
      <c r="F30" s="222"/>
      <c r="G30" s="212"/>
      <c r="H30" s="212"/>
      <c r="I30" s="212"/>
      <c r="J30" s="214"/>
      <c r="K30" s="215"/>
      <c r="L30" s="200"/>
      <c r="M30" s="200"/>
      <c r="N30" s="200"/>
      <c r="O30" s="200"/>
      <c r="P30" s="200"/>
      <c r="Q30" s="200"/>
      <c r="R30" s="200"/>
      <c r="S30" s="200"/>
      <c r="T30" s="200"/>
      <c r="U30" s="200"/>
      <c r="V30" s="200"/>
      <c r="W30" s="200"/>
      <c r="X30" s="200"/>
      <c r="Y30" s="200"/>
      <c r="Z30" s="200"/>
      <c r="AA30" s="200"/>
      <c r="AB30" s="200"/>
      <c r="AC30" s="200"/>
    </row>
    <row r="31" spans="1:29" ht="12.75" customHeight="1">
      <c r="A31" s="200"/>
      <c r="B31" s="210"/>
      <c r="C31" s="203"/>
      <c r="D31" s="219"/>
      <c r="E31" s="224"/>
      <c r="F31" s="222"/>
      <c r="G31" s="212"/>
      <c r="H31" s="212"/>
      <c r="I31" s="212"/>
      <c r="J31" s="214"/>
      <c r="K31" s="215"/>
      <c r="L31" s="200"/>
      <c r="M31" s="200"/>
      <c r="N31" s="200"/>
      <c r="O31" s="200"/>
      <c r="P31" s="200"/>
      <c r="Q31" s="200"/>
      <c r="R31" s="200"/>
      <c r="S31" s="200"/>
      <c r="T31" s="200"/>
      <c r="U31" s="200"/>
      <c r="V31" s="200"/>
      <c r="W31" s="200"/>
      <c r="X31" s="200"/>
      <c r="Y31" s="200"/>
      <c r="Z31" s="200"/>
      <c r="AA31" s="200"/>
      <c r="AB31" s="200"/>
      <c r="AC31" s="200"/>
    </row>
    <row r="32" spans="1:29" ht="12.75" customHeight="1">
      <c r="A32" s="200"/>
      <c r="B32" s="225"/>
      <c r="C32" s="226" t="s">
        <v>900</v>
      </c>
      <c r="D32" s="227"/>
      <c r="E32" s="228">
        <f>SUM(E7:E31)</f>
        <v>140.29</v>
      </c>
      <c r="F32" s="226"/>
      <c r="G32" s="228">
        <f>SUM(G7:G31)</f>
        <v>462.63</v>
      </c>
      <c r="H32" s="229"/>
      <c r="I32" s="230"/>
      <c r="J32" s="231"/>
      <c r="K32" s="232"/>
      <c r="L32" s="200"/>
      <c r="M32" s="200"/>
      <c r="N32" s="200"/>
      <c r="O32" s="200"/>
      <c r="P32" s="200"/>
      <c r="Q32" s="200"/>
      <c r="R32" s="200"/>
      <c r="S32" s="200"/>
      <c r="T32" s="200"/>
      <c r="U32" s="200"/>
      <c r="V32" s="200"/>
      <c r="W32" s="200"/>
      <c r="X32" s="200"/>
      <c r="Y32" s="200"/>
      <c r="Z32" s="200"/>
      <c r="AA32" s="200"/>
      <c r="AB32" s="200"/>
      <c r="AC32" s="200"/>
    </row>
    <row r="33" spans="1:29" ht="13.5" customHeight="1">
      <c r="A33" s="200"/>
      <c r="B33" s="631" t="s">
        <v>901</v>
      </c>
      <c r="C33" s="632"/>
      <c r="D33" s="632"/>
      <c r="E33" s="632"/>
      <c r="F33" s="632"/>
      <c r="G33" s="632"/>
      <c r="H33" s="632"/>
      <c r="I33" s="632"/>
      <c r="J33" s="632"/>
      <c r="K33" s="633"/>
      <c r="L33" s="200"/>
      <c r="M33" s="200"/>
      <c r="N33" s="200"/>
      <c r="O33" s="200"/>
      <c r="P33" s="200"/>
      <c r="Q33" s="200"/>
      <c r="R33" s="200"/>
      <c r="S33" s="200"/>
      <c r="T33" s="200"/>
      <c r="U33" s="200"/>
      <c r="V33" s="200"/>
      <c r="W33" s="200"/>
      <c r="X33" s="200"/>
      <c r="Y33" s="200"/>
      <c r="Z33" s="200"/>
      <c r="AA33" s="200"/>
      <c r="AB33" s="200"/>
      <c r="AC33" s="200"/>
    </row>
    <row r="34" spans="1:29" ht="15" customHeight="1">
      <c r="A34" s="200"/>
      <c r="B34" s="634"/>
      <c r="C34" s="635"/>
      <c r="D34" s="635"/>
      <c r="E34" s="635"/>
      <c r="F34" s="635"/>
      <c r="G34" s="635"/>
      <c r="H34" s="635"/>
      <c r="I34" s="635"/>
      <c r="J34" s="635"/>
      <c r="K34" s="636"/>
      <c r="L34" s="200"/>
      <c r="M34" s="200"/>
      <c r="N34" s="200"/>
      <c r="O34" s="200"/>
      <c r="P34" s="200"/>
      <c r="Q34" s="200"/>
      <c r="R34" s="200"/>
      <c r="S34" s="200"/>
      <c r="T34" s="200"/>
      <c r="U34" s="200"/>
      <c r="V34" s="200"/>
      <c r="W34" s="200"/>
      <c r="X34" s="200"/>
      <c r="Y34" s="200"/>
      <c r="Z34" s="200"/>
      <c r="AA34" s="200"/>
      <c r="AB34" s="200"/>
      <c r="AC34" s="200"/>
    </row>
    <row r="35" spans="1:29" ht="3" customHeight="1">
      <c r="A35" s="200"/>
      <c r="B35" s="637"/>
      <c r="C35" s="638"/>
      <c r="D35" s="638"/>
      <c r="E35" s="638"/>
      <c r="F35" s="638"/>
      <c r="G35" s="638"/>
      <c r="H35" s="638"/>
      <c r="I35" s="638"/>
      <c r="J35" s="638"/>
      <c r="K35" s="639"/>
      <c r="L35" s="200"/>
      <c r="M35" s="200"/>
      <c r="N35" s="200"/>
      <c r="O35" s="200"/>
      <c r="P35" s="200"/>
      <c r="Q35" s="200"/>
      <c r="R35" s="200"/>
      <c r="S35" s="200"/>
      <c r="T35" s="200"/>
      <c r="U35" s="200"/>
      <c r="V35" s="200"/>
      <c r="W35" s="200"/>
      <c r="X35" s="200"/>
      <c r="Y35" s="200"/>
      <c r="Z35" s="200"/>
      <c r="AA35" s="200"/>
      <c r="AB35" s="200"/>
      <c r="AC35" s="200"/>
    </row>
    <row r="36" spans="1:29" ht="12.75" customHeight="1">
      <c r="A36" s="200"/>
      <c r="B36" s="640" t="s">
        <v>902</v>
      </c>
      <c r="C36" s="512"/>
      <c r="D36" s="512"/>
      <c r="E36" s="512"/>
      <c r="F36" s="512"/>
      <c r="G36" s="512"/>
      <c r="H36" s="512"/>
      <c r="I36" s="512"/>
      <c r="J36" s="512"/>
      <c r="K36" s="641"/>
      <c r="L36" s="200"/>
      <c r="M36" s="200"/>
      <c r="N36" s="200"/>
      <c r="O36" s="200"/>
      <c r="P36" s="200"/>
      <c r="Q36" s="200"/>
      <c r="R36" s="200"/>
      <c r="S36" s="200"/>
      <c r="T36" s="200"/>
      <c r="U36" s="200"/>
      <c r="V36" s="200"/>
      <c r="W36" s="200"/>
      <c r="X36" s="200"/>
      <c r="Y36" s="200"/>
      <c r="Z36" s="200"/>
      <c r="AA36" s="200"/>
      <c r="AB36" s="200"/>
      <c r="AC36" s="200"/>
    </row>
    <row r="37" spans="1:29" ht="13.5" customHeight="1">
      <c r="A37" s="200"/>
      <c r="B37" s="642" t="s">
        <v>903</v>
      </c>
      <c r="C37" s="643"/>
      <c r="D37" s="643"/>
      <c r="E37" s="643"/>
      <c r="F37" s="643"/>
      <c r="G37" s="643"/>
      <c r="H37" s="643"/>
      <c r="I37" s="643"/>
      <c r="J37" s="643"/>
      <c r="K37" s="644"/>
      <c r="L37" s="200"/>
      <c r="M37" s="200"/>
      <c r="N37" s="200"/>
      <c r="O37" s="200"/>
      <c r="P37" s="200"/>
      <c r="Q37" s="200"/>
      <c r="R37" s="200"/>
      <c r="S37" s="200"/>
      <c r="T37" s="200"/>
      <c r="U37" s="200"/>
      <c r="V37" s="200"/>
      <c r="W37" s="200"/>
      <c r="X37" s="200"/>
      <c r="Y37" s="200"/>
      <c r="Z37" s="200"/>
      <c r="AA37" s="200"/>
      <c r="AB37" s="200"/>
      <c r="AC37" s="200"/>
    </row>
    <row r="38" spans="1:29" ht="12.75" customHeight="1">
      <c r="A38" s="200"/>
      <c r="B38" s="200"/>
      <c r="C38" s="200"/>
      <c r="D38" s="233"/>
      <c r="E38" s="200"/>
      <c r="F38" s="200"/>
      <c r="G38" s="200"/>
      <c r="H38" s="234"/>
      <c r="I38" s="200"/>
      <c r="J38" s="200"/>
      <c r="K38" s="200"/>
      <c r="L38" s="200"/>
      <c r="M38" s="200"/>
      <c r="N38" s="200"/>
      <c r="O38" s="200"/>
      <c r="P38" s="200"/>
      <c r="Q38" s="200"/>
      <c r="R38" s="200"/>
      <c r="S38" s="200"/>
      <c r="T38" s="200"/>
      <c r="U38" s="200"/>
      <c r="V38" s="200"/>
      <c r="W38" s="200"/>
      <c r="X38" s="200"/>
      <c r="Y38" s="200"/>
      <c r="Z38" s="200"/>
      <c r="AA38" s="200"/>
      <c r="AB38" s="200"/>
      <c r="AC38" s="200"/>
    </row>
    <row r="39" spans="1:29" ht="12.75" customHeight="1">
      <c r="A39" s="200"/>
      <c r="B39" s="200"/>
      <c r="C39" s="200"/>
      <c r="D39" s="233"/>
      <c r="E39" s="200"/>
      <c r="F39" s="200"/>
      <c r="G39" s="200"/>
      <c r="H39" s="234"/>
      <c r="I39" s="200"/>
      <c r="J39" s="200"/>
      <c r="K39" s="200"/>
      <c r="L39" s="200"/>
      <c r="M39" s="200"/>
      <c r="N39" s="200"/>
      <c r="O39" s="200"/>
      <c r="P39" s="200"/>
      <c r="Q39" s="200"/>
      <c r="R39" s="200"/>
      <c r="S39" s="200"/>
      <c r="T39" s="200"/>
      <c r="U39" s="200"/>
      <c r="V39" s="200"/>
      <c r="W39" s="200"/>
      <c r="X39" s="200"/>
      <c r="Y39" s="200"/>
      <c r="Z39" s="200"/>
      <c r="AA39" s="200"/>
      <c r="AB39" s="200"/>
      <c r="AC39" s="200"/>
    </row>
    <row r="40" spans="1:29" ht="12.75" customHeight="1">
      <c r="A40" s="200"/>
      <c r="B40" s="200"/>
      <c r="C40" s="200"/>
      <c r="D40" s="233"/>
      <c r="E40" s="200"/>
      <c r="F40" s="200"/>
      <c r="G40" s="200"/>
      <c r="H40" s="234"/>
      <c r="I40" s="200"/>
      <c r="J40" s="200"/>
      <c r="K40" s="200"/>
      <c r="L40" s="200"/>
      <c r="M40" s="200"/>
      <c r="N40" s="200"/>
      <c r="O40" s="200"/>
      <c r="P40" s="200"/>
      <c r="Q40" s="200"/>
      <c r="R40" s="200"/>
      <c r="S40" s="200"/>
      <c r="T40" s="200"/>
      <c r="U40" s="200"/>
      <c r="V40" s="233"/>
      <c r="W40" s="233"/>
      <c r="X40" s="200"/>
      <c r="Y40" s="200"/>
      <c r="Z40" s="200"/>
      <c r="AA40" s="200"/>
      <c r="AB40" s="200"/>
      <c r="AC40" s="200"/>
    </row>
    <row r="41" spans="1:29" ht="15.75" customHeight="1">
      <c r="A41" s="200"/>
      <c r="B41" s="645" t="s">
        <v>862</v>
      </c>
      <c r="C41" s="632"/>
      <c r="D41" s="632"/>
      <c r="E41" s="632"/>
      <c r="F41" s="632"/>
      <c r="G41" s="632"/>
      <c r="H41" s="632"/>
      <c r="I41" s="632"/>
      <c r="J41" s="632"/>
      <c r="K41" s="632"/>
      <c r="L41" s="632"/>
      <c r="M41" s="632"/>
      <c r="N41" s="632"/>
      <c r="O41" s="632"/>
      <c r="P41" s="632"/>
      <c r="Q41" s="632"/>
      <c r="R41" s="632"/>
      <c r="S41" s="632"/>
      <c r="T41" s="632"/>
      <c r="U41" s="632"/>
      <c r="V41" s="632"/>
      <c r="W41" s="632"/>
      <c r="X41" s="633"/>
      <c r="Y41" s="200"/>
      <c r="Z41" s="200"/>
      <c r="AA41" s="200"/>
      <c r="AB41" s="200"/>
      <c r="AC41" s="200"/>
    </row>
    <row r="42" spans="1:29" ht="19.5" customHeight="1">
      <c r="A42" s="200"/>
      <c r="B42" s="646" t="s">
        <v>860</v>
      </c>
      <c r="C42" s="646" t="s">
        <v>861</v>
      </c>
      <c r="D42" s="646" t="s">
        <v>904</v>
      </c>
      <c r="E42" s="691" t="s">
        <v>905</v>
      </c>
      <c r="F42" s="633"/>
      <c r="G42" s="626" t="s">
        <v>906</v>
      </c>
      <c r="H42" s="627"/>
      <c r="I42" s="627"/>
      <c r="J42" s="627"/>
      <c r="K42" s="627"/>
      <c r="L42" s="627"/>
      <c r="M42" s="627"/>
      <c r="N42" s="627"/>
      <c r="O42" s="627"/>
      <c r="P42" s="627"/>
      <c r="Q42" s="627"/>
      <c r="R42" s="627"/>
      <c r="S42" s="627"/>
      <c r="T42" s="627"/>
      <c r="U42" s="628"/>
      <c r="V42" s="629" t="s">
        <v>907</v>
      </c>
      <c r="W42" s="629" t="s">
        <v>908</v>
      </c>
      <c r="X42" s="655" t="s">
        <v>307</v>
      </c>
      <c r="Y42" s="233"/>
      <c r="Z42" s="233"/>
      <c r="AA42" s="200"/>
      <c r="AB42" s="200"/>
      <c r="AC42" s="200"/>
    </row>
    <row r="43" spans="1:29" ht="42.75" customHeight="1">
      <c r="A43" s="200"/>
      <c r="B43" s="630"/>
      <c r="C43" s="647"/>
      <c r="D43" s="630"/>
      <c r="E43" s="235" t="s">
        <v>909</v>
      </c>
      <c r="F43" s="235" t="s">
        <v>910</v>
      </c>
      <c r="G43" s="236" t="s">
        <v>911</v>
      </c>
      <c r="H43" s="237" t="s">
        <v>912</v>
      </c>
      <c r="I43" s="238" t="s">
        <v>913</v>
      </c>
      <c r="J43" s="239" t="s">
        <v>914</v>
      </c>
      <c r="K43" s="240" t="s">
        <v>915</v>
      </c>
      <c r="L43" s="241" t="s">
        <v>916</v>
      </c>
      <c r="M43" s="241" t="s">
        <v>917</v>
      </c>
      <c r="N43" s="242" t="s">
        <v>918</v>
      </c>
      <c r="O43" s="242" t="s">
        <v>919</v>
      </c>
      <c r="P43" s="243" t="s">
        <v>920</v>
      </c>
      <c r="Q43" s="244" t="s">
        <v>921</v>
      </c>
      <c r="R43" s="244" t="s">
        <v>922</v>
      </c>
      <c r="S43" s="245" t="s">
        <v>923</v>
      </c>
      <c r="T43" s="245" t="s">
        <v>924</v>
      </c>
      <c r="U43" s="246" t="s">
        <v>925</v>
      </c>
      <c r="V43" s="630"/>
      <c r="W43" s="630"/>
      <c r="X43" s="647"/>
      <c r="Y43" s="233"/>
      <c r="Z43" s="233"/>
      <c r="AA43" s="200"/>
      <c r="AB43" s="200"/>
      <c r="AC43" s="200"/>
    </row>
    <row r="44" spans="1:29" ht="15" customHeight="1">
      <c r="A44" s="233"/>
      <c r="B44" s="247">
        <v>1</v>
      </c>
      <c r="C44" s="248" t="s">
        <v>529</v>
      </c>
      <c r="D44" s="249" t="s">
        <v>926</v>
      </c>
      <c r="E44" s="250">
        <v>2017</v>
      </c>
      <c r="F44" s="250"/>
      <c r="G44" s="251">
        <f t="shared" ref="G44:G268" si="0">SUM(I44+K44+M44+O44+R44+T44)</f>
        <v>0.35</v>
      </c>
      <c r="H44" s="252"/>
      <c r="I44" s="252"/>
      <c r="J44" s="253">
        <v>23</v>
      </c>
      <c r="K44" s="254">
        <v>0.35</v>
      </c>
      <c r="L44" s="252"/>
      <c r="M44" s="255"/>
      <c r="N44" s="252"/>
      <c r="O44" s="252"/>
      <c r="P44" s="252"/>
      <c r="Q44" s="252"/>
      <c r="R44" s="252"/>
      <c r="S44" s="252"/>
      <c r="T44" s="256"/>
      <c r="U44" s="256"/>
      <c r="V44" s="560"/>
      <c r="W44" s="692"/>
      <c r="X44" s="257"/>
      <c r="Y44" s="233"/>
      <c r="Z44" s="233"/>
      <c r="AA44" s="200"/>
      <c r="AB44" s="200"/>
      <c r="AC44" s="200"/>
    </row>
    <row r="45" spans="1:29" ht="12.75" customHeight="1">
      <c r="A45" s="233"/>
      <c r="B45" s="220">
        <v>2</v>
      </c>
      <c r="C45" s="248" t="s">
        <v>529</v>
      </c>
      <c r="D45" s="258" t="s">
        <v>927</v>
      </c>
      <c r="E45" s="250">
        <v>2017</v>
      </c>
      <c r="F45" s="250"/>
      <c r="G45" s="251">
        <f t="shared" si="0"/>
        <v>0.34</v>
      </c>
      <c r="H45" s="204"/>
      <c r="I45" s="220"/>
      <c r="J45" s="250">
        <v>14</v>
      </c>
      <c r="K45" s="220">
        <v>0.34</v>
      </c>
      <c r="L45" s="204"/>
      <c r="M45" s="259"/>
      <c r="N45" s="204"/>
      <c r="O45" s="220"/>
      <c r="P45" s="204"/>
      <c r="Q45" s="204"/>
      <c r="R45" s="204"/>
      <c r="S45" s="204"/>
      <c r="T45" s="260"/>
      <c r="U45" s="261"/>
      <c r="V45" s="524"/>
      <c r="W45" s="524"/>
      <c r="X45" s="262"/>
      <c r="Y45" s="233"/>
      <c r="Z45" s="233"/>
      <c r="AA45" s="200"/>
      <c r="AB45" s="200"/>
      <c r="AC45" s="200"/>
    </row>
    <row r="46" spans="1:29" ht="12.75" customHeight="1">
      <c r="A46" s="233"/>
      <c r="B46" s="220">
        <v>3</v>
      </c>
      <c r="C46" s="248" t="s">
        <v>529</v>
      </c>
      <c r="D46" s="258" t="s">
        <v>928</v>
      </c>
      <c r="E46" s="263">
        <v>2014</v>
      </c>
      <c r="F46" s="263"/>
      <c r="G46" s="251">
        <f t="shared" si="0"/>
        <v>0.2</v>
      </c>
      <c r="H46" s="204"/>
      <c r="I46" s="220"/>
      <c r="J46" s="250"/>
      <c r="K46" s="220"/>
      <c r="L46" s="204">
        <v>2</v>
      </c>
      <c r="M46" s="259">
        <v>0.2</v>
      </c>
      <c r="N46" s="250"/>
      <c r="O46" s="220"/>
      <c r="P46" s="204"/>
      <c r="Q46" s="204"/>
      <c r="R46" s="204"/>
      <c r="S46" s="204"/>
      <c r="T46" s="260"/>
      <c r="U46" s="261"/>
      <c r="V46" s="524"/>
      <c r="W46" s="524"/>
      <c r="X46" s="264"/>
      <c r="Y46" s="233"/>
      <c r="Z46" s="233"/>
      <c r="AA46" s="200"/>
      <c r="AB46" s="200"/>
      <c r="AC46" s="200"/>
    </row>
    <row r="47" spans="1:29" ht="12.75" customHeight="1">
      <c r="A47" s="233"/>
      <c r="B47" s="220">
        <v>4</v>
      </c>
      <c r="C47" s="248" t="s">
        <v>529</v>
      </c>
      <c r="D47" s="258" t="s">
        <v>929</v>
      </c>
      <c r="E47" s="263">
        <v>2015</v>
      </c>
      <c r="F47" s="263"/>
      <c r="G47" s="251">
        <f t="shared" si="0"/>
        <v>2</v>
      </c>
      <c r="H47" s="204">
        <v>8</v>
      </c>
      <c r="I47" s="220"/>
      <c r="J47" s="250">
        <v>13</v>
      </c>
      <c r="K47" s="220">
        <v>2</v>
      </c>
      <c r="L47" s="204"/>
      <c r="M47" s="259"/>
      <c r="N47" s="204"/>
      <c r="O47" s="220"/>
      <c r="P47" s="204"/>
      <c r="Q47" s="204"/>
      <c r="R47" s="204"/>
      <c r="S47" s="204"/>
      <c r="T47" s="260"/>
      <c r="U47" s="261"/>
      <c r="V47" s="524"/>
      <c r="W47" s="524"/>
      <c r="X47" s="264"/>
      <c r="Y47" s="233"/>
      <c r="Z47" s="233"/>
      <c r="AA47" s="200"/>
      <c r="AB47" s="200"/>
      <c r="AC47" s="200"/>
    </row>
    <row r="48" spans="1:29" ht="12.75" customHeight="1">
      <c r="A48" s="233"/>
      <c r="B48" s="220">
        <v>5</v>
      </c>
      <c r="C48" s="203" t="s">
        <v>529</v>
      </c>
      <c r="D48" s="265" t="s">
        <v>930</v>
      </c>
      <c r="E48" s="266">
        <v>2016</v>
      </c>
      <c r="F48" s="266"/>
      <c r="G48" s="251">
        <f t="shared" si="0"/>
        <v>0.2</v>
      </c>
      <c r="H48" s="220"/>
      <c r="I48" s="220"/>
      <c r="J48" s="216">
        <v>7</v>
      </c>
      <c r="K48" s="220">
        <v>0.2</v>
      </c>
      <c r="L48" s="220"/>
      <c r="M48" s="259"/>
      <c r="N48" s="220"/>
      <c r="O48" s="220"/>
      <c r="P48" s="220"/>
      <c r="Q48" s="220"/>
      <c r="R48" s="220"/>
      <c r="S48" s="220"/>
      <c r="T48" s="260"/>
      <c r="U48" s="267"/>
      <c r="V48" s="524"/>
      <c r="W48" s="524"/>
      <c r="X48" s="268"/>
      <c r="Y48" s="233"/>
      <c r="Z48" s="233"/>
      <c r="AA48" s="233"/>
      <c r="AB48" s="233"/>
      <c r="AC48" s="233"/>
    </row>
    <row r="49" spans="1:29" ht="12.75" customHeight="1">
      <c r="A49" s="233"/>
      <c r="B49" s="220">
        <v>6</v>
      </c>
      <c r="C49" s="203" t="s">
        <v>529</v>
      </c>
      <c r="D49" s="265" t="s">
        <v>931</v>
      </c>
      <c r="E49" s="266">
        <v>2009</v>
      </c>
      <c r="F49" s="266">
        <v>2017</v>
      </c>
      <c r="G49" s="251">
        <f t="shared" si="0"/>
        <v>0.28000000000000003</v>
      </c>
      <c r="H49" s="220"/>
      <c r="I49" s="220"/>
      <c r="J49" s="216"/>
      <c r="K49" s="220"/>
      <c r="L49" s="220"/>
      <c r="M49" s="259"/>
      <c r="N49" s="220"/>
      <c r="O49" s="220"/>
      <c r="P49" s="220"/>
      <c r="Q49" s="220"/>
      <c r="R49" s="220"/>
      <c r="S49" s="220">
        <v>15</v>
      </c>
      <c r="T49" s="260">
        <v>0.28000000000000003</v>
      </c>
      <c r="U49" s="260" t="s">
        <v>932</v>
      </c>
      <c r="V49" s="525"/>
      <c r="W49" s="525"/>
      <c r="X49" s="268"/>
      <c r="Y49" s="233"/>
      <c r="Z49" s="233"/>
      <c r="AA49" s="233"/>
      <c r="AB49" s="233"/>
      <c r="AC49" s="233"/>
    </row>
    <row r="50" spans="1:29" ht="12.75" customHeight="1">
      <c r="A50" s="233"/>
      <c r="B50" s="220">
        <v>7</v>
      </c>
      <c r="C50" s="203" t="s">
        <v>529</v>
      </c>
      <c r="D50" s="258" t="s">
        <v>928</v>
      </c>
      <c r="E50" s="263">
        <v>2014</v>
      </c>
      <c r="F50" s="263">
        <v>2017</v>
      </c>
      <c r="G50" s="251">
        <f t="shared" si="0"/>
        <v>0.3</v>
      </c>
      <c r="H50" s="204"/>
      <c r="I50" s="220"/>
      <c r="J50" s="250"/>
      <c r="K50" s="220"/>
      <c r="L50" s="204"/>
      <c r="M50" s="259"/>
      <c r="N50" s="204"/>
      <c r="O50" s="220"/>
      <c r="P50" s="204"/>
      <c r="Q50" s="204"/>
      <c r="R50" s="204"/>
      <c r="S50" s="204">
        <v>14</v>
      </c>
      <c r="T50" s="260">
        <v>0.3</v>
      </c>
      <c r="U50" s="261" t="s">
        <v>932</v>
      </c>
      <c r="V50" s="560"/>
      <c r="W50" s="692"/>
      <c r="X50" s="264"/>
      <c r="Y50" s="233"/>
      <c r="Z50" s="233"/>
      <c r="AA50" s="200"/>
      <c r="AB50" s="200"/>
      <c r="AC50" s="200"/>
    </row>
    <row r="51" spans="1:29" ht="12.75" customHeight="1">
      <c r="A51" s="233"/>
      <c r="B51" s="269">
        <v>8</v>
      </c>
      <c r="C51" s="203" t="s">
        <v>529</v>
      </c>
      <c r="D51" s="258" t="s">
        <v>933</v>
      </c>
      <c r="E51" s="263">
        <v>1997</v>
      </c>
      <c r="F51" s="263">
        <v>2015</v>
      </c>
      <c r="G51" s="251">
        <f t="shared" si="0"/>
        <v>0.6</v>
      </c>
      <c r="H51" s="204"/>
      <c r="I51" s="220"/>
      <c r="J51" s="250"/>
      <c r="K51" s="220"/>
      <c r="L51" s="204"/>
      <c r="M51" s="259"/>
      <c r="N51" s="204"/>
      <c r="O51" s="220"/>
      <c r="P51" s="204"/>
      <c r="Q51" s="204"/>
      <c r="R51" s="204"/>
      <c r="S51" s="204">
        <v>19</v>
      </c>
      <c r="T51" s="260">
        <v>0.6</v>
      </c>
      <c r="U51" s="261" t="s">
        <v>932</v>
      </c>
      <c r="V51" s="524"/>
      <c r="W51" s="524"/>
      <c r="X51" s="264"/>
      <c r="Y51" s="233"/>
      <c r="Z51" s="233"/>
      <c r="AA51" s="200"/>
      <c r="AB51" s="200"/>
      <c r="AC51" s="200"/>
    </row>
    <row r="52" spans="1:29" ht="12.75" customHeight="1">
      <c r="A52" s="233"/>
      <c r="B52" s="220">
        <v>9</v>
      </c>
      <c r="C52" s="211" t="s">
        <v>530</v>
      </c>
      <c r="D52" s="258" t="s">
        <v>934</v>
      </c>
      <c r="E52" s="263">
        <v>2012</v>
      </c>
      <c r="F52" s="263">
        <v>2015</v>
      </c>
      <c r="G52" s="251">
        <f t="shared" si="0"/>
        <v>0.4</v>
      </c>
      <c r="H52" s="204"/>
      <c r="I52" s="220"/>
      <c r="J52" s="250">
        <v>33</v>
      </c>
      <c r="K52" s="220">
        <v>0.4</v>
      </c>
      <c r="L52" s="204"/>
      <c r="M52" s="259"/>
      <c r="N52" s="204"/>
      <c r="O52" s="220"/>
      <c r="P52" s="204"/>
      <c r="Q52" s="204"/>
      <c r="R52" s="204"/>
      <c r="S52" s="204"/>
      <c r="T52" s="260"/>
      <c r="U52" s="261"/>
      <c r="V52" s="524"/>
      <c r="W52" s="524"/>
      <c r="X52" s="264"/>
      <c r="Y52" s="233"/>
      <c r="Z52" s="233"/>
      <c r="AA52" s="200"/>
      <c r="AB52" s="200"/>
      <c r="AC52" s="200"/>
    </row>
    <row r="53" spans="1:29" ht="12.75" customHeight="1">
      <c r="A53" s="233"/>
      <c r="B53" s="220">
        <v>10</v>
      </c>
      <c r="C53" s="211" t="s">
        <v>530</v>
      </c>
      <c r="D53" s="258" t="s">
        <v>935</v>
      </c>
      <c r="E53" s="263">
        <v>2016</v>
      </c>
      <c r="F53" s="263">
        <v>2017</v>
      </c>
      <c r="G53" s="251">
        <f t="shared" si="0"/>
        <v>0.13</v>
      </c>
      <c r="H53" s="204"/>
      <c r="I53" s="220"/>
      <c r="J53" s="250"/>
      <c r="K53" s="220"/>
      <c r="L53" s="204"/>
      <c r="M53" s="220"/>
      <c r="N53" s="204"/>
      <c r="O53" s="220"/>
      <c r="P53" s="204"/>
      <c r="Q53" s="204"/>
      <c r="R53" s="204"/>
      <c r="S53" s="204">
        <v>17</v>
      </c>
      <c r="T53" s="260">
        <v>0.13</v>
      </c>
      <c r="U53" s="261" t="s">
        <v>936</v>
      </c>
      <c r="V53" s="524"/>
      <c r="W53" s="524"/>
      <c r="X53" s="264"/>
      <c r="Y53" s="233"/>
      <c r="Z53" s="233"/>
      <c r="AA53" s="200"/>
      <c r="AB53" s="200"/>
      <c r="AC53" s="200"/>
    </row>
    <row r="54" spans="1:29" ht="12.75" customHeight="1">
      <c r="A54" s="233"/>
      <c r="B54" s="220">
        <v>11</v>
      </c>
      <c r="C54" s="211" t="s">
        <v>530</v>
      </c>
      <c r="D54" s="258" t="s">
        <v>937</v>
      </c>
      <c r="E54" s="263">
        <v>2016</v>
      </c>
      <c r="F54" s="263">
        <v>2017</v>
      </c>
      <c r="G54" s="251">
        <f t="shared" si="0"/>
        <v>0.06</v>
      </c>
      <c r="H54" s="204"/>
      <c r="I54" s="220"/>
      <c r="J54" s="250">
        <v>7</v>
      </c>
      <c r="K54" s="220">
        <v>0.06</v>
      </c>
      <c r="L54" s="204"/>
      <c r="M54" s="259"/>
      <c r="N54" s="204"/>
      <c r="O54" s="220"/>
      <c r="P54" s="204"/>
      <c r="Q54" s="204"/>
      <c r="R54" s="204"/>
      <c r="S54" s="204"/>
      <c r="T54" s="260"/>
      <c r="U54" s="261"/>
      <c r="V54" s="524"/>
      <c r="W54" s="524"/>
      <c r="X54" s="264"/>
      <c r="Y54" s="233"/>
      <c r="Z54" s="233"/>
      <c r="AA54" s="200"/>
      <c r="AB54" s="200"/>
      <c r="AC54" s="200"/>
    </row>
    <row r="55" spans="1:29" ht="12.75" customHeight="1">
      <c r="A55" s="233"/>
      <c r="B55" s="220">
        <v>12</v>
      </c>
      <c r="C55" s="211" t="s">
        <v>530</v>
      </c>
      <c r="D55" s="258" t="s">
        <v>938</v>
      </c>
      <c r="E55" s="266">
        <v>2016</v>
      </c>
      <c r="F55" s="266">
        <v>2016</v>
      </c>
      <c r="G55" s="251">
        <f t="shared" si="0"/>
        <v>0.18</v>
      </c>
      <c r="H55" s="204"/>
      <c r="I55" s="220"/>
      <c r="J55" s="250">
        <v>13</v>
      </c>
      <c r="K55" s="220">
        <v>0.18</v>
      </c>
      <c r="L55" s="204"/>
      <c r="M55" s="259"/>
      <c r="N55" s="204"/>
      <c r="O55" s="220"/>
      <c r="P55" s="204"/>
      <c r="Q55" s="204"/>
      <c r="R55" s="204"/>
      <c r="S55" s="204"/>
      <c r="T55" s="260"/>
      <c r="U55" s="261"/>
      <c r="V55" s="524"/>
      <c r="W55" s="524"/>
      <c r="X55" s="264"/>
      <c r="Y55" s="233"/>
      <c r="Z55" s="233"/>
      <c r="AA55" s="200"/>
      <c r="AB55" s="200"/>
      <c r="AC55" s="200"/>
    </row>
    <row r="56" spans="1:29" ht="12.75" customHeight="1">
      <c r="A56" s="233"/>
      <c r="B56" s="220">
        <v>13</v>
      </c>
      <c r="C56" s="211" t="s">
        <v>530</v>
      </c>
      <c r="D56" s="258" t="s">
        <v>939</v>
      </c>
      <c r="E56" s="266">
        <v>2017</v>
      </c>
      <c r="F56" s="266"/>
      <c r="G56" s="251">
        <f t="shared" si="0"/>
        <v>0.14000000000000001</v>
      </c>
      <c r="H56" s="204"/>
      <c r="I56" s="220"/>
      <c r="J56" s="250">
        <v>9</v>
      </c>
      <c r="K56" s="220">
        <v>0.14000000000000001</v>
      </c>
      <c r="L56" s="204"/>
      <c r="M56" s="259"/>
      <c r="N56" s="204"/>
      <c r="O56" s="220"/>
      <c r="P56" s="204"/>
      <c r="Q56" s="204"/>
      <c r="R56" s="204"/>
      <c r="S56" s="204"/>
      <c r="T56" s="260"/>
      <c r="U56" s="261"/>
      <c r="V56" s="524"/>
      <c r="W56" s="524"/>
      <c r="X56" s="264"/>
      <c r="Y56" s="233"/>
      <c r="Z56" s="233"/>
      <c r="AA56" s="200"/>
      <c r="AB56" s="200"/>
      <c r="AC56" s="200"/>
    </row>
    <row r="57" spans="1:29" ht="12.75" customHeight="1">
      <c r="A57" s="233"/>
      <c r="B57" s="220">
        <v>14</v>
      </c>
      <c r="C57" s="211" t="s">
        <v>530</v>
      </c>
      <c r="D57" s="258" t="s">
        <v>940</v>
      </c>
      <c r="E57" s="266">
        <v>2012</v>
      </c>
      <c r="F57" s="266">
        <v>2015</v>
      </c>
      <c r="G57" s="251">
        <f t="shared" si="0"/>
        <v>0.08</v>
      </c>
      <c r="H57" s="204"/>
      <c r="I57" s="220"/>
      <c r="J57" s="250"/>
      <c r="K57" s="220"/>
      <c r="L57" s="204">
        <v>2</v>
      </c>
      <c r="M57" s="259">
        <v>0.08</v>
      </c>
      <c r="N57" s="204"/>
      <c r="O57" s="220"/>
      <c r="P57" s="204"/>
      <c r="Q57" s="204"/>
      <c r="R57" s="204"/>
      <c r="S57" s="204"/>
      <c r="T57" s="260"/>
      <c r="U57" s="261"/>
      <c r="V57" s="524"/>
      <c r="W57" s="524"/>
      <c r="X57" s="264"/>
      <c r="Y57" s="233"/>
      <c r="Z57" s="233"/>
      <c r="AA57" s="200"/>
      <c r="AB57" s="200"/>
      <c r="AC57" s="200"/>
    </row>
    <row r="58" spans="1:29" ht="12.75" customHeight="1">
      <c r="A58" s="233"/>
      <c r="B58" s="220">
        <v>15</v>
      </c>
      <c r="C58" s="203" t="s">
        <v>871</v>
      </c>
      <c r="D58" s="265" t="s">
        <v>941</v>
      </c>
      <c r="E58" s="266">
        <v>2017</v>
      </c>
      <c r="F58" s="266"/>
      <c r="G58" s="251">
        <f t="shared" si="0"/>
        <v>0.2</v>
      </c>
      <c r="H58" s="204"/>
      <c r="I58" s="220"/>
      <c r="J58" s="250">
        <v>12</v>
      </c>
      <c r="K58" s="220">
        <v>0.2</v>
      </c>
      <c r="L58" s="204"/>
      <c r="M58" s="259"/>
      <c r="N58" s="204"/>
      <c r="O58" s="220"/>
      <c r="P58" s="204"/>
      <c r="Q58" s="204"/>
      <c r="R58" s="204"/>
      <c r="S58" s="204"/>
      <c r="T58" s="260"/>
      <c r="U58" s="261"/>
      <c r="V58" s="524"/>
      <c r="W58" s="524"/>
      <c r="X58" s="264"/>
      <c r="Y58" s="233"/>
      <c r="Z58" s="233"/>
      <c r="AA58" s="200"/>
      <c r="AB58" s="200"/>
      <c r="AC58" s="200"/>
    </row>
    <row r="59" spans="1:29" ht="12.75" customHeight="1">
      <c r="A59" s="233"/>
      <c r="B59" s="220">
        <v>16</v>
      </c>
      <c r="C59" s="203" t="s">
        <v>871</v>
      </c>
      <c r="D59" s="265" t="s">
        <v>942</v>
      </c>
      <c r="E59" s="266">
        <v>2012</v>
      </c>
      <c r="F59" s="266">
        <v>2014</v>
      </c>
      <c r="G59" s="251">
        <f t="shared" si="0"/>
        <v>0.28000000000000003</v>
      </c>
      <c r="H59" s="204"/>
      <c r="I59" s="266"/>
      <c r="J59" s="250"/>
      <c r="K59" s="220"/>
      <c r="L59" s="204">
        <v>3</v>
      </c>
      <c r="M59" s="259">
        <v>0.28000000000000003</v>
      </c>
      <c r="N59" s="204"/>
      <c r="O59" s="220"/>
      <c r="P59" s="204"/>
      <c r="Q59" s="204"/>
      <c r="R59" s="204"/>
      <c r="S59" s="204"/>
      <c r="T59" s="260"/>
      <c r="U59" s="261"/>
      <c r="V59" s="524"/>
      <c r="W59" s="524"/>
      <c r="X59" s="264"/>
      <c r="Y59" s="233"/>
      <c r="Z59" s="233"/>
      <c r="AA59" s="200"/>
      <c r="AB59" s="200"/>
      <c r="AC59" s="200"/>
    </row>
    <row r="60" spans="1:29" ht="12.75" customHeight="1">
      <c r="A60" s="233"/>
      <c r="B60" s="220">
        <v>17</v>
      </c>
      <c r="C60" s="203" t="s">
        <v>871</v>
      </c>
      <c r="D60" s="265" t="s">
        <v>943</v>
      </c>
      <c r="E60" s="266">
        <v>2012</v>
      </c>
      <c r="F60" s="266">
        <v>2016</v>
      </c>
      <c r="G60" s="251">
        <f t="shared" si="0"/>
        <v>1</v>
      </c>
      <c r="H60" s="204">
        <v>4</v>
      </c>
      <c r="I60" s="220">
        <v>1</v>
      </c>
      <c r="J60" s="250"/>
      <c r="K60" s="220"/>
      <c r="L60" s="204"/>
      <c r="M60" s="259"/>
      <c r="N60" s="204">
        <v>30</v>
      </c>
      <c r="O60" s="220"/>
      <c r="P60" s="204"/>
      <c r="Q60" s="204"/>
      <c r="R60" s="204"/>
      <c r="S60" s="204"/>
      <c r="T60" s="260"/>
      <c r="U60" s="261"/>
      <c r="V60" s="525"/>
      <c r="W60" s="525"/>
      <c r="X60" s="264"/>
      <c r="Y60" s="233"/>
      <c r="Z60" s="233"/>
      <c r="AA60" s="200"/>
      <c r="AB60" s="200"/>
      <c r="AC60" s="200"/>
    </row>
    <row r="61" spans="1:29" ht="12.75" customHeight="1">
      <c r="A61" s="233"/>
      <c r="B61" s="220">
        <v>18</v>
      </c>
      <c r="C61" s="203" t="s">
        <v>871</v>
      </c>
      <c r="D61" s="265" t="s">
        <v>944</v>
      </c>
      <c r="E61" s="266">
        <v>2015</v>
      </c>
      <c r="F61" s="266"/>
      <c r="G61" s="251">
        <f t="shared" si="0"/>
        <v>1.36</v>
      </c>
      <c r="H61" s="204"/>
      <c r="I61" s="220"/>
      <c r="J61" s="250"/>
      <c r="K61" s="220"/>
      <c r="L61" s="204">
        <v>14</v>
      </c>
      <c r="M61" s="259">
        <v>1.36</v>
      </c>
      <c r="N61" s="204"/>
      <c r="O61" s="220"/>
      <c r="P61" s="204"/>
      <c r="Q61" s="204"/>
      <c r="R61" s="204"/>
      <c r="S61" s="204"/>
      <c r="T61" s="260"/>
      <c r="U61" s="261"/>
      <c r="V61" s="560"/>
      <c r="W61" s="692"/>
      <c r="X61" s="264"/>
      <c r="Y61" s="233"/>
      <c r="Z61" s="233"/>
      <c r="AA61" s="200"/>
      <c r="AB61" s="200"/>
      <c r="AC61" s="200"/>
    </row>
    <row r="62" spans="1:29" ht="12.75" customHeight="1">
      <c r="A62" s="233"/>
      <c r="B62" s="220">
        <v>19</v>
      </c>
      <c r="C62" s="211" t="s">
        <v>873</v>
      </c>
      <c r="D62" s="265" t="s">
        <v>945</v>
      </c>
      <c r="E62" s="266">
        <v>2005</v>
      </c>
      <c r="F62" s="266">
        <v>2014</v>
      </c>
      <c r="G62" s="251">
        <f t="shared" si="0"/>
        <v>1.25</v>
      </c>
      <c r="H62" s="220">
        <v>5</v>
      </c>
      <c r="I62" s="220">
        <v>1.25</v>
      </c>
      <c r="J62" s="216"/>
      <c r="K62" s="220"/>
      <c r="L62" s="220"/>
      <c r="M62" s="259"/>
      <c r="N62" s="220"/>
      <c r="O62" s="220"/>
      <c r="P62" s="220"/>
      <c r="Q62" s="220"/>
      <c r="R62" s="220"/>
      <c r="S62" s="220"/>
      <c r="T62" s="260"/>
      <c r="U62" s="260"/>
      <c r="V62" s="524"/>
      <c r="W62" s="524"/>
      <c r="X62" s="268"/>
      <c r="Y62" s="233"/>
      <c r="Z62" s="233"/>
      <c r="AA62" s="233"/>
      <c r="AB62" s="233"/>
      <c r="AC62" s="233"/>
    </row>
    <row r="63" spans="1:29" ht="12.75" customHeight="1">
      <c r="A63" s="233"/>
      <c r="B63" s="220">
        <v>20</v>
      </c>
      <c r="C63" s="211" t="s">
        <v>873</v>
      </c>
      <c r="D63" s="265" t="s">
        <v>946</v>
      </c>
      <c r="E63" s="266">
        <v>2009</v>
      </c>
      <c r="F63" s="266">
        <v>2013</v>
      </c>
      <c r="G63" s="251">
        <f t="shared" si="0"/>
        <v>1.75</v>
      </c>
      <c r="H63" s="220">
        <v>7</v>
      </c>
      <c r="I63" s="220">
        <v>1.75</v>
      </c>
      <c r="J63" s="216"/>
      <c r="K63" s="220"/>
      <c r="L63" s="220"/>
      <c r="M63" s="259"/>
      <c r="N63" s="220"/>
      <c r="O63" s="220"/>
      <c r="P63" s="220"/>
      <c r="Q63" s="220"/>
      <c r="R63" s="220"/>
      <c r="S63" s="220"/>
      <c r="T63" s="260"/>
      <c r="U63" s="260"/>
      <c r="V63" s="525"/>
      <c r="W63" s="525"/>
      <c r="X63" s="268"/>
      <c r="Y63" s="233"/>
      <c r="Z63" s="233"/>
      <c r="AA63" s="233"/>
      <c r="AB63" s="233"/>
      <c r="AC63" s="233"/>
    </row>
    <row r="64" spans="1:29" ht="12.75" customHeight="1">
      <c r="A64" s="233"/>
      <c r="B64" s="220">
        <v>21</v>
      </c>
      <c r="C64" s="211" t="s">
        <v>873</v>
      </c>
      <c r="D64" s="265" t="s">
        <v>947</v>
      </c>
      <c r="E64" s="266">
        <v>2013</v>
      </c>
      <c r="F64" s="266">
        <v>2014</v>
      </c>
      <c r="G64" s="251">
        <f t="shared" si="0"/>
        <v>0.32</v>
      </c>
      <c r="H64" s="220"/>
      <c r="I64" s="220"/>
      <c r="J64" s="216"/>
      <c r="K64" s="220"/>
      <c r="L64" s="220">
        <v>4</v>
      </c>
      <c r="M64" s="259">
        <v>0.32</v>
      </c>
      <c r="N64" s="220"/>
      <c r="O64" s="220"/>
      <c r="P64" s="220"/>
      <c r="Q64" s="220"/>
      <c r="R64" s="220"/>
      <c r="S64" s="220"/>
      <c r="T64" s="260"/>
      <c r="U64" s="260"/>
      <c r="V64" s="560"/>
      <c r="W64" s="693"/>
      <c r="X64" s="268"/>
      <c r="Y64" s="233"/>
      <c r="Z64" s="233"/>
      <c r="AA64" s="233"/>
      <c r="AB64" s="233"/>
      <c r="AC64" s="233"/>
    </row>
    <row r="65" spans="1:29" ht="12.75" customHeight="1">
      <c r="A65" s="233"/>
      <c r="B65" s="220">
        <v>22</v>
      </c>
      <c r="C65" s="211" t="s">
        <v>873</v>
      </c>
      <c r="D65" s="265" t="s">
        <v>948</v>
      </c>
      <c r="E65" s="266">
        <v>2008</v>
      </c>
      <c r="F65" s="266">
        <v>2013</v>
      </c>
      <c r="G65" s="251">
        <f t="shared" si="0"/>
        <v>0.42</v>
      </c>
      <c r="H65" s="220">
        <v>2</v>
      </c>
      <c r="I65" s="220">
        <v>0.42</v>
      </c>
      <c r="J65" s="216"/>
      <c r="K65" s="220"/>
      <c r="L65" s="220"/>
      <c r="M65" s="259"/>
      <c r="N65" s="220"/>
      <c r="O65" s="220"/>
      <c r="P65" s="220"/>
      <c r="Q65" s="220"/>
      <c r="R65" s="220"/>
      <c r="S65" s="220"/>
      <c r="T65" s="260"/>
      <c r="U65" s="260"/>
      <c r="V65" s="524"/>
      <c r="W65" s="524"/>
      <c r="X65" s="268"/>
      <c r="Y65" s="233"/>
      <c r="Z65" s="233"/>
      <c r="AA65" s="233"/>
      <c r="AB65" s="233"/>
      <c r="AC65" s="233"/>
    </row>
    <row r="66" spans="1:29" ht="12.75" customHeight="1">
      <c r="A66" s="233"/>
      <c r="B66" s="220">
        <v>23</v>
      </c>
      <c r="C66" s="211" t="s">
        <v>873</v>
      </c>
      <c r="D66" s="265" t="s">
        <v>949</v>
      </c>
      <c r="E66" s="266">
        <v>2016</v>
      </c>
      <c r="F66" s="266"/>
      <c r="G66" s="251">
        <f t="shared" si="0"/>
        <v>0.16</v>
      </c>
      <c r="H66" s="220"/>
      <c r="I66" s="220"/>
      <c r="J66" s="216">
        <v>16</v>
      </c>
      <c r="K66" s="220">
        <v>0.16</v>
      </c>
      <c r="L66" s="220"/>
      <c r="M66" s="259"/>
      <c r="N66" s="220"/>
      <c r="O66" s="220"/>
      <c r="P66" s="220"/>
      <c r="Q66" s="220"/>
      <c r="R66" s="220"/>
      <c r="S66" s="220"/>
      <c r="T66" s="260"/>
      <c r="U66" s="260"/>
      <c r="V66" s="524"/>
      <c r="W66" s="524"/>
      <c r="X66" s="268"/>
      <c r="Y66" s="233"/>
      <c r="Z66" s="233"/>
      <c r="AA66" s="233"/>
      <c r="AB66" s="233"/>
      <c r="AC66" s="233"/>
    </row>
    <row r="67" spans="1:29" ht="12.75" customHeight="1">
      <c r="A67" s="233"/>
      <c r="B67" s="220">
        <v>24</v>
      </c>
      <c r="C67" s="211" t="s">
        <v>873</v>
      </c>
      <c r="D67" s="265" t="s">
        <v>944</v>
      </c>
      <c r="E67" s="266">
        <v>2016</v>
      </c>
      <c r="F67" s="266"/>
      <c r="G67" s="251">
        <f t="shared" si="0"/>
        <v>1.1200000000000001</v>
      </c>
      <c r="H67" s="220"/>
      <c r="I67" s="220"/>
      <c r="J67" s="216"/>
      <c r="K67" s="220"/>
      <c r="L67" s="220"/>
      <c r="M67" s="259"/>
      <c r="N67" s="220"/>
      <c r="O67" s="220">
        <v>1.1200000000000001</v>
      </c>
      <c r="P67" s="220"/>
      <c r="Q67" s="220"/>
      <c r="R67" s="220"/>
      <c r="S67" s="220"/>
      <c r="T67" s="260"/>
      <c r="U67" s="260"/>
      <c r="V67" s="524"/>
      <c r="W67" s="524"/>
      <c r="X67" s="268"/>
      <c r="Y67" s="233"/>
      <c r="Z67" s="233"/>
      <c r="AA67" s="233"/>
      <c r="AB67" s="233"/>
      <c r="AC67" s="233"/>
    </row>
    <row r="68" spans="1:29" ht="12.75" customHeight="1">
      <c r="A68" s="233"/>
      <c r="B68" s="269">
        <v>25</v>
      </c>
      <c r="C68" s="211" t="s">
        <v>875</v>
      </c>
      <c r="D68" s="265" t="s">
        <v>830</v>
      </c>
      <c r="E68" s="266">
        <v>2016</v>
      </c>
      <c r="F68" s="266">
        <v>2017</v>
      </c>
      <c r="G68" s="251">
        <f t="shared" si="0"/>
        <v>3.25</v>
      </c>
      <c r="H68" s="220">
        <v>16</v>
      </c>
      <c r="I68" s="220">
        <v>3.25</v>
      </c>
      <c r="J68" s="216"/>
      <c r="K68" s="220"/>
      <c r="L68" s="220"/>
      <c r="M68" s="259"/>
      <c r="N68" s="220"/>
      <c r="O68" s="220"/>
      <c r="P68" s="220"/>
      <c r="Q68" s="220"/>
      <c r="R68" s="220"/>
      <c r="S68" s="220"/>
      <c r="T68" s="260"/>
      <c r="U68" s="260"/>
      <c r="V68" s="525"/>
      <c r="W68" s="525"/>
      <c r="X68" s="268"/>
      <c r="Y68" s="233"/>
      <c r="Z68" s="233"/>
      <c r="AA68" s="233"/>
      <c r="AB68" s="233"/>
      <c r="AC68" s="233"/>
    </row>
    <row r="69" spans="1:29" ht="12.75" customHeight="1">
      <c r="A69" s="233"/>
      <c r="B69" s="220">
        <v>26</v>
      </c>
      <c r="C69" s="211" t="s">
        <v>875</v>
      </c>
      <c r="D69" s="265" t="s">
        <v>830</v>
      </c>
      <c r="E69" s="266">
        <v>2017</v>
      </c>
      <c r="F69" s="266"/>
      <c r="G69" s="251">
        <f t="shared" si="0"/>
        <v>3</v>
      </c>
      <c r="H69" s="220"/>
      <c r="I69" s="220"/>
      <c r="J69" s="216"/>
      <c r="K69" s="220"/>
      <c r="L69" s="220">
        <v>34</v>
      </c>
      <c r="M69" s="259">
        <v>3</v>
      </c>
      <c r="N69" s="220"/>
      <c r="O69" s="220"/>
      <c r="P69" s="220"/>
      <c r="Q69" s="220"/>
      <c r="R69" s="220"/>
      <c r="S69" s="220"/>
      <c r="T69" s="260"/>
      <c r="U69" s="260"/>
      <c r="V69" s="560"/>
      <c r="W69" s="560"/>
      <c r="X69" s="268"/>
      <c r="Y69" s="233"/>
      <c r="Z69" s="233"/>
      <c r="AA69" s="233"/>
      <c r="AB69" s="233"/>
      <c r="AC69" s="233"/>
    </row>
    <row r="70" spans="1:29" ht="12.75" customHeight="1">
      <c r="A70" s="233"/>
      <c r="B70" s="220">
        <v>27</v>
      </c>
      <c r="C70" s="211" t="s">
        <v>875</v>
      </c>
      <c r="D70" s="265" t="s">
        <v>950</v>
      </c>
      <c r="E70" s="266">
        <v>2017</v>
      </c>
      <c r="F70" s="266"/>
      <c r="G70" s="251">
        <f t="shared" si="0"/>
        <v>0.23</v>
      </c>
      <c r="H70" s="220"/>
      <c r="I70" s="220"/>
      <c r="J70" s="216"/>
      <c r="K70" s="220"/>
      <c r="L70" s="220">
        <v>3</v>
      </c>
      <c r="M70" s="259">
        <v>0.23</v>
      </c>
      <c r="N70" s="220"/>
      <c r="O70" s="220"/>
      <c r="P70" s="220"/>
      <c r="Q70" s="220"/>
      <c r="R70" s="220"/>
      <c r="S70" s="220"/>
      <c r="T70" s="260"/>
      <c r="U70" s="260"/>
      <c r="V70" s="524"/>
      <c r="W70" s="524"/>
      <c r="X70" s="268"/>
      <c r="Y70" s="233"/>
      <c r="Z70" s="233"/>
      <c r="AA70" s="233"/>
      <c r="AB70" s="233"/>
      <c r="AC70" s="233"/>
    </row>
    <row r="71" spans="1:29" ht="12.75" customHeight="1">
      <c r="A71" s="233"/>
      <c r="B71" s="220">
        <v>28</v>
      </c>
      <c r="C71" s="211" t="s">
        <v>875</v>
      </c>
      <c r="D71" s="265" t="s">
        <v>951</v>
      </c>
      <c r="E71" s="266">
        <v>2016</v>
      </c>
      <c r="F71" s="266"/>
      <c r="G71" s="251">
        <f t="shared" si="0"/>
        <v>0.6</v>
      </c>
      <c r="H71" s="220"/>
      <c r="I71" s="220"/>
      <c r="J71" s="216"/>
      <c r="K71" s="220"/>
      <c r="L71" s="220">
        <v>7</v>
      </c>
      <c r="M71" s="259">
        <v>0.6</v>
      </c>
      <c r="N71" s="220"/>
      <c r="O71" s="220"/>
      <c r="P71" s="220"/>
      <c r="Q71" s="220"/>
      <c r="R71" s="220"/>
      <c r="S71" s="220"/>
      <c r="T71" s="260"/>
      <c r="U71" s="260"/>
      <c r="V71" s="524"/>
      <c r="W71" s="524"/>
      <c r="X71" s="268"/>
      <c r="Y71" s="233"/>
      <c r="Z71" s="233"/>
      <c r="AA71" s="233"/>
      <c r="AB71" s="233"/>
      <c r="AC71" s="233"/>
    </row>
    <row r="72" spans="1:29" ht="12.75" customHeight="1">
      <c r="A72" s="233"/>
      <c r="B72" s="220">
        <v>29</v>
      </c>
      <c r="C72" s="211" t="s">
        <v>875</v>
      </c>
      <c r="D72" s="265" t="s">
        <v>950</v>
      </c>
      <c r="E72" s="266">
        <v>2016</v>
      </c>
      <c r="F72" s="266"/>
      <c r="G72" s="251">
        <f t="shared" si="0"/>
        <v>0.4</v>
      </c>
      <c r="H72" s="220"/>
      <c r="I72" s="220"/>
      <c r="J72" s="216"/>
      <c r="K72" s="220"/>
      <c r="L72" s="220">
        <v>5</v>
      </c>
      <c r="M72" s="259">
        <v>0.4</v>
      </c>
      <c r="N72" s="220"/>
      <c r="O72" s="220"/>
      <c r="P72" s="220"/>
      <c r="Q72" s="220"/>
      <c r="R72" s="220"/>
      <c r="S72" s="220"/>
      <c r="T72" s="260"/>
      <c r="U72" s="260"/>
      <c r="V72" s="524"/>
      <c r="W72" s="524"/>
      <c r="X72" s="268"/>
      <c r="Y72" s="233"/>
      <c r="Z72" s="233"/>
      <c r="AA72" s="233"/>
      <c r="AB72" s="233"/>
      <c r="AC72" s="233"/>
    </row>
    <row r="73" spans="1:29" ht="12.75" customHeight="1">
      <c r="A73" s="233"/>
      <c r="B73" s="220">
        <v>30</v>
      </c>
      <c r="C73" s="211" t="s">
        <v>875</v>
      </c>
      <c r="D73" s="265" t="s">
        <v>952</v>
      </c>
      <c r="E73" s="266">
        <v>2011</v>
      </c>
      <c r="F73" s="266">
        <v>2014</v>
      </c>
      <c r="G73" s="251">
        <f t="shared" si="0"/>
        <v>0.86</v>
      </c>
      <c r="H73" s="220"/>
      <c r="I73" s="220"/>
      <c r="J73" s="216"/>
      <c r="K73" s="220"/>
      <c r="L73" s="220">
        <v>9</v>
      </c>
      <c r="M73" s="259">
        <v>0.86</v>
      </c>
      <c r="N73" s="220"/>
      <c r="O73" s="220"/>
      <c r="P73" s="220"/>
      <c r="Q73" s="220"/>
      <c r="R73" s="220"/>
      <c r="S73" s="220"/>
      <c r="T73" s="260"/>
      <c r="U73" s="260"/>
      <c r="V73" s="524"/>
      <c r="W73" s="524"/>
      <c r="X73" s="268"/>
      <c r="Y73" s="233"/>
      <c r="Z73" s="233"/>
      <c r="AA73" s="233"/>
      <c r="AB73" s="233"/>
      <c r="AC73" s="233"/>
    </row>
    <row r="74" spans="1:29" ht="12.75" customHeight="1">
      <c r="A74" s="233"/>
      <c r="B74" s="220">
        <v>31</v>
      </c>
      <c r="C74" s="211" t="s">
        <v>875</v>
      </c>
      <c r="D74" s="265" t="s">
        <v>953</v>
      </c>
      <c r="E74" s="266">
        <v>2013</v>
      </c>
      <c r="F74" s="266"/>
      <c r="G74" s="251">
        <f t="shared" si="0"/>
        <v>1</v>
      </c>
      <c r="H74" s="220">
        <v>4</v>
      </c>
      <c r="I74" s="220">
        <v>1</v>
      </c>
      <c r="J74" s="216"/>
      <c r="K74" s="220"/>
      <c r="L74" s="220"/>
      <c r="M74" s="259"/>
      <c r="N74" s="220"/>
      <c r="O74" s="220"/>
      <c r="P74" s="220"/>
      <c r="Q74" s="220"/>
      <c r="R74" s="220"/>
      <c r="S74" s="220"/>
      <c r="T74" s="260"/>
      <c r="U74" s="260"/>
      <c r="V74" s="524"/>
      <c r="W74" s="524"/>
      <c r="X74" s="268"/>
      <c r="Y74" s="233"/>
      <c r="Z74" s="233"/>
      <c r="AA74" s="233"/>
      <c r="AB74" s="233"/>
      <c r="AC74" s="233"/>
    </row>
    <row r="75" spans="1:29" ht="12.75" customHeight="1">
      <c r="A75" s="233"/>
      <c r="B75" s="220">
        <v>32</v>
      </c>
      <c r="C75" s="211" t="s">
        <v>875</v>
      </c>
      <c r="D75" s="265" t="s">
        <v>954</v>
      </c>
      <c r="E75" s="266">
        <v>2012</v>
      </c>
      <c r="F75" s="266">
        <v>2015</v>
      </c>
      <c r="G75" s="251">
        <f t="shared" si="0"/>
        <v>0.78</v>
      </c>
      <c r="H75" s="220"/>
      <c r="I75" s="220"/>
      <c r="J75" s="216"/>
      <c r="K75" s="220"/>
      <c r="L75" s="220">
        <v>10</v>
      </c>
      <c r="M75" s="259">
        <v>0.78</v>
      </c>
      <c r="N75" s="220"/>
      <c r="O75" s="220"/>
      <c r="P75" s="220"/>
      <c r="Q75" s="220"/>
      <c r="R75" s="220"/>
      <c r="S75" s="220"/>
      <c r="T75" s="260"/>
      <c r="U75" s="260"/>
      <c r="V75" s="524"/>
      <c r="W75" s="524"/>
      <c r="X75" s="268"/>
      <c r="Y75" s="233"/>
      <c r="Z75" s="233"/>
      <c r="AA75" s="233"/>
      <c r="AB75" s="233"/>
      <c r="AC75" s="233"/>
    </row>
    <row r="76" spans="1:29" ht="12.75" customHeight="1">
      <c r="A76" s="233"/>
      <c r="B76" s="220">
        <v>33</v>
      </c>
      <c r="C76" s="211" t="s">
        <v>875</v>
      </c>
      <c r="D76" s="265" t="s">
        <v>955</v>
      </c>
      <c r="E76" s="266">
        <v>2016</v>
      </c>
      <c r="F76" s="266"/>
      <c r="G76" s="251">
        <f t="shared" si="0"/>
        <v>0.23</v>
      </c>
      <c r="H76" s="220"/>
      <c r="I76" s="220"/>
      <c r="J76" s="216"/>
      <c r="K76" s="220"/>
      <c r="L76" s="220">
        <v>3</v>
      </c>
      <c r="M76" s="259">
        <v>0.23</v>
      </c>
      <c r="N76" s="220"/>
      <c r="O76" s="220"/>
      <c r="P76" s="220"/>
      <c r="Q76" s="220"/>
      <c r="R76" s="220"/>
      <c r="S76" s="220"/>
      <c r="T76" s="260"/>
      <c r="U76" s="260"/>
      <c r="V76" s="524"/>
      <c r="W76" s="524"/>
      <c r="X76" s="268"/>
      <c r="Y76" s="233"/>
      <c r="Z76" s="233"/>
      <c r="AA76" s="233"/>
      <c r="AB76" s="233"/>
      <c r="AC76" s="233"/>
    </row>
    <row r="77" spans="1:29" ht="12.75" customHeight="1">
      <c r="A77" s="233"/>
      <c r="B77" s="220">
        <v>34</v>
      </c>
      <c r="C77" s="211" t="s">
        <v>875</v>
      </c>
      <c r="D77" s="265" t="s">
        <v>956</v>
      </c>
      <c r="E77" s="266">
        <v>2016</v>
      </c>
      <c r="F77" s="266"/>
      <c r="G77" s="251">
        <f t="shared" si="0"/>
        <v>0.2</v>
      </c>
      <c r="H77" s="220"/>
      <c r="I77" s="220"/>
      <c r="J77" s="216"/>
      <c r="K77" s="220"/>
      <c r="L77" s="220">
        <v>3</v>
      </c>
      <c r="M77" s="259">
        <v>0.2</v>
      </c>
      <c r="N77" s="220"/>
      <c r="O77" s="220"/>
      <c r="P77" s="220"/>
      <c r="Q77" s="220"/>
      <c r="R77" s="220"/>
      <c r="S77" s="220"/>
      <c r="T77" s="260"/>
      <c r="U77" s="260"/>
      <c r="V77" s="525"/>
      <c r="W77" s="525"/>
      <c r="X77" s="268"/>
      <c r="Y77" s="233"/>
      <c r="Z77" s="233"/>
      <c r="AA77" s="233"/>
      <c r="AB77" s="233"/>
      <c r="AC77" s="233"/>
    </row>
    <row r="78" spans="1:29" ht="12.75" customHeight="1">
      <c r="A78" s="233"/>
      <c r="B78" s="220">
        <v>35</v>
      </c>
      <c r="C78" s="211" t="s">
        <v>875</v>
      </c>
      <c r="D78" s="265" t="s">
        <v>951</v>
      </c>
      <c r="E78" s="266">
        <v>2009</v>
      </c>
      <c r="F78" s="266">
        <v>2017</v>
      </c>
      <c r="G78" s="251">
        <f t="shared" si="0"/>
        <v>1.31</v>
      </c>
      <c r="H78" s="220"/>
      <c r="I78" s="220"/>
      <c r="J78" s="216">
        <v>41</v>
      </c>
      <c r="K78" s="220">
        <v>0.53</v>
      </c>
      <c r="L78" s="220">
        <v>9</v>
      </c>
      <c r="M78" s="259">
        <v>0.78</v>
      </c>
      <c r="N78" s="220"/>
      <c r="O78" s="220"/>
      <c r="P78" s="220"/>
      <c r="Q78" s="220"/>
      <c r="R78" s="220"/>
      <c r="S78" s="220"/>
      <c r="T78" s="260"/>
      <c r="U78" s="260"/>
      <c r="V78" s="560"/>
      <c r="W78" s="560"/>
      <c r="X78" s="268"/>
      <c r="Y78" s="233"/>
      <c r="Z78" s="233"/>
      <c r="AA78" s="233"/>
      <c r="AB78" s="233"/>
      <c r="AC78" s="233"/>
    </row>
    <row r="79" spans="1:29" ht="12.75" customHeight="1">
      <c r="A79" s="233"/>
      <c r="B79" s="220">
        <v>36</v>
      </c>
      <c r="C79" s="211" t="s">
        <v>875</v>
      </c>
      <c r="D79" s="265" t="s">
        <v>957</v>
      </c>
      <c r="E79" s="266">
        <v>2013</v>
      </c>
      <c r="F79" s="266">
        <v>2015</v>
      </c>
      <c r="G79" s="251">
        <f t="shared" si="0"/>
        <v>0.87</v>
      </c>
      <c r="H79" s="220"/>
      <c r="I79" s="220"/>
      <c r="J79" s="216"/>
      <c r="K79" s="220"/>
      <c r="L79" s="220">
        <v>9</v>
      </c>
      <c r="M79" s="259">
        <v>0.87</v>
      </c>
      <c r="N79" s="220"/>
      <c r="O79" s="220"/>
      <c r="P79" s="220"/>
      <c r="Q79" s="220"/>
      <c r="R79" s="220"/>
      <c r="S79" s="220"/>
      <c r="T79" s="260"/>
      <c r="U79" s="260"/>
      <c r="V79" s="524"/>
      <c r="W79" s="524"/>
      <c r="X79" s="268"/>
      <c r="Y79" s="233"/>
      <c r="Z79" s="233"/>
      <c r="AA79" s="233"/>
      <c r="AB79" s="233"/>
      <c r="AC79" s="233"/>
    </row>
    <row r="80" spans="1:29" ht="12.75" customHeight="1">
      <c r="A80" s="233"/>
      <c r="B80" s="220">
        <v>37</v>
      </c>
      <c r="C80" s="211" t="s">
        <v>875</v>
      </c>
      <c r="D80" s="265" t="s">
        <v>830</v>
      </c>
      <c r="E80" s="266">
        <v>2011</v>
      </c>
      <c r="F80" s="266"/>
      <c r="G80" s="251">
        <f t="shared" si="0"/>
        <v>0.36</v>
      </c>
      <c r="H80" s="220"/>
      <c r="I80" s="220"/>
      <c r="J80" s="216"/>
      <c r="K80" s="220"/>
      <c r="L80" s="220">
        <v>4</v>
      </c>
      <c r="M80" s="259">
        <v>0.36</v>
      </c>
      <c r="N80" s="220"/>
      <c r="O80" s="220"/>
      <c r="P80" s="220"/>
      <c r="Q80" s="220"/>
      <c r="R80" s="220"/>
      <c r="S80" s="220"/>
      <c r="T80" s="260"/>
      <c r="U80" s="260"/>
      <c r="V80" s="524"/>
      <c r="W80" s="524"/>
      <c r="X80" s="268"/>
      <c r="Y80" s="233"/>
      <c r="Z80" s="233"/>
      <c r="AA80" s="233"/>
      <c r="AB80" s="233"/>
      <c r="AC80" s="233"/>
    </row>
    <row r="81" spans="1:29" ht="12.75" customHeight="1">
      <c r="A81" s="233"/>
      <c r="B81" s="220">
        <v>38</v>
      </c>
      <c r="C81" s="211" t="s">
        <v>875</v>
      </c>
      <c r="D81" s="265" t="s">
        <v>958</v>
      </c>
      <c r="E81" s="266">
        <v>2012</v>
      </c>
      <c r="F81" s="266">
        <v>2015</v>
      </c>
      <c r="G81" s="251">
        <f t="shared" si="0"/>
        <v>0.17</v>
      </c>
      <c r="H81" s="220"/>
      <c r="I81" s="220"/>
      <c r="J81" s="216"/>
      <c r="K81" s="220"/>
      <c r="L81" s="220"/>
      <c r="M81" s="259"/>
      <c r="N81" s="220"/>
      <c r="O81" s="220">
        <v>0.17</v>
      </c>
      <c r="P81" s="220"/>
      <c r="Q81" s="220"/>
      <c r="R81" s="220"/>
      <c r="S81" s="220"/>
      <c r="T81" s="260"/>
      <c r="U81" s="260"/>
      <c r="V81" s="524"/>
      <c r="W81" s="524"/>
      <c r="X81" s="268"/>
      <c r="Y81" s="233"/>
      <c r="Z81" s="233"/>
      <c r="AA81" s="233"/>
      <c r="AB81" s="233"/>
      <c r="AC81" s="233"/>
    </row>
    <row r="82" spans="1:29" ht="12.75" customHeight="1">
      <c r="A82" s="233"/>
      <c r="B82" s="220">
        <v>39</v>
      </c>
      <c r="C82" s="211" t="s">
        <v>875</v>
      </c>
      <c r="D82" s="265" t="s">
        <v>959</v>
      </c>
      <c r="E82" s="266">
        <v>2013</v>
      </c>
      <c r="F82" s="266"/>
      <c r="G82" s="251">
        <f t="shared" si="0"/>
        <v>2.7</v>
      </c>
      <c r="H82" s="220">
        <v>8</v>
      </c>
      <c r="I82" s="220">
        <v>2</v>
      </c>
      <c r="J82" s="216"/>
      <c r="K82" s="220"/>
      <c r="L82" s="220">
        <v>9</v>
      </c>
      <c r="M82" s="259">
        <v>0.7</v>
      </c>
      <c r="N82" s="220"/>
      <c r="O82" s="220"/>
      <c r="P82" s="220"/>
      <c r="Q82" s="220"/>
      <c r="R82" s="220"/>
      <c r="S82" s="220"/>
      <c r="T82" s="260"/>
      <c r="U82" s="260"/>
      <c r="V82" s="524"/>
      <c r="W82" s="524"/>
      <c r="X82" s="268"/>
      <c r="Y82" s="233"/>
      <c r="Z82" s="233"/>
      <c r="AA82" s="233"/>
      <c r="AB82" s="233"/>
      <c r="AC82" s="233"/>
    </row>
    <row r="83" spans="1:29" ht="12.75" customHeight="1">
      <c r="A83" s="233"/>
      <c r="B83" s="220">
        <v>40</v>
      </c>
      <c r="C83" s="211" t="s">
        <v>875</v>
      </c>
      <c r="D83" s="265" t="s">
        <v>960</v>
      </c>
      <c r="E83" s="266">
        <v>2011</v>
      </c>
      <c r="F83" s="266">
        <v>2013</v>
      </c>
      <c r="G83" s="251">
        <f t="shared" si="0"/>
        <v>0.56000000000000005</v>
      </c>
      <c r="H83" s="220"/>
      <c r="I83" s="220"/>
      <c r="J83" s="216"/>
      <c r="K83" s="220"/>
      <c r="L83" s="220">
        <v>6</v>
      </c>
      <c r="M83" s="259">
        <v>0.56000000000000005</v>
      </c>
      <c r="N83" s="220"/>
      <c r="O83" s="220"/>
      <c r="P83" s="220"/>
      <c r="Q83" s="220"/>
      <c r="R83" s="220"/>
      <c r="S83" s="220"/>
      <c r="T83" s="260"/>
      <c r="U83" s="260"/>
      <c r="V83" s="524"/>
      <c r="W83" s="524"/>
      <c r="X83" s="268"/>
      <c r="Y83" s="233"/>
      <c r="Z83" s="233"/>
      <c r="AA83" s="233"/>
      <c r="AB83" s="233"/>
      <c r="AC83" s="233"/>
    </row>
    <row r="84" spans="1:29" ht="12.75" customHeight="1">
      <c r="A84" s="233"/>
      <c r="B84" s="220">
        <v>41</v>
      </c>
      <c r="C84" s="211" t="s">
        <v>875</v>
      </c>
      <c r="D84" s="265" t="s">
        <v>961</v>
      </c>
      <c r="E84" s="266">
        <v>2012</v>
      </c>
      <c r="F84" s="266"/>
      <c r="G84" s="251">
        <f t="shared" si="0"/>
        <v>0.55000000000000004</v>
      </c>
      <c r="H84" s="220"/>
      <c r="I84" s="220"/>
      <c r="J84" s="216"/>
      <c r="K84" s="220"/>
      <c r="L84" s="220">
        <v>7</v>
      </c>
      <c r="M84" s="259">
        <v>0.55000000000000004</v>
      </c>
      <c r="N84" s="220"/>
      <c r="O84" s="220"/>
      <c r="P84" s="220"/>
      <c r="Q84" s="220"/>
      <c r="R84" s="220"/>
      <c r="S84" s="220"/>
      <c r="T84" s="260"/>
      <c r="U84" s="260"/>
      <c r="V84" s="524"/>
      <c r="W84" s="524"/>
      <c r="X84" s="268"/>
      <c r="Y84" s="233"/>
      <c r="Z84" s="233"/>
      <c r="AA84" s="233"/>
      <c r="AB84" s="233"/>
      <c r="AC84" s="233"/>
    </row>
    <row r="85" spans="1:29" ht="12.75" customHeight="1">
      <c r="A85" s="233"/>
      <c r="B85" s="220">
        <v>42</v>
      </c>
      <c r="C85" s="211" t="s">
        <v>875</v>
      </c>
      <c r="D85" s="265" t="s">
        <v>830</v>
      </c>
      <c r="E85" s="266">
        <v>2010</v>
      </c>
      <c r="F85" s="266"/>
      <c r="G85" s="251">
        <f t="shared" si="0"/>
        <v>0.87</v>
      </c>
      <c r="H85" s="220"/>
      <c r="I85" s="220"/>
      <c r="J85" s="216"/>
      <c r="K85" s="220"/>
      <c r="L85" s="220">
        <v>11</v>
      </c>
      <c r="M85" s="259">
        <v>0.87</v>
      </c>
      <c r="N85" s="220"/>
      <c r="O85" s="220"/>
      <c r="P85" s="220"/>
      <c r="Q85" s="220"/>
      <c r="R85" s="220"/>
      <c r="S85" s="220"/>
      <c r="T85" s="260"/>
      <c r="U85" s="260"/>
      <c r="V85" s="525"/>
      <c r="W85" s="525"/>
      <c r="X85" s="268"/>
      <c r="Y85" s="233"/>
      <c r="Z85" s="233"/>
      <c r="AA85" s="233"/>
      <c r="AB85" s="233"/>
      <c r="AC85" s="233"/>
    </row>
    <row r="86" spans="1:29" ht="12.75" customHeight="1">
      <c r="A86" s="233"/>
      <c r="B86" s="220">
        <v>43</v>
      </c>
      <c r="C86" s="211" t="s">
        <v>875</v>
      </c>
      <c r="D86" s="265" t="s">
        <v>962</v>
      </c>
      <c r="E86" s="266">
        <v>2012</v>
      </c>
      <c r="F86" s="266"/>
      <c r="G86" s="251">
        <f t="shared" si="0"/>
        <v>0.87</v>
      </c>
      <c r="H86" s="220"/>
      <c r="I86" s="220"/>
      <c r="J86" s="216"/>
      <c r="K86" s="220"/>
      <c r="L86" s="220">
        <v>12</v>
      </c>
      <c r="M86" s="259">
        <v>0.87</v>
      </c>
      <c r="N86" s="220"/>
      <c r="O86" s="220"/>
      <c r="P86" s="220"/>
      <c r="Q86" s="220"/>
      <c r="R86" s="220"/>
      <c r="S86" s="220"/>
      <c r="T86" s="260"/>
      <c r="U86" s="260"/>
      <c r="V86" s="560"/>
      <c r="W86" s="560"/>
      <c r="X86" s="268"/>
      <c r="Y86" s="233"/>
      <c r="Z86" s="233"/>
      <c r="AA86" s="233"/>
      <c r="AB86" s="233"/>
      <c r="AC86" s="233"/>
    </row>
    <row r="87" spans="1:29" ht="12.75" customHeight="1">
      <c r="A87" s="233"/>
      <c r="B87" s="220">
        <v>44</v>
      </c>
      <c r="C87" s="211" t="s">
        <v>875</v>
      </c>
      <c r="D87" s="265" t="s">
        <v>963</v>
      </c>
      <c r="E87" s="266">
        <v>2013</v>
      </c>
      <c r="F87" s="266"/>
      <c r="G87" s="251">
        <f t="shared" si="0"/>
        <v>0.77</v>
      </c>
      <c r="H87" s="220"/>
      <c r="I87" s="220"/>
      <c r="J87" s="216"/>
      <c r="K87" s="220"/>
      <c r="L87" s="220">
        <v>10</v>
      </c>
      <c r="M87" s="259">
        <v>0.77</v>
      </c>
      <c r="N87" s="220"/>
      <c r="O87" s="220"/>
      <c r="P87" s="220"/>
      <c r="Q87" s="220"/>
      <c r="R87" s="220"/>
      <c r="S87" s="220"/>
      <c r="T87" s="260"/>
      <c r="U87" s="260"/>
      <c r="V87" s="524"/>
      <c r="W87" s="524"/>
      <c r="X87" s="268"/>
      <c r="Y87" s="233"/>
      <c r="Z87" s="233"/>
      <c r="AA87" s="233"/>
      <c r="AB87" s="233"/>
      <c r="AC87" s="233"/>
    </row>
    <row r="88" spans="1:29" ht="12.75" customHeight="1">
      <c r="A88" s="233"/>
      <c r="B88" s="220">
        <v>45</v>
      </c>
      <c r="C88" s="211" t="s">
        <v>875</v>
      </c>
      <c r="D88" s="265" t="s">
        <v>964</v>
      </c>
      <c r="E88" s="266">
        <v>2014</v>
      </c>
      <c r="F88" s="266"/>
      <c r="G88" s="251">
        <f t="shared" si="0"/>
        <v>0.7</v>
      </c>
      <c r="H88" s="220"/>
      <c r="I88" s="220"/>
      <c r="J88" s="216"/>
      <c r="K88" s="220"/>
      <c r="L88" s="220">
        <v>11</v>
      </c>
      <c r="M88" s="259">
        <v>0.7</v>
      </c>
      <c r="N88" s="220"/>
      <c r="O88" s="220"/>
      <c r="P88" s="220"/>
      <c r="Q88" s="220"/>
      <c r="R88" s="220"/>
      <c r="S88" s="220"/>
      <c r="T88" s="260"/>
      <c r="U88" s="260"/>
      <c r="V88" s="524"/>
      <c r="W88" s="524"/>
      <c r="X88" s="268"/>
      <c r="Y88" s="233"/>
      <c r="Z88" s="233"/>
      <c r="AA88" s="233"/>
      <c r="AB88" s="233"/>
      <c r="AC88" s="233"/>
    </row>
    <row r="89" spans="1:29" ht="12.75" customHeight="1">
      <c r="A89" s="233"/>
      <c r="B89" s="220">
        <v>46</v>
      </c>
      <c r="C89" s="211" t="s">
        <v>875</v>
      </c>
      <c r="D89" s="265" t="s">
        <v>965</v>
      </c>
      <c r="E89" s="266">
        <v>2013</v>
      </c>
      <c r="F89" s="266">
        <v>2015</v>
      </c>
      <c r="G89" s="251">
        <f t="shared" si="0"/>
        <v>0.75</v>
      </c>
      <c r="H89" s="220"/>
      <c r="I89" s="220"/>
      <c r="J89" s="216"/>
      <c r="K89" s="220"/>
      <c r="L89" s="220">
        <v>8</v>
      </c>
      <c r="M89" s="259">
        <v>0.75</v>
      </c>
      <c r="N89" s="220"/>
      <c r="O89" s="220"/>
      <c r="P89" s="220"/>
      <c r="Q89" s="220"/>
      <c r="R89" s="220"/>
      <c r="S89" s="220"/>
      <c r="T89" s="260"/>
      <c r="U89" s="260"/>
      <c r="V89" s="524"/>
      <c r="W89" s="524"/>
      <c r="X89" s="268"/>
      <c r="Y89" s="233"/>
      <c r="Z89" s="233"/>
      <c r="AA89" s="233"/>
      <c r="AB89" s="233"/>
      <c r="AC89" s="233"/>
    </row>
    <row r="90" spans="1:29" ht="12.75" customHeight="1">
      <c r="A90" s="233"/>
      <c r="B90" s="220">
        <v>47</v>
      </c>
      <c r="C90" s="211" t="s">
        <v>875</v>
      </c>
      <c r="D90" s="265" t="s">
        <v>830</v>
      </c>
      <c r="E90" s="266">
        <v>2011</v>
      </c>
      <c r="F90" s="266"/>
      <c r="G90" s="251">
        <f t="shared" si="0"/>
        <v>3.78</v>
      </c>
      <c r="H90" s="220"/>
      <c r="I90" s="220"/>
      <c r="J90" s="216"/>
      <c r="K90" s="220"/>
      <c r="L90" s="220">
        <v>48</v>
      </c>
      <c r="M90" s="259">
        <v>3.78</v>
      </c>
      <c r="N90" s="220"/>
      <c r="O90" s="220"/>
      <c r="P90" s="220"/>
      <c r="Q90" s="220"/>
      <c r="R90" s="220"/>
      <c r="S90" s="220"/>
      <c r="T90" s="260"/>
      <c r="U90" s="260"/>
      <c r="V90" s="524"/>
      <c r="W90" s="524"/>
      <c r="X90" s="268"/>
      <c r="Y90" s="233"/>
      <c r="Z90" s="233"/>
      <c r="AA90" s="233"/>
      <c r="AB90" s="233"/>
      <c r="AC90" s="233"/>
    </row>
    <row r="91" spans="1:29" ht="12.75" customHeight="1">
      <c r="A91" s="233"/>
      <c r="B91" s="220">
        <v>48</v>
      </c>
      <c r="C91" s="211" t="s">
        <v>966</v>
      </c>
      <c r="D91" s="265" t="s">
        <v>944</v>
      </c>
      <c r="E91" s="266">
        <v>2017</v>
      </c>
      <c r="F91" s="266"/>
      <c r="G91" s="251">
        <f t="shared" si="0"/>
        <v>0.5</v>
      </c>
      <c r="H91" s="220">
        <v>2</v>
      </c>
      <c r="I91" s="220">
        <v>0.5</v>
      </c>
      <c r="J91" s="216"/>
      <c r="K91" s="220"/>
      <c r="L91" s="220"/>
      <c r="M91" s="259"/>
      <c r="N91" s="220"/>
      <c r="O91" s="220"/>
      <c r="P91" s="220"/>
      <c r="Q91" s="220"/>
      <c r="R91" s="220"/>
      <c r="S91" s="220"/>
      <c r="T91" s="260"/>
      <c r="U91" s="260"/>
      <c r="V91" s="524"/>
      <c r="W91" s="524"/>
      <c r="X91" s="268"/>
      <c r="Y91" s="233"/>
      <c r="Z91" s="233"/>
      <c r="AA91" s="233"/>
      <c r="AB91" s="233"/>
      <c r="AC91" s="233"/>
    </row>
    <row r="92" spans="1:29" ht="12.75" customHeight="1">
      <c r="A92" s="233"/>
      <c r="B92" s="220"/>
      <c r="C92" s="211" t="s">
        <v>967</v>
      </c>
      <c r="D92" s="265" t="s">
        <v>968</v>
      </c>
      <c r="E92" s="266">
        <v>2017</v>
      </c>
      <c r="F92" s="266"/>
      <c r="G92" s="251">
        <f t="shared" si="0"/>
        <v>0.12</v>
      </c>
      <c r="H92" s="220"/>
      <c r="I92" s="220"/>
      <c r="J92" s="216"/>
      <c r="K92" s="220"/>
      <c r="L92" s="220"/>
      <c r="M92" s="259"/>
      <c r="N92" s="220">
        <v>24</v>
      </c>
      <c r="O92" s="220">
        <v>0.12</v>
      </c>
      <c r="P92" s="220"/>
      <c r="Q92" s="220"/>
      <c r="R92" s="220"/>
      <c r="S92" s="220"/>
      <c r="T92" s="260"/>
      <c r="U92" s="260"/>
      <c r="V92" s="524"/>
      <c r="W92" s="524"/>
      <c r="X92" s="268"/>
      <c r="Y92" s="233"/>
      <c r="Z92" s="233"/>
      <c r="AA92" s="233"/>
      <c r="AB92" s="233"/>
      <c r="AC92" s="233"/>
    </row>
    <row r="93" spans="1:29" ht="12.75" customHeight="1">
      <c r="A93" s="233"/>
      <c r="B93" s="220">
        <v>49</v>
      </c>
      <c r="C93" s="211" t="s">
        <v>535</v>
      </c>
      <c r="D93" s="265" t="s">
        <v>969</v>
      </c>
      <c r="E93" s="266">
        <v>2015</v>
      </c>
      <c r="F93" s="266">
        <v>2017</v>
      </c>
      <c r="G93" s="251">
        <f t="shared" si="0"/>
        <v>0.4</v>
      </c>
      <c r="H93" s="220"/>
      <c r="I93" s="220"/>
      <c r="J93" s="216"/>
      <c r="K93" s="220"/>
      <c r="L93" s="220">
        <v>4</v>
      </c>
      <c r="M93" s="259">
        <v>0.4</v>
      </c>
      <c r="N93" s="220"/>
      <c r="O93" s="220"/>
      <c r="P93" s="220"/>
      <c r="Q93" s="220"/>
      <c r="R93" s="220"/>
      <c r="S93" s="220"/>
      <c r="T93" s="260"/>
      <c r="U93" s="260"/>
      <c r="V93" s="524"/>
      <c r="W93" s="524"/>
      <c r="X93" s="268"/>
      <c r="Y93" s="233"/>
      <c r="Z93" s="233"/>
      <c r="AA93" s="233"/>
      <c r="AB93" s="233"/>
      <c r="AC93" s="233"/>
    </row>
    <row r="94" spans="1:29" ht="12.75" customHeight="1">
      <c r="A94" s="233"/>
      <c r="B94" s="220">
        <v>50</v>
      </c>
      <c r="C94" s="211" t="s">
        <v>535</v>
      </c>
      <c r="D94" s="265" t="s">
        <v>969</v>
      </c>
      <c r="E94" s="266">
        <v>2013</v>
      </c>
      <c r="F94" s="266">
        <v>2014</v>
      </c>
      <c r="G94" s="251">
        <f t="shared" si="0"/>
        <v>0.18</v>
      </c>
      <c r="H94" s="220"/>
      <c r="I94" s="220"/>
      <c r="J94" s="216">
        <v>11</v>
      </c>
      <c r="K94" s="220">
        <v>0.18</v>
      </c>
      <c r="L94" s="220"/>
      <c r="M94" s="259"/>
      <c r="N94" s="220"/>
      <c r="O94" s="220"/>
      <c r="P94" s="220"/>
      <c r="Q94" s="220"/>
      <c r="R94" s="220"/>
      <c r="S94" s="220"/>
      <c r="T94" s="260"/>
      <c r="U94" s="260"/>
      <c r="V94" s="524"/>
      <c r="W94" s="524"/>
      <c r="X94" s="268"/>
      <c r="Y94" s="233"/>
      <c r="Z94" s="233"/>
      <c r="AA94" s="233"/>
      <c r="AB94" s="233"/>
      <c r="AC94" s="233"/>
    </row>
    <row r="95" spans="1:29" ht="12.75" customHeight="1">
      <c r="A95" s="233"/>
      <c r="B95" s="220">
        <v>51</v>
      </c>
      <c r="C95" s="211" t="s">
        <v>537</v>
      </c>
      <c r="D95" s="270" t="s">
        <v>830</v>
      </c>
      <c r="E95" s="271">
        <v>2015</v>
      </c>
      <c r="F95" s="272"/>
      <c r="G95" s="251">
        <f t="shared" si="0"/>
        <v>0.85</v>
      </c>
      <c r="H95" s="273"/>
      <c r="I95" s="212"/>
      <c r="J95" s="212"/>
      <c r="K95" s="212"/>
      <c r="L95" s="212">
        <v>11</v>
      </c>
      <c r="M95" s="212">
        <v>0.85</v>
      </c>
      <c r="N95" s="220"/>
      <c r="O95" s="220"/>
      <c r="P95" s="220"/>
      <c r="Q95" s="220"/>
      <c r="R95" s="220"/>
      <c r="S95" s="220"/>
      <c r="T95" s="260"/>
      <c r="U95" s="260"/>
      <c r="V95" s="524"/>
      <c r="W95" s="524"/>
      <c r="X95" s="268"/>
      <c r="Y95" s="233"/>
      <c r="Z95" s="233"/>
      <c r="AA95" s="233"/>
      <c r="AB95" s="233"/>
      <c r="AC95" s="233"/>
    </row>
    <row r="96" spans="1:29" ht="12.75" customHeight="1">
      <c r="A96" s="233"/>
      <c r="B96" s="220">
        <v>52</v>
      </c>
      <c r="C96" s="211" t="s">
        <v>537</v>
      </c>
      <c r="D96" s="270" t="s">
        <v>970</v>
      </c>
      <c r="E96" s="271">
        <v>2017</v>
      </c>
      <c r="F96" s="272"/>
      <c r="G96" s="251">
        <f t="shared" si="0"/>
        <v>0.18</v>
      </c>
      <c r="H96" s="273"/>
      <c r="I96" s="212"/>
      <c r="J96" s="212">
        <v>10</v>
      </c>
      <c r="K96" s="212">
        <v>0.18</v>
      </c>
      <c r="L96" s="212"/>
      <c r="M96" s="212"/>
      <c r="N96" s="220"/>
      <c r="O96" s="220"/>
      <c r="P96" s="220"/>
      <c r="Q96" s="220"/>
      <c r="R96" s="220"/>
      <c r="S96" s="220"/>
      <c r="T96" s="260"/>
      <c r="U96" s="260"/>
      <c r="V96" s="524"/>
      <c r="W96" s="524"/>
      <c r="X96" s="268"/>
      <c r="Y96" s="233"/>
      <c r="Z96" s="233"/>
      <c r="AA96" s="233"/>
      <c r="AB96" s="233"/>
      <c r="AC96" s="233"/>
    </row>
    <row r="97" spans="1:29" ht="12.75" customHeight="1">
      <c r="A97" s="233"/>
      <c r="B97" s="220">
        <v>53</v>
      </c>
      <c r="C97" s="211" t="s">
        <v>537</v>
      </c>
      <c r="D97" s="270" t="s">
        <v>944</v>
      </c>
      <c r="E97" s="271">
        <v>2017</v>
      </c>
      <c r="F97" s="272"/>
      <c r="G97" s="251">
        <f t="shared" si="0"/>
        <v>0.15</v>
      </c>
      <c r="H97" s="273"/>
      <c r="I97" s="212"/>
      <c r="J97" s="212">
        <v>4</v>
      </c>
      <c r="K97" s="212">
        <v>0.15</v>
      </c>
      <c r="L97" s="212"/>
      <c r="M97" s="212"/>
      <c r="N97" s="220"/>
      <c r="O97" s="220"/>
      <c r="P97" s="220"/>
      <c r="Q97" s="220"/>
      <c r="R97" s="220"/>
      <c r="S97" s="220"/>
      <c r="T97" s="260"/>
      <c r="U97" s="260"/>
      <c r="V97" s="524"/>
      <c r="W97" s="524"/>
      <c r="X97" s="268"/>
      <c r="Y97" s="233"/>
      <c r="Z97" s="233"/>
      <c r="AA97" s="233"/>
      <c r="AB97" s="233"/>
      <c r="AC97" s="233"/>
    </row>
    <row r="98" spans="1:29" ht="12.75" customHeight="1">
      <c r="A98" s="233"/>
      <c r="B98" s="220">
        <v>54</v>
      </c>
      <c r="C98" s="211" t="s">
        <v>537</v>
      </c>
      <c r="D98" s="270" t="s">
        <v>971</v>
      </c>
      <c r="E98" s="271">
        <v>2016</v>
      </c>
      <c r="F98" s="272">
        <v>2017</v>
      </c>
      <c r="G98" s="251">
        <f t="shared" si="0"/>
        <v>0.2</v>
      </c>
      <c r="H98" s="273"/>
      <c r="I98" s="212"/>
      <c r="J98" s="212">
        <v>17</v>
      </c>
      <c r="K98" s="212">
        <v>0.2</v>
      </c>
      <c r="L98" s="212"/>
      <c r="M98" s="212"/>
      <c r="N98" s="220"/>
      <c r="O98" s="220"/>
      <c r="P98" s="220"/>
      <c r="Q98" s="220"/>
      <c r="R98" s="220"/>
      <c r="S98" s="220"/>
      <c r="T98" s="260"/>
      <c r="U98" s="260"/>
      <c r="V98" s="524"/>
      <c r="W98" s="524"/>
      <c r="X98" s="268"/>
      <c r="Y98" s="233"/>
      <c r="Z98" s="233"/>
      <c r="AA98" s="233"/>
      <c r="AB98" s="233"/>
      <c r="AC98" s="233"/>
    </row>
    <row r="99" spans="1:29" ht="12.75" customHeight="1">
      <c r="A99" s="233"/>
      <c r="B99" s="220">
        <v>55</v>
      </c>
      <c r="C99" s="211" t="s">
        <v>537</v>
      </c>
      <c r="D99" s="270" t="s">
        <v>830</v>
      </c>
      <c r="E99" s="271">
        <v>2016</v>
      </c>
      <c r="F99" s="272"/>
      <c r="G99" s="251">
        <f t="shared" si="0"/>
        <v>0.8</v>
      </c>
      <c r="H99" s="273">
        <v>4</v>
      </c>
      <c r="I99" s="212">
        <v>0.8</v>
      </c>
      <c r="J99" s="212">
        <v>34</v>
      </c>
      <c r="K99" s="212"/>
      <c r="L99" s="212"/>
      <c r="M99" s="212"/>
      <c r="N99" s="220"/>
      <c r="O99" s="220"/>
      <c r="P99" s="220"/>
      <c r="Q99" s="220"/>
      <c r="R99" s="220"/>
      <c r="S99" s="220"/>
      <c r="T99" s="260"/>
      <c r="U99" s="260"/>
      <c r="V99" s="524"/>
      <c r="W99" s="524"/>
      <c r="X99" s="268"/>
      <c r="Y99" s="233"/>
      <c r="Z99" s="233"/>
      <c r="AA99" s="233"/>
      <c r="AB99" s="233"/>
      <c r="AC99" s="233"/>
    </row>
    <row r="100" spans="1:29" ht="12.75" customHeight="1">
      <c r="A100" s="233"/>
      <c r="B100" s="220">
        <v>56</v>
      </c>
      <c r="C100" s="211" t="s">
        <v>537</v>
      </c>
      <c r="D100" s="270" t="s">
        <v>830</v>
      </c>
      <c r="E100" s="271">
        <v>2015</v>
      </c>
      <c r="F100" s="272">
        <v>2016</v>
      </c>
      <c r="G100" s="251">
        <f t="shared" si="0"/>
        <v>0.8</v>
      </c>
      <c r="H100" s="273">
        <v>4</v>
      </c>
      <c r="I100" s="212">
        <v>0.8</v>
      </c>
      <c r="J100" s="212">
        <v>33</v>
      </c>
      <c r="K100" s="212"/>
      <c r="L100" s="212"/>
      <c r="M100" s="212"/>
      <c r="N100" s="220"/>
      <c r="O100" s="220"/>
      <c r="P100" s="220"/>
      <c r="Q100" s="220"/>
      <c r="R100" s="220"/>
      <c r="S100" s="220"/>
      <c r="T100" s="260"/>
      <c r="U100" s="260"/>
      <c r="V100" s="524"/>
      <c r="W100" s="524"/>
      <c r="X100" s="268"/>
      <c r="Y100" s="233"/>
      <c r="Z100" s="233"/>
      <c r="AA100" s="233"/>
      <c r="AB100" s="233"/>
      <c r="AC100" s="233"/>
    </row>
    <row r="101" spans="1:29" ht="12.75" customHeight="1">
      <c r="A101" s="233"/>
      <c r="B101" s="220">
        <v>57</v>
      </c>
      <c r="C101" s="211" t="s">
        <v>537</v>
      </c>
      <c r="D101" s="270" t="s">
        <v>972</v>
      </c>
      <c r="E101" s="271">
        <v>2015</v>
      </c>
      <c r="F101" s="272">
        <v>2016</v>
      </c>
      <c r="G101" s="251">
        <f t="shared" si="0"/>
        <v>0.14000000000000001</v>
      </c>
      <c r="H101" s="273"/>
      <c r="I101" s="212"/>
      <c r="J101" s="212">
        <v>4</v>
      </c>
      <c r="K101" s="212">
        <v>0.14000000000000001</v>
      </c>
      <c r="L101" s="212"/>
      <c r="M101" s="212"/>
      <c r="N101" s="220"/>
      <c r="O101" s="220"/>
      <c r="P101" s="220"/>
      <c r="Q101" s="220"/>
      <c r="R101" s="220"/>
      <c r="S101" s="220"/>
      <c r="T101" s="260"/>
      <c r="U101" s="260"/>
      <c r="V101" s="524"/>
      <c r="W101" s="524"/>
      <c r="X101" s="268"/>
      <c r="Y101" s="233"/>
      <c r="Z101" s="233"/>
      <c r="AA101" s="233"/>
      <c r="AB101" s="233"/>
      <c r="AC101" s="233"/>
    </row>
    <row r="102" spans="1:29" ht="12.75" customHeight="1">
      <c r="A102" s="233"/>
      <c r="B102" s="220">
        <v>58</v>
      </c>
      <c r="C102" s="211" t="s">
        <v>537</v>
      </c>
      <c r="D102" s="270" t="s">
        <v>944</v>
      </c>
      <c r="E102" s="271">
        <v>2016</v>
      </c>
      <c r="F102" s="272"/>
      <c r="G102" s="251">
        <f t="shared" si="0"/>
        <v>7.0000000000000007E-2</v>
      </c>
      <c r="H102" s="273"/>
      <c r="I102" s="212"/>
      <c r="J102" s="212">
        <v>2</v>
      </c>
      <c r="K102" s="212">
        <v>7.0000000000000007E-2</v>
      </c>
      <c r="L102" s="212"/>
      <c r="M102" s="212"/>
      <c r="N102" s="220"/>
      <c r="O102" s="220"/>
      <c r="P102" s="220"/>
      <c r="Q102" s="220"/>
      <c r="R102" s="220"/>
      <c r="S102" s="220"/>
      <c r="T102" s="260"/>
      <c r="U102" s="260"/>
      <c r="V102" s="524"/>
      <c r="W102" s="524"/>
      <c r="X102" s="268"/>
      <c r="Y102" s="233"/>
      <c r="Z102" s="233"/>
      <c r="AA102" s="233"/>
      <c r="AB102" s="233"/>
      <c r="AC102" s="233"/>
    </row>
    <row r="103" spans="1:29" ht="12.75" customHeight="1">
      <c r="A103" s="233"/>
      <c r="B103" s="220">
        <v>59</v>
      </c>
      <c r="C103" s="211" t="s">
        <v>537</v>
      </c>
      <c r="D103" s="270" t="s">
        <v>973</v>
      </c>
      <c r="E103" s="271">
        <v>2016</v>
      </c>
      <c r="F103" s="272"/>
      <c r="G103" s="251">
        <f t="shared" si="0"/>
        <v>7.0000000000000007E-2</v>
      </c>
      <c r="H103" s="273"/>
      <c r="I103" s="212"/>
      <c r="J103" s="212">
        <v>2</v>
      </c>
      <c r="K103" s="212">
        <v>7.0000000000000007E-2</v>
      </c>
      <c r="L103" s="212"/>
      <c r="M103" s="212"/>
      <c r="N103" s="220"/>
      <c r="O103" s="220"/>
      <c r="P103" s="220"/>
      <c r="Q103" s="220"/>
      <c r="R103" s="220"/>
      <c r="S103" s="220"/>
      <c r="T103" s="260"/>
      <c r="U103" s="260"/>
      <c r="V103" s="524"/>
      <c r="W103" s="524"/>
      <c r="X103" s="268"/>
      <c r="Y103" s="233"/>
      <c r="Z103" s="233"/>
      <c r="AA103" s="233"/>
      <c r="AB103" s="233"/>
      <c r="AC103" s="233"/>
    </row>
    <row r="104" spans="1:29" ht="12.75" customHeight="1">
      <c r="A104" s="233"/>
      <c r="B104" s="220">
        <v>60</v>
      </c>
      <c r="C104" s="211" t="s">
        <v>537</v>
      </c>
      <c r="D104" s="270" t="s">
        <v>974</v>
      </c>
      <c r="E104" s="271">
        <v>2016</v>
      </c>
      <c r="F104" s="272"/>
      <c r="G104" s="251">
        <f t="shared" si="0"/>
        <v>0.35</v>
      </c>
      <c r="H104" s="273"/>
      <c r="I104" s="212"/>
      <c r="J104" s="212"/>
      <c r="K104" s="212"/>
      <c r="L104" s="212">
        <v>6</v>
      </c>
      <c r="M104" s="212">
        <v>0.35</v>
      </c>
      <c r="N104" s="220"/>
      <c r="O104" s="220"/>
      <c r="P104" s="220"/>
      <c r="Q104" s="220"/>
      <c r="R104" s="220"/>
      <c r="S104" s="220"/>
      <c r="T104" s="260"/>
      <c r="U104" s="260"/>
      <c r="V104" s="524"/>
      <c r="W104" s="524"/>
      <c r="X104" s="268"/>
      <c r="Y104" s="233"/>
      <c r="Z104" s="233"/>
      <c r="AA104" s="233"/>
      <c r="AB104" s="233"/>
      <c r="AC104" s="233"/>
    </row>
    <row r="105" spans="1:29" ht="12.75" customHeight="1">
      <c r="A105" s="233"/>
      <c r="B105" s="220">
        <v>61</v>
      </c>
      <c r="C105" s="211" t="s">
        <v>537</v>
      </c>
      <c r="D105" s="270" t="s">
        <v>975</v>
      </c>
      <c r="E105" s="271">
        <v>2015</v>
      </c>
      <c r="F105" s="272"/>
      <c r="G105" s="251">
        <f t="shared" si="0"/>
        <v>0.2</v>
      </c>
      <c r="H105" s="273">
        <v>1</v>
      </c>
      <c r="I105" s="212">
        <v>0.2</v>
      </c>
      <c r="J105" s="212">
        <v>6</v>
      </c>
      <c r="K105" s="212"/>
      <c r="L105" s="212"/>
      <c r="M105" s="212"/>
      <c r="N105" s="220"/>
      <c r="O105" s="220"/>
      <c r="P105" s="220"/>
      <c r="Q105" s="220"/>
      <c r="R105" s="220"/>
      <c r="S105" s="220"/>
      <c r="T105" s="260"/>
      <c r="U105" s="260"/>
      <c r="V105" s="524"/>
      <c r="W105" s="524"/>
      <c r="X105" s="268"/>
      <c r="Y105" s="233"/>
      <c r="Z105" s="233"/>
      <c r="AA105" s="233"/>
      <c r="AB105" s="233"/>
      <c r="AC105" s="233"/>
    </row>
    <row r="106" spans="1:29" ht="12.75" customHeight="1">
      <c r="A106" s="233"/>
      <c r="B106" s="220">
        <v>62</v>
      </c>
      <c r="C106" s="211" t="s">
        <v>537</v>
      </c>
      <c r="D106" s="270" t="s">
        <v>972</v>
      </c>
      <c r="E106" s="271">
        <v>2015</v>
      </c>
      <c r="F106" s="272"/>
      <c r="G106" s="251">
        <f t="shared" si="0"/>
        <v>0.08</v>
      </c>
      <c r="H106" s="273"/>
      <c r="I106" s="212"/>
      <c r="J106" s="212">
        <v>2</v>
      </c>
      <c r="K106" s="212">
        <v>0.08</v>
      </c>
      <c r="L106" s="212"/>
      <c r="M106" s="212"/>
      <c r="N106" s="220"/>
      <c r="O106" s="220"/>
      <c r="P106" s="220"/>
      <c r="Q106" s="220"/>
      <c r="R106" s="220"/>
      <c r="S106" s="220"/>
      <c r="T106" s="260"/>
      <c r="U106" s="260"/>
      <c r="V106" s="524"/>
      <c r="W106" s="524"/>
      <c r="X106" s="268"/>
      <c r="Y106" s="233"/>
      <c r="Z106" s="233"/>
      <c r="AA106" s="233"/>
      <c r="AB106" s="233"/>
      <c r="AC106" s="233"/>
    </row>
    <row r="107" spans="1:29" ht="12.75" customHeight="1">
      <c r="A107" s="233"/>
      <c r="B107" s="220">
        <v>63</v>
      </c>
      <c r="C107" s="211" t="s">
        <v>537</v>
      </c>
      <c r="D107" s="270" t="s">
        <v>976</v>
      </c>
      <c r="E107" s="271">
        <v>2014</v>
      </c>
      <c r="F107" s="272">
        <v>2016</v>
      </c>
      <c r="G107" s="251">
        <f t="shared" si="0"/>
        <v>0.24</v>
      </c>
      <c r="H107" s="273"/>
      <c r="I107" s="212"/>
      <c r="J107" s="212"/>
      <c r="K107" s="212"/>
      <c r="L107" s="212">
        <v>4</v>
      </c>
      <c r="M107" s="212">
        <v>0.24</v>
      </c>
      <c r="N107" s="220"/>
      <c r="O107" s="220"/>
      <c r="P107" s="220"/>
      <c r="Q107" s="220"/>
      <c r="R107" s="220"/>
      <c r="S107" s="220"/>
      <c r="T107" s="260"/>
      <c r="U107" s="260"/>
      <c r="V107" s="524"/>
      <c r="W107" s="524"/>
      <c r="X107" s="268"/>
      <c r="Y107" s="233"/>
      <c r="Z107" s="233"/>
      <c r="AA107" s="233"/>
      <c r="AB107" s="233"/>
      <c r="AC107" s="233"/>
    </row>
    <row r="108" spans="1:29" ht="12.75" customHeight="1">
      <c r="A108" s="233"/>
      <c r="B108" s="220">
        <v>64</v>
      </c>
      <c r="C108" s="211" t="s">
        <v>537</v>
      </c>
      <c r="D108" s="270" t="s">
        <v>944</v>
      </c>
      <c r="E108" s="271">
        <v>2013</v>
      </c>
      <c r="F108" s="272">
        <v>2015</v>
      </c>
      <c r="G108" s="251">
        <f t="shared" si="0"/>
        <v>0.2</v>
      </c>
      <c r="H108" s="273"/>
      <c r="I108" s="212"/>
      <c r="J108" s="212">
        <v>15</v>
      </c>
      <c r="K108" s="212">
        <v>0.2</v>
      </c>
      <c r="L108" s="212"/>
      <c r="M108" s="212"/>
      <c r="N108" s="220"/>
      <c r="O108" s="220"/>
      <c r="P108" s="220"/>
      <c r="Q108" s="220"/>
      <c r="R108" s="220"/>
      <c r="S108" s="220"/>
      <c r="T108" s="260"/>
      <c r="U108" s="260"/>
      <c r="V108" s="524"/>
      <c r="W108" s="524"/>
      <c r="X108" s="268"/>
      <c r="Y108" s="233"/>
      <c r="Z108" s="233"/>
      <c r="AA108" s="233"/>
      <c r="AB108" s="233"/>
      <c r="AC108" s="233"/>
    </row>
    <row r="109" spans="1:29" ht="12.75" customHeight="1">
      <c r="A109" s="233"/>
      <c r="B109" s="220">
        <v>65</v>
      </c>
      <c r="C109" s="211" t="s">
        <v>537</v>
      </c>
      <c r="D109" s="270" t="s">
        <v>977</v>
      </c>
      <c r="E109" s="271">
        <v>2015</v>
      </c>
      <c r="F109" s="272"/>
      <c r="G109" s="251">
        <f t="shared" si="0"/>
        <v>0.2</v>
      </c>
      <c r="H109" s="273">
        <v>1</v>
      </c>
      <c r="I109" s="212">
        <v>0.2</v>
      </c>
      <c r="J109" s="212">
        <v>7</v>
      </c>
      <c r="K109" s="212"/>
      <c r="L109" s="212"/>
      <c r="M109" s="212"/>
      <c r="N109" s="220"/>
      <c r="O109" s="220"/>
      <c r="P109" s="220"/>
      <c r="Q109" s="220"/>
      <c r="R109" s="220"/>
      <c r="S109" s="220"/>
      <c r="T109" s="260"/>
      <c r="U109" s="260"/>
      <c r="V109" s="524"/>
      <c r="W109" s="524"/>
      <c r="X109" s="268"/>
      <c r="Y109" s="233"/>
      <c r="Z109" s="233"/>
      <c r="AA109" s="233"/>
      <c r="AB109" s="233"/>
      <c r="AC109" s="233"/>
    </row>
    <row r="110" spans="1:29" ht="12.75" customHeight="1">
      <c r="A110" s="233"/>
      <c r="B110" s="220">
        <v>66</v>
      </c>
      <c r="C110" s="211" t="s">
        <v>537</v>
      </c>
      <c r="D110" s="270" t="s">
        <v>830</v>
      </c>
      <c r="E110" s="271">
        <v>2016</v>
      </c>
      <c r="F110" s="272"/>
      <c r="G110" s="251">
        <f t="shared" si="0"/>
        <v>0.8</v>
      </c>
      <c r="H110" s="273">
        <v>4</v>
      </c>
      <c r="I110" s="212">
        <v>0.8</v>
      </c>
      <c r="J110" s="212">
        <v>24</v>
      </c>
      <c r="K110" s="212"/>
      <c r="L110" s="212"/>
      <c r="M110" s="212"/>
      <c r="N110" s="220"/>
      <c r="O110" s="220"/>
      <c r="P110" s="220"/>
      <c r="Q110" s="220"/>
      <c r="R110" s="220"/>
      <c r="S110" s="220"/>
      <c r="T110" s="260"/>
      <c r="U110" s="260"/>
      <c r="V110" s="524"/>
      <c r="W110" s="524"/>
      <c r="X110" s="268"/>
      <c r="Y110" s="233"/>
      <c r="Z110" s="233"/>
      <c r="AA110" s="233"/>
      <c r="AB110" s="233"/>
      <c r="AC110" s="233"/>
    </row>
    <row r="111" spans="1:29" ht="12.75" customHeight="1">
      <c r="A111" s="233"/>
      <c r="B111" s="220">
        <v>67</v>
      </c>
      <c r="C111" s="211" t="s">
        <v>537</v>
      </c>
      <c r="D111" s="270" t="s">
        <v>830</v>
      </c>
      <c r="E111" s="271">
        <v>2015</v>
      </c>
      <c r="F111" s="272"/>
      <c r="G111" s="251">
        <f t="shared" si="0"/>
        <v>0.8</v>
      </c>
      <c r="H111" s="273">
        <v>4</v>
      </c>
      <c r="I111" s="212">
        <v>0.8</v>
      </c>
      <c r="J111" s="212">
        <v>28</v>
      </c>
      <c r="K111" s="212"/>
      <c r="L111" s="212"/>
      <c r="M111" s="212"/>
      <c r="N111" s="220"/>
      <c r="O111" s="220"/>
      <c r="P111" s="220"/>
      <c r="Q111" s="220"/>
      <c r="R111" s="220"/>
      <c r="S111" s="220"/>
      <c r="T111" s="260"/>
      <c r="U111" s="260"/>
      <c r="V111" s="524"/>
      <c r="W111" s="524"/>
      <c r="X111" s="268"/>
      <c r="Y111" s="233"/>
      <c r="Z111" s="233"/>
      <c r="AA111" s="233"/>
      <c r="AB111" s="233"/>
      <c r="AC111" s="233"/>
    </row>
    <row r="112" spans="1:29" ht="12.75" customHeight="1">
      <c r="A112" s="233"/>
      <c r="B112" s="220">
        <v>68</v>
      </c>
      <c r="C112" s="211" t="s">
        <v>537</v>
      </c>
      <c r="D112" s="270" t="s">
        <v>830</v>
      </c>
      <c r="E112" s="271">
        <v>2014</v>
      </c>
      <c r="F112" s="272"/>
      <c r="G112" s="251">
        <f t="shared" si="0"/>
        <v>0.8</v>
      </c>
      <c r="H112" s="273">
        <v>4</v>
      </c>
      <c r="I112" s="212">
        <v>0.8</v>
      </c>
      <c r="J112" s="212">
        <v>28</v>
      </c>
      <c r="K112" s="212"/>
      <c r="L112" s="212"/>
      <c r="M112" s="212"/>
      <c r="N112" s="220"/>
      <c r="O112" s="220"/>
      <c r="P112" s="220"/>
      <c r="Q112" s="220"/>
      <c r="R112" s="220"/>
      <c r="S112" s="220"/>
      <c r="T112" s="260"/>
      <c r="U112" s="260"/>
      <c r="V112" s="524"/>
      <c r="W112" s="524"/>
      <c r="X112" s="268"/>
      <c r="Y112" s="233"/>
      <c r="Z112" s="233"/>
      <c r="AA112" s="233"/>
      <c r="AB112" s="233"/>
      <c r="AC112" s="233"/>
    </row>
    <row r="113" spans="1:29" ht="12.75" customHeight="1">
      <c r="A113" s="233"/>
      <c r="B113" s="220">
        <v>69</v>
      </c>
      <c r="C113" s="211" t="s">
        <v>537</v>
      </c>
      <c r="D113" s="270" t="s">
        <v>830</v>
      </c>
      <c r="E113" s="271">
        <v>2016</v>
      </c>
      <c r="F113" s="272"/>
      <c r="G113" s="251">
        <f t="shared" si="0"/>
        <v>0.6</v>
      </c>
      <c r="H113" s="273">
        <v>3</v>
      </c>
      <c r="I113" s="212">
        <v>0.6</v>
      </c>
      <c r="J113" s="212">
        <v>21</v>
      </c>
      <c r="K113" s="212"/>
      <c r="L113" s="212"/>
      <c r="M113" s="212"/>
      <c r="N113" s="220"/>
      <c r="O113" s="220"/>
      <c r="P113" s="220"/>
      <c r="Q113" s="220"/>
      <c r="R113" s="220"/>
      <c r="S113" s="220"/>
      <c r="T113" s="260"/>
      <c r="U113" s="260"/>
      <c r="V113" s="524"/>
      <c r="W113" s="524"/>
      <c r="X113" s="268"/>
      <c r="Y113" s="233"/>
      <c r="Z113" s="233"/>
      <c r="AA113" s="233"/>
      <c r="AB113" s="233"/>
      <c r="AC113" s="233"/>
    </row>
    <row r="114" spans="1:29" ht="12.75" customHeight="1">
      <c r="A114" s="233"/>
      <c r="B114" s="220">
        <v>70</v>
      </c>
      <c r="C114" s="211" t="s">
        <v>537</v>
      </c>
      <c r="D114" s="270" t="s">
        <v>978</v>
      </c>
      <c r="E114" s="271">
        <v>2016</v>
      </c>
      <c r="F114" s="272"/>
      <c r="G114" s="251">
        <f t="shared" si="0"/>
        <v>0.6</v>
      </c>
      <c r="H114" s="273">
        <v>3</v>
      </c>
      <c r="I114" s="212">
        <v>0.6</v>
      </c>
      <c r="J114" s="212">
        <v>21</v>
      </c>
      <c r="K114" s="212"/>
      <c r="L114" s="212"/>
      <c r="M114" s="212"/>
      <c r="N114" s="220"/>
      <c r="O114" s="220"/>
      <c r="P114" s="220"/>
      <c r="Q114" s="220"/>
      <c r="R114" s="220"/>
      <c r="S114" s="220"/>
      <c r="T114" s="260"/>
      <c r="U114" s="260"/>
      <c r="V114" s="524"/>
      <c r="W114" s="524"/>
      <c r="X114" s="268"/>
      <c r="Y114" s="233"/>
      <c r="Z114" s="233"/>
      <c r="AA114" s="233"/>
      <c r="AB114" s="233"/>
      <c r="AC114" s="233"/>
    </row>
    <row r="115" spans="1:29" ht="12.75" customHeight="1">
      <c r="A115" s="233"/>
      <c r="B115" s="220">
        <v>71</v>
      </c>
      <c r="C115" s="211" t="s">
        <v>537</v>
      </c>
      <c r="D115" s="270" t="s">
        <v>830</v>
      </c>
      <c r="E115" s="271">
        <v>2016</v>
      </c>
      <c r="F115" s="272"/>
      <c r="G115" s="251">
        <f t="shared" si="0"/>
        <v>0.8</v>
      </c>
      <c r="H115" s="273">
        <v>4</v>
      </c>
      <c r="I115" s="212">
        <v>0.8</v>
      </c>
      <c r="J115" s="212">
        <v>48</v>
      </c>
      <c r="K115" s="212"/>
      <c r="L115" s="212"/>
      <c r="M115" s="212"/>
      <c r="N115" s="220"/>
      <c r="O115" s="220"/>
      <c r="P115" s="220"/>
      <c r="Q115" s="220"/>
      <c r="R115" s="220"/>
      <c r="S115" s="220"/>
      <c r="T115" s="260"/>
      <c r="U115" s="260"/>
      <c r="V115" s="524"/>
      <c r="W115" s="524"/>
      <c r="X115" s="268"/>
      <c r="Y115" s="233"/>
      <c r="Z115" s="233"/>
      <c r="AA115" s="233"/>
      <c r="AB115" s="233"/>
      <c r="AC115" s="233"/>
    </row>
    <row r="116" spans="1:29" ht="12.75" customHeight="1">
      <c r="A116" s="233"/>
      <c r="B116" s="220">
        <v>72</v>
      </c>
      <c r="C116" s="211" t="s">
        <v>537</v>
      </c>
      <c r="D116" s="270" t="s">
        <v>979</v>
      </c>
      <c r="E116" s="271">
        <v>2016</v>
      </c>
      <c r="F116" s="272"/>
      <c r="G116" s="251">
        <f t="shared" si="0"/>
        <v>0.4</v>
      </c>
      <c r="H116" s="273"/>
      <c r="I116" s="212"/>
      <c r="J116" s="212">
        <v>13</v>
      </c>
      <c r="K116" s="212"/>
      <c r="L116" s="212">
        <v>4</v>
      </c>
      <c r="M116" s="212">
        <v>0.4</v>
      </c>
      <c r="N116" s="220"/>
      <c r="O116" s="220"/>
      <c r="P116" s="220"/>
      <c r="Q116" s="220"/>
      <c r="R116" s="220"/>
      <c r="S116" s="220"/>
      <c r="T116" s="260"/>
      <c r="U116" s="260"/>
      <c r="V116" s="524"/>
      <c r="W116" s="524"/>
      <c r="X116" s="268"/>
      <c r="Y116" s="233"/>
      <c r="Z116" s="233"/>
      <c r="AA116" s="233"/>
      <c r="AB116" s="233"/>
      <c r="AC116" s="233"/>
    </row>
    <row r="117" spans="1:29" ht="12.75" customHeight="1">
      <c r="A117" s="233"/>
      <c r="B117" s="220">
        <v>73</v>
      </c>
      <c r="C117" s="211" t="s">
        <v>537</v>
      </c>
      <c r="D117" s="270" t="s">
        <v>980</v>
      </c>
      <c r="E117" s="271">
        <v>2016</v>
      </c>
      <c r="F117" s="272"/>
      <c r="G117" s="251">
        <f t="shared" si="0"/>
        <v>0</v>
      </c>
      <c r="H117" s="273"/>
      <c r="I117" s="212"/>
      <c r="J117" s="212">
        <v>13</v>
      </c>
      <c r="K117" s="212"/>
      <c r="L117" s="212">
        <v>4</v>
      </c>
      <c r="M117" s="212"/>
      <c r="N117" s="220"/>
      <c r="O117" s="220"/>
      <c r="P117" s="220"/>
      <c r="Q117" s="220"/>
      <c r="R117" s="220"/>
      <c r="S117" s="220"/>
      <c r="T117" s="260"/>
      <c r="U117" s="260"/>
      <c r="V117" s="524"/>
      <c r="W117" s="524"/>
      <c r="X117" s="268"/>
      <c r="Y117" s="233"/>
      <c r="Z117" s="233"/>
      <c r="AA117" s="233"/>
      <c r="AB117" s="233"/>
      <c r="AC117" s="233"/>
    </row>
    <row r="118" spans="1:29" ht="12.75" customHeight="1">
      <c r="A118" s="233"/>
      <c r="B118" s="220">
        <v>74</v>
      </c>
      <c r="C118" s="211" t="s">
        <v>537</v>
      </c>
      <c r="D118" s="270" t="s">
        <v>980</v>
      </c>
      <c r="E118" s="271">
        <v>2016</v>
      </c>
      <c r="F118" s="272"/>
      <c r="G118" s="251">
        <f t="shared" si="0"/>
        <v>0.36</v>
      </c>
      <c r="H118" s="273"/>
      <c r="I118" s="212"/>
      <c r="J118" s="212"/>
      <c r="K118" s="212"/>
      <c r="L118" s="212">
        <v>3</v>
      </c>
      <c r="M118" s="212">
        <v>0.36</v>
      </c>
      <c r="N118" s="220"/>
      <c r="O118" s="220"/>
      <c r="P118" s="220"/>
      <c r="Q118" s="220"/>
      <c r="R118" s="220"/>
      <c r="S118" s="220"/>
      <c r="T118" s="260"/>
      <c r="U118" s="260"/>
      <c r="V118" s="524"/>
      <c r="W118" s="524"/>
      <c r="X118" s="268"/>
      <c r="Y118" s="233"/>
      <c r="Z118" s="233"/>
      <c r="AA118" s="233"/>
      <c r="AB118" s="233"/>
      <c r="AC118" s="233"/>
    </row>
    <row r="119" spans="1:29" ht="12.75" customHeight="1">
      <c r="A119" s="233"/>
      <c r="B119" s="220">
        <v>75</v>
      </c>
      <c r="C119" s="211" t="s">
        <v>537</v>
      </c>
      <c r="D119" s="270" t="s">
        <v>830</v>
      </c>
      <c r="E119" s="271">
        <v>2016</v>
      </c>
      <c r="F119" s="272"/>
      <c r="G119" s="251">
        <f t="shared" si="0"/>
        <v>0.6</v>
      </c>
      <c r="H119" s="273"/>
      <c r="I119" s="212"/>
      <c r="J119" s="212">
        <v>22</v>
      </c>
      <c r="K119" s="212">
        <v>0.6</v>
      </c>
      <c r="L119" s="212"/>
      <c r="M119" s="212"/>
      <c r="N119" s="220"/>
      <c r="O119" s="220"/>
      <c r="P119" s="220"/>
      <c r="Q119" s="220"/>
      <c r="R119" s="220"/>
      <c r="S119" s="220"/>
      <c r="T119" s="260"/>
      <c r="U119" s="260"/>
      <c r="V119" s="524"/>
      <c r="W119" s="524"/>
      <c r="X119" s="268"/>
      <c r="Y119" s="233"/>
      <c r="Z119" s="233"/>
      <c r="AA119" s="233"/>
      <c r="AB119" s="233"/>
      <c r="AC119" s="233"/>
    </row>
    <row r="120" spans="1:29" ht="12.75" customHeight="1">
      <c r="A120" s="233"/>
      <c r="B120" s="220">
        <v>76</v>
      </c>
      <c r="C120" s="211" t="s">
        <v>537</v>
      </c>
      <c r="D120" s="270" t="s">
        <v>981</v>
      </c>
      <c r="E120" s="271">
        <v>2017</v>
      </c>
      <c r="F120" s="272"/>
      <c r="G120" s="251">
        <f t="shared" si="0"/>
        <v>0.8</v>
      </c>
      <c r="H120" s="273">
        <v>4</v>
      </c>
      <c r="I120" s="212">
        <v>0.8</v>
      </c>
      <c r="J120" s="212">
        <v>28</v>
      </c>
      <c r="K120" s="212"/>
      <c r="L120" s="212"/>
      <c r="M120" s="212"/>
      <c r="N120" s="220"/>
      <c r="O120" s="220"/>
      <c r="P120" s="220"/>
      <c r="Q120" s="220"/>
      <c r="R120" s="220"/>
      <c r="S120" s="220"/>
      <c r="T120" s="260"/>
      <c r="U120" s="260"/>
      <c r="V120" s="524"/>
      <c r="W120" s="524"/>
      <c r="X120" s="268"/>
      <c r="Y120" s="233"/>
      <c r="Z120" s="233"/>
      <c r="AA120" s="233"/>
      <c r="AB120" s="233"/>
      <c r="AC120" s="233"/>
    </row>
    <row r="121" spans="1:29" ht="12.75" customHeight="1">
      <c r="A121" s="233"/>
      <c r="B121" s="220">
        <v>77</v>
      </c>
      <c r="C121" s="211" t="s">
        <v>537</v>
      </c>
      <c r="D121" s="270" t="s">
        <v>830</v>
      </c>
      <c r="E121" s="271">
        <v>2017</v>
      </c>
      <c r="F121" s="272"/>
      <c r="G121" s="251">
        <f t="shared" si="0"/>
        <v>0.8</v>
      </c>
      <c r="H121" s="273">
        <v>4</v>
      </c>
      <c r="I121" s="212">
        <v>0.8</v>
      </c>
      <c r="J121" s="212">
        <v>26</v>
      </c>
      <c r="K121" s="212"/>
      <c r="L121" s="212"/>
      <c r="M121" s="212"/>
      <c r="N121" s="220"/>
      <c r="O121" s="220"/>
      <c r="P121" s="220"/>
      <c r="Q121" s="220"/>
      <c r="R121" s="220"/>
      <c r="S121" s="220"/>
      <c r="T121" s="260"/>
      <c r="U121" s="260"/>
      <c r="V121" s="524"/>
      <c r="W121" s="524"/>
      <c r="X121" s="268"/>
      <c r="Y121" s="233"/>
      <c r="Z121" s="233"/>
      <c r="AA121" s="233"/>
      <c r="AB121" s="233"/>
      <c r="AC121" s="233"/>
    </row>
    <row r="122" spans="1:29" ht="12.75" customHeight="1">
      <c r="A122" s="233"/>
      <c r="B122" s="220">
        <v>78</v>
      </c>
      <c r="C122" s="211" t="s">
        <v>537</v>
      </c>
      <c r="D122" s="270" t="s">
        <v>982</v>
      </c>
      <c r="E122" s="271">
        <v>2016</v>
      </c>
      <c r="F122" s="272">
        <v>2017</v>
      </c>
      <c r="G122" s="251">
        <f t="shared" si="0"/>
        <v>0.38</v>
      </c>
      <c r="H122" s="273"/>
      <c r="I122" s="212"/>
      <c r="J122" s="212"/>
      <c r="K122" s="212"/>
      <c r="L122" s="212">
        <v>7</v>
      </c>
      <c r="M122" s="212">
        <v>0.38</v>
      </c>
      <c r="N122" s="220"/>
      <c r="O122" s="220"/>
      <c r="P122" s="220"/>
      <c r="Q122" s="220"/>
      <c r="R122" s="220"/>
      <c r="S122" s="220"/>
      <c r="T122" s="260"/>
      <c r="U122" s="260"/>
      <c r="V122" s="524"/>
      <c r="W122" s="524"/>
      <c r="X122" s="268"/>
      <c r="Y122" s="233"/>
      <c r="Z122" s="233"/>
      <c r="AA122" s="233"/>
      <c r="AB122" s="233"/>
      <c r="AC122" s="233"/>
    </row>
    <row r="123" spans="1:29" ht="12.75" customHeight="1">
      <c r="A123" s="233"/>
      <c r="B123" s="220">
        <v>79</v>
      </c>
      <c r="C123" s="211" t="s">
        <v>537</v>
      </c>
      <c r="D123" s="270" t="s">
        <v>983</v>
      </c>
      <c r="E123" s="271">
        <v>2016</v>
      </c>
      <c r="F123" s="272"/>
      <c r="G123" s="251">
        <f t="shared" si="0"/>
        <v>0.38</v>
      </c>
      <c r="H123" s="273"/>
      <c r="I123" s="212"/>
      <c r="J123" s="212"/>
      <c r="K123" s="212"/>
      <c r="L123" s="212">
        <v>4</v>
      </c>
      <c r="M123" s="212">
        <v>0.38</v>
      </c>
      <c r="N123" s="220"/>
      <c r="O123" s="220"/>
      <c r="P123" s="220"/>
      <c r="Q123" s="220"/>
      <c r="R123" s="220"/>
      <c r="S123" s="220"/>
      <c r="T123" s="260"/>
      <c r="U123" s="260"/>
      <c r="V123" s="524"/>
      <c r="W123" s="524"/>
      <c r="X123" s="268"/>
      <c r="Y123" s="233"/>
      <c r="Z123" s="233"/>
      <c r="AA123" s="233"/>
      <c r="AB123" s="233"/>
      <c r="AC123" s="233"/>
    </row>
    <row r="124" spans="1:29" ht="12.75" customHeight="1">
      <c r="A124" s="233"/>
      <c r="B124" s="220">
        <v>80</v>
      </c>
      <c r="C124" s="211" t="s">
        <v>537</v>
      </c>
      <c r="D124" s="270" t="s">
        <v>944</v>
      </c>
      <c r="E124" s="271">
        <v>2016</v>
      </c>
      <c r="F124" s="272"/>
      <c r="G124" s="251">
        <f t="shared" si="0"/>
        <v>0.28000000000000003</v>
      </c>
      <c r="H124" s="273"/>
      <c r="I124" s="212"/>
      <c r="J124" s="212"/>
      <c r="K124" s="212"/>
      <c r="L124" s="212">
        <v>4</v>
      </c>
      <c r="M124" s="212">
        <v>0.28000000000000003</v>
      </c>
      <c r="N124" s="220"/>
      <c r="O124" s="220"/>
      <c r="P124" s="220"/>
      <c r="Q124" s="220"/>
      <c r="R124" s="220"/>
      <c r="S124" s="220"/>
      <c r="T124" s="260"/>
      <c r="U124" s="260"/>
      <c r="V124" s="524"/>
      <c r="W124" s="524"/>
      <c r="X124" s="268"/>
      <c r="Y124" s="233"/>
      <c r="Z124" s="233"/>
      <c r="AA124" s="233"/>
      <c r="AB124" s="233"/>
      <c r="AC124" s="233"/>
    </row>
    <row r="125" spans="1:29" ht="12.75" customHeight="1">
      <c r="A125" s="233"/>
      <c r="B125" s="220">
        <v>81</v>
      </c>
      <c r="C125" s="211" t="s">
        <v>537</v>
      </c>
      <c r="D125" s="270" t="s">
        <v>984</v>
      </c>
      <c r="E125" s="271">
        <v>2016</v>
      </c>
      <c r="F125" s="272"/>
      <c r="G125" s="251">
        <f t="shared" si="0"/>
        <v>0.4</v>
      </c>
      <c r="H125" s="273"/>
      <c r="I125" s="212"/>
      <c r="J125" s="212"/>
      <c r="K125" s="212"/>
      <c r="L125" s="212">
        <v>5</v>
      </c>
      <c r="M125" s="212">
        <v>0.4</v>
      </c>
      <c r="N125" s="220"/>
      <c r="O125" s="220"/>
      <c r="P125" s="220"/>
      <c r="Q125" s="220"/>
      <c r="R125" s="220"/>
      <c r="S125" s="220"/>
      <c r="T125" s="260"/>
      <c r="U125" s="260"/>
      <c r="V125" s="524"/>
      <c r="W125" s="524"/>
      <c r="X125" s="268"/>
      <c r="Y125" s="233"/>
      <c r="Z125" s="233"/>
      <c r="AA125" s="233"/>
      <c r="AB125" s="233"/>
      <c r="AC125" s="233"/>
    </row>
    <row r="126" spans="1:29" ht="12.75" customHeight="1">
      <c r="A126" s="233"/>
      <c r="B126" s="220">
        <v>82</v>
      </c>
      <c r="C126" s="211" t="s">
        <v>537</v>
      </c>
      <c r="D126" s="270" t="s">
        <v>985</v>
      </c>
      <c r="E126" s="271">
        <v>2015</v>
      </c>
      <c r="F126" s="272">
        <v>2016</v>
      </c>
      <c r="G126" s="251">
        <f t="shared" si="0"/>
        <v>0.4</v>
      </c>
      <c r="H126" s="273"/>
      <c r="I126" s="212"/>
      <c r="J126" s="212"/>
      <c r="K126" s="212"/>
      <c r="L126" s="212">
        <v>7</v>
      </c>
      <c r="M126" s="212">
        <v>0.4</v>
      </c>
      <c r="N126" s="220"/>
      <c r="O126" s="220"/>
      <c r="P126" s="220"/>
      <c r="Q126" s="220"/>
      <c r="R126" s="220"/>
      <c r="S126" s="220"/>
      <c r="T126" s="260"/>
      <c r="U126" s="260"/>
      <c r="V126" s="524"/>
      <c r="W126" s="524"/>
      <c r="X126" s="268"/>
      <c r="Y126" s="233"/>
      <c r="Z126" s="233"/>
      <c r="AA126" s="233"/>
      <c r="AB126" s="233"/>
      <c r="AC126" s="233"/>
    </row>
    <row r="127" spans="1:29" ht="12.75" customHeight="1">
      <c r="A127" s="233"/>
      <c r="B127" s="220">
        <v>83</v>
      </c>
      <c r="C127" s="211" t="s">
        <v>882</v>
      </c>
      <c r="D127" s="265" t="s">
        <v>986</v>
      </c>
      <c r="E127" s="266">
        <v>2016</v>
      </c>
      <c r="F127" s="266">
        <v>2017</v>
      </c>
      <c r="G127" s="251">
        <f t="shared" si="0"/>
        <v>0.34</v>
      </c>
      <c r="H127" s="220"/>
      <c r="I127" s="220"/>
      <c r="J127" s="216">
        <v>24</v>
      </c>
      <c r="K127" s="220">
        <v>0.34</v>
      </c>
      <c r="L127" s="220"/>
      <c r="M127" s="259"/>
      <c r="N127" s="220"/>
      <c r="O127" s="220"/>
      <c r="P127" s="220"/>
      <c r="Q127" s="220"/>
      <c r="R127" s="220"/>
      <c r="S127" s="220"/>
      <c r="T127" s="260"/>
      <c r="U127" s="260"/>
      <c r="V127" s="524"/>
      <c r="W127" s="524"/>
      <c r="X127" s="268"/>
      <c r="Y127" s="233"/>
      <c r="Z127" s="233"/>
      <c r="AA127" s="233"/>
      <c r="AB127" s="233"/>
      <c r="AC127" s="233"/>
    </row>
    <row r="128" spans="1:29" ht="12.75" customHeight="1">
      <c r="A128" s="233"/>
      <c r="B128" s="220">
        <v>84</v>
      </c>
      <c r="C128" s="211" t="s">
        <v>882</v>
      </c>
      <c r="D128" s="265" t="s">
        <v>944</v>
      </c>
      <c r="E128" s="266">
        <v>2016</v>
      </c>
      <c r="F128" s="266">
        <v>2017</v>
      </c>
      <c r="G128" s="251">
        <f t="shared" si="0"/>
        <v>0.3</v>
      </c>
      <c r="H128" s="220"/>
      <c r="I128" s="220"/>
      <c r="J128" s="216">
        <v>12</v>
      </c>
      <c r="K128" s="220">
        <v>0.3</v>
      </c>
      <c r="L128" s="220">
        <v>2</v>
      </c>
      <c r="M128" s="259"/>
      <c r="N128" s="220"/>
      <c r="O128" s="220"/>
      <c r="P128" s="220"/>
      <c r="Q128" s="220"/>
      <c r="R128" s="220"/>
      <c r="S128" s="220"/>
      <c r="T128" s="260"/>
      <c r="U128" s="260"/>
      <c r="V128" s="524"/>
      <c r="W128" s="524"/>
      <c r="X128" s="268"/>
      <c r="Y128" s="233"/>
      <c r="Z128" s="233"/>
      <c r="AA128" s="233"/>
      <c r="AB128" s="233"/>
      <c r="AC128" s="233"/>
    </row>
    <row r="129" spans="1:29" ht="12.75" customHeight="1">
      <c r="A129" s="233"/>
      <c r="B129" s="220">
        <v>85</v>
      </c>
      <c r="C129" s="211" t="s">
        <v>884</v>
      </c>
      <c r="D129" s="265" t="s">
        <v>987</v>
      </c>
      <c r="E129" s="266">
        <v>2011</v>
      </c>
      <c r="F129" s="266">
        <v>2017</v>
      </c>
      <c r="G129" s="251">
        <f t="shared" si="0"/>
        <v>0.87</v>
      </c>
      <c r="H129" s="220"/>
      <c r="I129" s="220"/>
      <c r="J129" s="216"/>
      <c r="K129" s="220"/>
      <c r="L129" s="220">
        <v>10</v>
      </c>
      <c r="M129" s="259">
        <v>0.87</v>
      </c>
      <c r="N129" s="220"/>
      <c r="O129" s="220"/>
      <c r="P129" s="220"/>
      <c r="Q129" s="220"/>
      <c r="R129" s="220"/>
      <c r="S129" s="220"/>
      <c r="T129" s="260"/>
      <c r="U129" s="260"/>
      <c r="V129" s="524"/>
      <c r="W129" s="524"/>
      <c r="X129" s="268"/>
      <c r="Y129" s="233"/>
      <c r="Z129" s="233"/>
      <c r="AA129" s="233"/>
      <c r="AB129" s="233"/>
      <c r="AC129" s="233"/>
    </row>
    <row r="130" spans="1:29" ht="12.75" customHeight="1">
      <c r="A130" s="233"/>
      <c r="B130" s="220">
        <v>86</v>
      </c>
      <c r="C130" s="211" t="s">
        <v>884</v>
      </c>
      <c r="D130" s="265" t="s">
        <v>988</v>
      </c>
      <c r="E130" s="266">
        <v>2014</v>
      </c>
      <c r="F130" s="266">
        <v>2016</v>
      </c>
      <c r="G130" s="251">
        <f t="shared" si="0"/>
        <v>0.87</v>
      </c>
      <c r="H130" s="220"/>
      <c r="I130" s="220"/>
      <c r="J130" s="216"/>
      <c r="K130" s="220"/>
      <c r="L130" s="220">
        <v>10</v>
      </c>
      <c r="M130" s="259">
        <v>0.87</v>
      </c>
      <c r="N130" s="220"/>
      <c r="O130" s="220"/>
      <c r="P130" s="220"/>
      <c r="Q130" s="220"/>
      <c r="R130" s="220"/>
      <c r="S130" s="220"/>
      <c r="T130" s="260"/>
      <c r="U130" s="260"/>
      <c r="V130" s="524"/>
      <c r="W130" s="524"/>
      <c r="X130" s="268"/>
      <c r="Y130" s="233"/>
      <c r="Z130" s="233"/>
      <c r="AA130" s="233"/>
      <c r="AB130" s="233"/>
      <c r="AC130" s="233"/>
    </row>
    <row r="131" spans="1:29" ht="12.75" customHeight="1">
      <c r="A131" s="233"/>
      <c r="B131" s="220">
        <v>87</v>
      </c>
      <c r="C131" s="211" t="s">
        <v>884</v>
      </c>
      <c r="D131" s="265" t="s">
        <v>989</v>
      </c>
      <c r="E131" s="266">
        <v>2014</v>
      </c>
      <c r="F131" s="266">
        <v>2017</v>
      </c>
      <c r="G131" s="251">
        <f t="shared" si="0"/>
        <v>0.77</v>
      </c>
      <c r="H131" s="220"/>
      <c r="I131" s="220"/>
      <c r="J131" s="216"/>
      <c r="K131" s="220"/>
      <c r="L131" s="220">
        <v>9</v>
      </c>
      <c r="M131" s="259">
        <v>0.77</v>
      </c>
      <c r="N131" s="220"/>
      <c r="O131" s="220"/>
      <c r="P131" s="220"/>
      <c r="Q131" s="220"/>
      <c r="R131" s="220"/>
      <c r="S131" s="220"/>
      <c r="T131" s="260"/>
      <c r="U131" s="260"/>
      <c r="V131" s="525"/>
      <c r="W131" s="525"/>
      <c r="X131" s="268"/>
      <c r="Y131" s="233"/>
      <c r="Z131" s="233"/>
      <c r="AA131" s="233"/>
      <c r="AB131" s="233"/>
      <c r="AC131" s="233"/>
    </row>
    <row r="132" spans="1:29" ht="12.75" customHeight="1">
      <c r="A132" s="233"/>
      <c r="B132" s="220">
        <v>88</v>
      </c>
      <c r="C132" s="211" t="s">
        <v>884</v>
      </c>
      <c r="D132" s="265" t="s">
        <v>990</v>
      </c>
      <c r="E132" s="266">
        <v>2016</v>
      </c>
      <c r="F132" s="266">
        <v>2017</v>
      </c>
      <c r="G132" s="251">
        <f t="shared" si="0"/>
        <v>0.22</v>
      </c>
      <c r="H132" s="220"/>
      <c r="I132" s="220"/>
      <c r="J132" s="216"/>
      <c r="K132" s="220"/>
      <c r="L132" s="220">
        <v>3</v>
      </c>
      <c r="M132" s="259">
        <v>0.22</v>
      </c>
      <c r="N132" s="220"/>
      <c r="O132" s="220"/>
      <c r="P132" s="220"/>
      <c r="Q132" s="220"/>
      <c r="R132" s="220"/>
      <c r="S132" s="220"/>
      <c r="T132" s="260"/>
      <c r="U132" s="260"/>
      <c r="V132" s="560"/>
      <c r="W132" s="560"/>
      <c r="X132" s="268"/>
      <c r="Y132" s="233"/>
      <c r="Z132" s="233"/>
      <c r="AA132" s="233"/>
      <c r="AB132" s="233"/>
      <c r="AC132" s="233"/>
    </row>
    <row r="133" spans="1:29" ht="12.75" customHeight="1">
      <c r="A133" s="233"/>
      <c r="B133" s="220">
        <v>89</v>
      </c>
      <c r="C133" s="211" t="s">
        <v>884</v>
      </c>
      <c r="D133" s="265" t="s">
        <v>991</v>
      </c>
      <c r="E133" s="266">
        <v>2017</v>
      </c>
      <c r="F133" s="266"/>
      <c r="G133" s="251">
        <f t="shared" si="0"/>
        <v>0.28000000000000003</v>
      </c>
      <c r="H133" s="220"/>
      <c r="I133" s="220"/>
      <c r="J133" s="216"/>
      <c r="K133" s="220"/>
      <c r="L133" s="220">
        <v>6</v>
      </c>
      <c r="M133" s="259">
        <v>0.28000000000000003</v>
      </c>
      <c r="N133" s="220"/>
      <c r="O133" s="220"/>
      <c r="P133" s="220"/>
      <c r="Q133" s="220"/>
      <c r="R133" s="220"/>
      <c r="S133" s="220"/>
      <c r="T133" s="260"/>
      <c r="U133" s="260"/>
      <c r="V133" s="524"/>
      <c r="W133" s="524"/>
      <c r="X133" s="268"/>
      <c r="Y133" s="233"/>
      <c r="Z133" s="233"/>
      <c r="AA133" s="233"/>
      <c r="AB133" s="233"/>
      <c r="AC133" s="233"/>
    </row>
    <row r="134" spans="1:29" ht="12.75" customHeight="1">
      <c r="A134" s="233"/>
      <c r="B134" s="220">
        <v>90</v>
      </c>
      <c r="C134" s="211" t="s">
        <v>884</v>
      </c>
      <c r="D134" s="265" t="s">
        <v>992</v>
      </c>
      <c r="E134" s="266">
        <v>2016</v>
      </c>
      <c r="F134" s="266">
        <v>2017</v>
      </c>
      <c r="G134" s="251">
        <f t="shared" si="0"/>
        <v>0.16</v>
      </c>
      <c r="H134" s="220"/>
      <c r="I134" s="220"/>
      <c r="J134" s="216"/>
      <c r="K134" s="220"/>
      <c r="L134" s="220">
        <v>3</v>
      </c>
      <c r="M134" s="259">
        <v>0.16</v>
      </c>
      <c r="N134" s="220"/>
      <c r="O134" s="220"/>
      <c r="P134" s="220"/>
      <c r="Q134" s="220"/>
      <c r="R134" s="220"/>
      <c r="S134" s="220"/>
      <c r="T134" s="260"/>
      <c r="U134" s="260"/>
      <c r="V134" s="525"/>
      <c r="W134" s="525"/>
      <c r="X134" s="268"/>
      <c r="Y134" s="233"/>
      <c r="Z134" s="233"/>
      <c r="AA134" s="233"/>
      <c r="AB134" s="233"/>
      <c r="AC134" s="233"/>
    </row>
    <row r="135" spans="1:29" ht="12.75" customHeight="1">
      <c r="A135" s="233"/>
      <c r="B135" s="220">
        <v>92</v>
      </c>
      <c r="C135" s="203" t="s">
        <v>886</v>
      </c>
      <c r="D135" s="265" t="s">
        <v>993</v>
      </c>
      <c r="E135" s="266">
        <v>2017</v>
      </c>
      <c r="F135" s="266"/>
      <c r="G135" s="251">
        <f t="shared" si="0"/>
        <v>0.2</v>
      </c>
      <c r="H135" s="220"/>
      <c r="I135" s="220"/>
      <c r="J135" s="216"/>
      <c r="K135" s="220"/>
      <c r="L135" s="220">
        <v>3</v>
      </c>
      <c r="M135" s="259">
        <v>0.2</v>
      </c>
      <c r="N135" s="220"/>
      <c r="O135" s="220"/>
      <c r="P135" s="220"/>
      <c r="Q135" s="220"/>
      <c r="R135" s="220"/>
      <c r="S135" s="220"/>
      <c r="T135" s="260"/>
      <c r="U135" s="260"/>
      <c r="V135" s="664"/>
      <c r="W135" s="664"/>
      <c r="X135" s="268"/>
      <c r="Y135" s="233"/>
      <c r="Z135" s="233"/>
      <c r="AA135" s="233"/>
      <c r="AB135" s="233"/>
      <c r="AC135" s="233"/>
    </row>
    <row r="136" spans="1:29" ht="12.75" customHeight="1">
      <c r="A136" s="233"/>
      <c r="B136" s="269">
        <v>93</v>
      </c>
      <c r="C136" s="203" t="s">
        <v>886</v>
      </c>
      <c r="D136" s="265" t="s">
        <v>994</v>
      </c>
      <c r="E136" s="266">
        <v>2016</v>
      </c>
      <c r="F136" s="266">
        <v>2017</v>
      </c>
      <c r="G136" s="251">
        <f t="shared" si="0"/>
        <v>2.3199999999999998</v>
      </c>
      <c r="H136" s="220"/>
      <c r="I136" s="220"/>
      <c r="J136" s="216">
        <v>74</v>
      </c>
      <c r="K136" s="220">
        <v>2.3199999999999998</v>
      </c>
      <c r="L136" s="220"/>
      <c r="M136" s="259"/>
      <c r="N136" s="220"/>
      <c r="O136" s="220"/>
      <c r="P136" s="220"/>
      <c r="Q136" s="220"/>
      <c r="R136" s="220"/>
      <c r="S136" s="220"/>
      <c r="T136" s="260"/>
      <c r="U136" s="260"/>
      <c r="V136" s="524"/>
      <c r="W136" s="524"/>
      <c r="X136" s="268"/>
      <c r="Y136" s="233"/>
      <c r="Z136" s="233"/>
      <c r="AA136" s="233"/>
      <c r="AB136" s="233"/>
      <c r="AC136" s="233"/>
    </row>
    <row r="137" spans="1:29" ht="12.75" customHeight="1">
      <c r="A137" s="233"/>
      <c r="B137" s="220">
        <v>94</v>
      </c>
      <c r="C137" s="203" t="s">
        <v>886</v>
      </c>
      <c r="D137" s="265" t="s">
        <v>995</v>
      </c>
      <c r="E137" s="266">
        <v>2017</v>
      </c>
      <c r="F137" s="266"/>
      <c r="G137" s="251">
        <f t="shared" si="0"/>
        <v>0.8</v>
      </c>
      <c r="H137" s="220"/>
      <c r="I137" s="220"/>
      <c r="J137" s="216"/>
      <c r="K137" s="220"/>
      <c r="L137" s="220">
        <v>10</v>
      </c>
      <c r="M137" s="259">
        <v>0.8</v>
      </c>
      <c r="N137" s="220"/>
      <c r="O137" s="220"/>
      <c r="P137" s="220"/>
      <c r="Q137" s="220"/>
      <c r="R137" s="220"/>
      <c r="S137" s="220"/>
      <c r="T137" s="260"/>
      <c r="U137" s="260"/>
      <c r="V137" s="524"/>
      <c r="W137" s="524"/>
      <c r="X137" s="268"/>
      <c r="Y137" s="233"/>
      <c r="Z137" s="233"/>
      <c r="AA137" s="233"/>
      <c r="AB137" s="233"/>
      <c r="AC137" s="233"/>
    </row>
    <row r="138" spans="1:29" ht="12.75" customHeight="1">
      <c r="A138" s="233"/>
      <c r="B138" s="220">
        <v>95</v>
      </c>
      <c r="C138" s="203" t="s">
        <v>886</v>
      </c>
      <c r="D138" s="265" t="s">
        <v>996</v>
      </c>
      <c r="E138" s="266">
        <v>2017</v>
      </c>
      <c r="F138" s="266"/>
      <c r="G138" s="251">
        <f t="shared" si="0"/>
        <v>0.6</v>
      </c>
      <c r="H138" s="220"/>
      <c r="I138" s="220"/>
      <c r="J138" s="216"/>
      <c r="K138" s="220"/>
      <c r="L138" s="220">
        <v>6</v>
      </c>
      <c r="M138" s="259">
        <v>0.6</v>
      </c>
      <c r="N138" s="220"/>
      <c r="O138" s="220"/>
      <c r="P138" s="220"/>
      <c r="Q138" s="220"/>
      <c r="R138" s="220"/>
      <c r="S138" s="220"/>
      <c r="T138" s="260"/>
      <c r="U138" s="260"/>
      <c r="V138" s="524"/>
      <c r="W138" s="524"/>
      <c r="X138" s="268"/>
      <c r="Y138" s="233"/>
      <c r="Z138" s="233"/>
      <c r="AA138" s="233"/>
      <c r="AB138" s="233"/>
      <c r="AC138" s="233"/>
    </row>
    <row r="139" spans="1:29" ht="12.75" customHeight="1">
      <c r="A139" s="233"/>
      <c r="B139" s="220">
        <v>96</v>
      </c>
      <c r="C139" s="203" t="s">
        <v>886</v>
      </c>
      <c r="D139" s="265" t="s">
        <v>994</v>
      </c>
      <c r="E139" s="266">
        <v>2017</v>
      </c>
      <c r="F139" s="266"/>
      <c r="G139" s="251">
        <f t="shared" si="0"/>
        <v>0.1</v>
      </c>
      <c r="H139" s="220"/>
      <c r="I139" s="220"/>
      <c r="J139" s="216"/>
      <c r="K139" s="220"/>
      <c r="L139" s="220"/>
      <c r="M139" s="259"/>
      <c r="N139" s="220"/>
      <c r="O139" s="220">
        <v>0.1</v>
      </c>
      <c r="P139" s="220"/>
      <c r="Q139" s="220"/>
      <c r="R139" s="220"/>
      <c r="S139" s="220"/>
      <c r="T139" s="260"/>
      <c r="U139" s="260"/>
      <c r="V139" s="525"/>
      <c r="W139" s="525"/>
      <c r="X139" s="268"/>
      <c r="Y139" s="233"/>
      <c r="Z139" s="233"/>
      <c r="AA139" s="233"/>
      <c r="AB139" s="233"/>
      <c r="AC139" s="233"/>
    </row>
    <row r="140" spans="1:29" ht="12.75" customHeight="1">
      <c r="A140" s="233"/>
      <c r="B140" s="220">
        <v>97</v>
      </c>
      <c r="C140" s="211" t="s">
        <v>548</v>
      </c>
      <c r="D140" s="265" t="s">
        <v>830</v>
      </c>
      <c r="E140" s="266">
        <v>2015</v>
      </c>
      <c r="F140" s="266">
        <v>2017</v>
      </c>
      <c r="G140" s="251">
        <f t="shared" si="0"/>
        <v>6.5</v>
      </c>
      <c r="H140" s="220">
        <v>26</v>
      </c>
      <c r="I140" s="220">
        <v>6.5</v>
      </c>
      <c r="J140" s="216"/>
      <c r="K140" s="220"/>
      <c r="L140" s="220"/>
      <c r="M140" s="259"/>
      <c r="N140" s="220"/>
      <c r="O140" s="220"/>
      <c r="P140" s="220"/>
      <c r="Q140" s="220"/>
      <c r="R140" s="220"/>
      <c r="S140" s="220"/>
      <c r="T140" s="260"/>
      <c r="U140" s="260"/>
      <c r="V140" s="560"/>
      <c r="W140" s="560"/>
      <c r="X140" s="268"/>
      <c r="Y140" s="233"/>
      <c r="Z140" s="233"/>
      <c r="AA140" s="233"/>
      <c r="AB140" s="233"/>
      <c r="AC140" s="233"/>
    </row>
    <row r="141" spans="1:29" ht="12.75" customHeight="1">
      <c r="A141" s="233"/>
      <c r="B141" s="220">
        <v>98</v>
      </c>
      <c r="C141" s="211" t="s">
        <v>548</v>
      </c>
      <c r="D141" s="265" t="s">
        <v>944</v>
      </c>
      <c r="E141" s="266">
        <v>2012</v>
      </c>
      <c r="F141" s="266">
        <v>2015</v>
      </c>
      <c r="G141" s="251">
        <f t="shared" si="0"/>
        <v>0.48</v>
      </c>
      <c r="H141" s="220"/>
      <c r="I141" s="220"/>
      <c r="J141" s="216">
        <v>39</v>
      </c>
      <c r="K141" s="220">
        <v>0.48</v>
      </c>
      <c r="L141" s="220"/>
      <c r="M141" s="259"/>
      <c r="N141" s="220"/>
      <c r="O141" s="220"/>
      <c r="P141" s="220"/>
      <c r="Q141" s="220"/>
      <c r="R141" s="220"/>
      <c r="S141" s="220"/>
      <c r="T141" s="260"/>
      <c r="U141" s="260"/>
      <c r="V141" s="524"/>
      <c r="W141" s="524"/>
      <c r="X141" s="268"/>
      <c r="Y141" s="233"/>
      <c r="Z141" s="233"/>
      <c r="AA141" s="233"/>
      <c r="AB141" s="233"/>
      <c r="AC141" s="233"/>
    </row>
    <row r="142" spans="1:29" ht="12.75" customHeight="1">
      <c r="A142" s="233"/>
      <c r="B142" s="220">
        <v>99</v>
      </c>
      <c r="C142" s="211" t="s">
        <v>548</v>
      </c>
      <c r="D142" s="265" t="s">
        <v>997</v>
      </c>
      <c r="E142" s="266">
        <v>2017</v>
      </c>
      <c r="F142" s="266"/>
      <c r="G142" s="251">
        <f t="shared" si="0"/>
        <v>0.68</v>
      </c>
      <c r="H142" s="220"/>
      <c r="I142" s="220"/>
      <c r="J142" s="216">
        <v>18</v>
      </c>
      <c r="K142" s="220">
        <v>0.68</v>
      </c>
      <c r="L142" s="220"/>
      <c r="M142" s="259"/>
      <c r="N142" s="220"/>
      <c r="O142" s="220"/>
      <c r="P142" s="220"/>
      <c r="Q142" s="220"/>
      <c r="R142" s="220"/>
      <c r="S142" s="220"/>
      <c r="T142" s="260"/>
      <c r="U142" s="260"/>
      <c r="V142" s="524"/>
      <c r="W142" s="524"/>
      <c r="X142" s="268"/>
      <c r="Y142" s="233"/>
      <c r="Z142" s="233"/>
      <c r="AA142" s="233"/>
      <c r="AB142" s="233"/>
      <c r="AC142" s="233"/>
    </row>
    <row r="143" spans="1:29" ht="12.75" customHeight="1">
      <c r="A143" s="233"/>
      <c r="B143" s="220">
        <v>100</v>
      </c>
      <c r="C143" s="203" t="s">
        <v>888</v>
      </c>
      <c r="D143" s="265" t="s">
        <v>998</v>
      </c>
      <c r="E143" s="266">
        <v>2015</v>
      </c>
      <c r="F143" s="266">
        <v>2017</v>
      </c>
      <c r="G143" s="251">
        <f t="shared" si="0"/>
        <v>0.9</v>
      </c>
      <c r="H143" s="220"/>
      <c r="I143" s="220"/>
      <c r="J143" s="216"/>
      <c r="K143" s="220"/>
      <c r="L143" s="220">
        <v>11</v>
      </c>
      <c r="M143" s="259">
        <v>0.9</v>
      </c>
      <c r="N143" s="220"/>
      <c r="O143" s="220"/>
      <c r="P143" s="220"/>
      <c r="Q143" s="220"/>
      <c r="R143" s="220"/>
      <c r="S143" s="220"/>
      <c r="T143" s="260"/>
      <c r="U143" s="260"/>
      <c r="V143" s="525"/>
      <c r="W143" s="525"/>
      <c r="X143" s="268"/>
      <c r="Y143" s="233"/>
      <c r="Z143" s="233"/>
      <c r="AA143" s="233"/>
      <c r="AB143" s="233"/>
      <c r="AC143" s="233"/>
    </row>
    <row r="144" spans="1:29" ht="12.75" customHeight="1">
      <c r="A144" s="233"/>
      <c r="B144" s="220">
        <v>101</v>
      </c>
      <c r="C144" s="203" t="s">
        <v>888</v>
      </c>
      <c r="D144" s="265" t="s">
        <v>999</v>
      </c>
      <c r="E144" s="266">
        <v>2011</v>
      </c>
      <c r="F144" s="266">
        <v>2017</v>
      </c>
      <c r="G144" s="251">
        <f t="shared" si="0"/>
        <v>0.64</v>
      </c>
      <c r="H144" s="220"/>
      <c r="I144" s="220"/>
      <c r="J144" s="216"/>
      <c r="K144" s="220"/>
      <c r="L144" s="220">
        <v>8</v>
      </c>
      <c r="M144" s="259">
        <v>0.64</v>
      </c>
      <c r="N144" s="220"/>
      <c r="O144" s="220"/>
      <c r="P144" s="220"/>
      <c r="Q144" s="220"/>
      <c r="R144" s="220"/>
      <c r="S144" s="220"/>
      <c r="T144" s="260"/>
      <c r="U144" s="274"/>
      <c r="V144" s="662"/>
      <c r="W144" s="662"/>
      <c r="X144" s="268"/>
      <c r="Y144" s="233"/>
      <c r="Z144" s="233"/>
      <c r="AA144" s="233"/>
      <c r="AB144" s="233"/>
      <c r="AC144" s="233"/>
    </row>
    <row r="145" spans="1:29" ht="12.75" customHeight="1">
      <c r="A145" s="233"/>
      <c r="B145" s="220">
        <v>102</v>
      </c>
      <c r="C145" s="203" t="s">
        <v>888</v>
      </c>
      <c r="D145" s="265" t="s">
        <v>1000</v>
      </c>
      <c r="E145" s="266">
        <v>2016</v>
      </c>
      <c r="F145" s="266"/>
      <c r="G145" s="251">
        <f t="shared" si="0"/>
        <v>0.83</v>
      </c>
      <c r="H145" s="220"/>
      <c r="I145" s="220"/>
      <c r="J145" s="216">
        <v>36</v>
      </c>
      <c r="K145" s="220">
        <v>0.83</v>
      </c>
      <c r="L145" s="220"/>
      <c r="M145" s="259"/>
      <c r="N145" s="220"/>
      <c r="O145" s="220"/>
      <c r="P145" s="220"/>
      <c r="Q145" s="220"/>
      <c r="R145" s="220"/>
      <c r="S145" s="220"/>
      <c r="T145" s="260"/>
      <c r="U145" s="260"/>
      <c r="V145" s="663"/>
      <c r="W145" s="663"/>
      <c r="X145" s="268"/>
      <c r="Y145" s="233"/>
      <c r="Z145" s="233"/>
      <c r="AA145" s="233"/>
      <c r="AB145" s="233"/>
      <c r="AC145" s="233"/>
    </row>
    <row r="146" spans="1:29" ht="12.75" customHeight="1">
      <c r="A146" s="233"/>
      <c r="B146" s="220">
        <v>103</v>
      </c>
      <c r="C146" s="203" t="s">
        <v>888</v>
      </c>
      <c r="D146" s="265" t="s">
        <v>1000</v>
      </c>
      <c r="E146" s="266">
        <v>2016</v>
      </c>
      <c r="F146" s="266">
        <v>2017</v>
      </c>
      <c r="G146" s="251">
        <f t="shared" si="0"/>
        <v>0.9</v>
      </c>
      <c r="H146" s="220"/>
      <c r="I146" s="220"/>
      <c r="J146" s="216"/>
      <c r="K146" s="220"/>
      <c r="L146" s="220">
        <v>11</v>
      </c>
      <c r="M146" s="259">
        <v>0.9</v>
      </c>
      <c r="N146" s="220"/>
      <c r="O146" s="220"/>
      <c r="P146" s="220"/>
      <c r="Q146" s="220"/>
      <c r="R146" s="220"/>
      <c r="S146" s="220"/>
      <c r="T146" s="260"/>
      <c r="U146" s="260"/>
      <c r="V146" s="663"/>
      <c r="W146" s="663"/>
      <c r="X146" s="268"/>
      <c r="Y146" s="233"/>
      <c r="Z146" s="233"/>
      <c r="AA146" s="233"/>
      <c r="AB146" s="233"/>
      <c r="AC146" s="233"/>
    </row>
    <row r="147" spans="1:29" ht="12.75" customHeight="1">
      <c r="A147" s="233"/>
      <c r="B147" s="220">
        <v>104</v>
      </c>
      <c r="C147" s="203" t="s">
        <v>888</v>
      </c>
      <c r="D147" s="265" t="s">
        <v>1000</v>
      </c>
      <c r="E147" s="266">
        <v>2017</v>
      </c>
      <c r="F147" s="266"/>
      <c r="G147" s="251">
        <f t="shared" si="0"/>
        <v>0.9</v>
      </c>
      <c r="H147" s="220"/>
      <c r="I147" s="220"/>
      <c r="J147" s="216"/>
      <c r="K147" s="220"/>
      <c r="L147" s="220">
        <v>11</v>
      </c>
      <c r="M147" s="259">
        <v>0.9</v>
      </c>
      <c r="N147" s="220"/>
      <c r="O147" s="220"/>
      <c r="P147" s="220"/>
      <c r="Q147" s="220"/>
      <c r="R147" s="220"/>
      <c r="S147" s="220"/>
      <c r="T147" s="260"/>
      <c r="U147" s="260"/>
      <c r="V147" s="663"/>
      <c r="W147" s="663"/>
      <c r="X147" s="268"/>
      <c r="Y147" s="233"/>
      <c r="Z147" s="233"/>
      <c r="AA147" s="233"/>
      <c r="AB147" s="233"/>
      <c r="AC147" s="233"/>
    </row>
    <row r="148" spans="1:29" ht="12.75" customHeight="1">
      <c r="A148" s="233"/>
      <c r="B148" s="220">
        <v>105</v>
      </c>
      <c r="C148" s="203" t="s">
        <v>888</v>
      </c>
      <c r="D148" s="265" t="s">
        <v>1001</v>
      </c>
      <c r="E148" s="266">
        <v>2017</v>
      </c>
      <c r="F148" s="266"/>
      <c r="G148" s="251">
        <f t="shared" si="0"/>
        <v>0.86</v>
      </c>
      <c r="H148" s="220"/>
      <c r="I148" s="220"/>
      <c r="J148" s="216"/>
      <c r="K148" s="220"/>
      <c r="L148" s="220">
        <v>10</v>
      </c>
      <c r="M148" s="259">
        <v>0.86</v>
      </c>
      <c r="N148" s="220"/>
      <c r="O148" s="220"/>
      <c r="P148" s="220"/>
      <c r="Q148" s="220"/>
      <c r="R148" s="220"/>
      <c r="S148" s="220"/>
      <c r="T148" s="260"/>
      <c r="U148" s="260"/>
      <c r="V148" s="663"/>
      <c r="W148" s="663"/>
      <c r="X148" s="268"/>
      <c r="Y148" s="233"/>
      <c r="Z148" s="233"/>
      <c r="AA148" s="233"/>
      <c r="AB148" s="233"/>
      <c r="AC148" s="233"/>
    </row>
    <row r="149" spans="1:29" ht="12.75" customHeight="1">
      <c r="A149" s="233"/>
      <c r="B149" s="220">
        <v>106</v>
      </c>
      <c r="C149" s="203" t="s">
        <v>888</v>
      </c>
      <c r="D149" s="265" t="s">
        <v>1000</v>
      </c>
      <c r="E149" s="266">
        <v>2015</v>
      </c>
      <c r="F149" s="266"/>
      <c r="G149" s="251">
        <f t="shared" si="0"/>
        <v>0.9</v>
      </c>
      <c r="H149" s="220"/>
      <c r="I149" s="220"/>
      <c r="J149" s="216"/>
      <c r="K149" s="220"/>
      <c r="L149" s="220">
        <v>11</v>
      </c>
      <c r="M149" s="259">
        <v>0.9</v>
      </c>
      <c r="N149" s="220"/>
      <c r="O149" s="220"/>
      <c r="P149" s="220"/>
      <c r="Q149" s="220"/>
      <c r="R149" s="220"/>
      <c r="S149" s="220"/>
      <c r="T149" s="260"/>
      <c r="U149" s="260"/>
      <c r="V149" s="663"/>
      <c r="W149" s="663"/>
      <c r="X149" s="268"/>
      <c r="Y149" s="233"/>
      <c r="Z149" s="233"/>
      <c r="AA149" s="233"/>
      <c r="AB149" s="233"/>
      <c r="AC149" s="233"/>
    </row>
    <row r="150" spans="1:29" ht="12.75" customHeight="1">
      <c r="A150" s="233"/>
      <c r="B150" s="220">
        <v>107</v>
      </c>
      <c r="C150" s="203" t="s">
        <v>888</v>
      </c>
      <c r="D150" s="265" t="s">
        <v>1002</v>
      </c>
      <c r="E150" s="266">
        <v>2011</v>
      </c>
      <c r="F150" s="266">
        <v>2015</v>
      </c>
      <c r="G150" s="251">
        <f t="shared" si="0"/>
        <v>0.9</v>
      </c>
      <c r="H150" s="220"/>
      <c r="I150" s="220"/>
      <c r="J150" s="216"/>
      <c r="K150" s="220"/>
      <c r="L150" s="220">
        <v>10</v>
      </c>
      <c r="M150" s="259">
        <v>0.9</v>
      </c>
      <c r="N150" s="220"/>
      <c r="O150" s="220"/>
      <c r="P150" s="220"/>
      <c r="Q150" s="220"/>
      <c r="R150" s="220"/>
      <c r="S150" s="220"/>
      <c r="T150" s="260"/>
      <c r="U150" s="260"/>
      <c r="V150" s="663"/>
      <c r="W150" s="663"/>
      <c r="X150" s="268"/>
      <c r="Y150" s="233"/>
      <c r="Z150" s="233"/>
      <c r="AA150" s="233"/>
      <c r="AB150" s="233"/>
      <c r="AC150" s="233"/>
    </row>
    <row r="151" spans="1:29" ht="12.75" customHeight="1">
      <c r="A151" s="233"/>
      <c r="B151" s="220">
        <v>108</v>
      </c>
      <c r="C151" s="203" t="s">
        <v>888</v>
      </c>
      <c r="D151" s="265" t="s">
        <v>1000</v>
      </c>
      <c r="E151" s="266">
        <v>2014</v>
      </c>
      <c r="F151" s="266"/>
      <c r="G151" s="251">
        <f t="shared" si="0"/>
        <v>1.2</v>
      </c>
      <c r="H151" s="220"/>
      <c r="I151" s="220"/>
      <c r="J151" s="216"/>
      <c r="K151" s="220"/>
      <c r="L151" s="220">
        <v>18</v>
      </c>
      <c r="M151" s="259">
        <v>1.2</v>
      </c>
      <c r="N151" s="220"/>
      <c r="O151" s="220"/>
      <c r="P151" s="220"/>
      <c r="Q151" s="220"/>
      <c r="R151" s="220"/>
      <c r="S151" s="220"/>
      <c r="T151" s="260"/>
      <c r="U151" s="260"/>
      <c r="V151" s="663"/>
      <c r="W151" s="663"/>
      <c r="X151" s="268"/>
      <c r="Y151" s="233"/>
      <c r="Z151" s="233"/>
      <c r="AA151" s="233"/>
      <c r="AB151" s="233"/>
      <c r="AC151" s="233"/>
    </row>
    <row r="152" spans="1:29" ht="12.75" customHeight="1">
      <c r="A152" s="233"/>
      <c r="B152" s="220">
        <v>109</v>
      </c>
      <c r="C152" s="203" t="s">
        <v>888</v>
      </c>
      <c r="D152" s="265" t="s">
        <v>1003</v>
      </c>
      <c r="E152" s="266">
        <v>2014</v>
      </c>
      <c r="F152" s="266">
        <v>2015</v>
      </c>
      <c r="G152" s="251">
        <f t="shared" si="0"/>
        <v>0.75</v>
      </c>
      <c r="H152" s="220">
        <v>3</v>
      </c>
      <c r="I152" s="220">
        <v>0.75</v>
      </c>
      <c r="J152" s="216"/>
      <c r="K152" s="220"/>
      <c r="L152" s="220"/>
      <c r="M152" s="259"/>
      <c r="N152" s="220"/>
      <c r="O152" s="220"/>
      <c r="P152" s="220"/>
      <c r="Q152" s="220"/>
      <c r="R152" s="220"/>
      <c r="S152" s="220"/>
      <c r="T152" s="260"/>
      <c r="U152" s="260"/>
      <c r="V152" s="663"/>
      <c r="W152" s="663"/>
      <c r="X152" s="268"/>
      <c r="Y152" s="233"/>
      <c r="Z152" s="233"/>
      <c r="AA152" s="233"/>
      <c r="AB152" s="233"/>
      <c r="AC152" s="233"/>
    </row>
    <row r="153" spans="1:29" ht="12.75" customHeight="1">
      <c r="A153" s="233"/>
      <c r="B153" s="220">
        <v>110</v>
      </c>
      <c r="C153" s="203" t="s">
        <v>888</v>
      </c>
      <c r="D153" s="265" t="s">
        <v>1004</v>
      </c>
      <c r="E153" s="266">
        <v>2014</v>
      </c>
      <c r="F153" s="266">
        <v>2016</v>
      </c>
      <c r="G153" s="251">
        <f t="shared" si="0"/>
        <v>1</v>
      </c>
      <c r="H153" s="220">
        <v>4</v>
      </c>
      <c r="I153" s="220">
        <v>1</v>
      </c>
      <c r="J153" s="216"/>
      <c r="K153" s="220"/>
      <c r="L153" s="220"/>
      <c r="M153" s="259"/>
      <c r="N153" s="220"/>
      <c r="O153" s="220"/>
      <c r="P153" s="220"/>
      <c r="Q153" s="220"/>
      <c r="R153" s="220"/>
      <c r="S153" s="220"/>
      <c r="T153" s="260"/>
      <c r="U153" s="260"/>
      <c r="V153" s="663"/>
      <c r="W153" s="663"/>
      <c r="X153" s="268"/>
      <c r="Y153" s="233"/>
      <c r="Z153" s="233"/>
      <c r="AA153" s="233"/>
      <c r="AB153" s="233"/>
      <c r="AC153" s="233"/>
    </row>
    <row r="154" spans="1:29" ht="12.75" customHeight="1">
      <c r="A154" s="233"/>
      <c r="B154" s="220">
        <v>111</v>
      </c>
      <c r="C154" s="203" t="s">
        <v>888</v>
      </c>
      <c r="D154" s="265" t="s">
        <v>1005</v>
      </c>
      <c r="E154" s="266">
        <v>2012</v>
      </c>
      <c r="F154" s="266">
        <v>2014</v>
      </c>
      <c r="G154" s="251">
        <f t="shared" si="0"/>
        <v>1</v>
      </c>
      <c r="H154" s="220">
        <v>4</v>
      </c>
      <c r="I154" s="220">
        <v>1</v>
      </c>
      <c r="J154" s="216"/>
      <c r="K154" s="220"/>
      <c r="L154" s="220"/>
      <c r="M154" s="259"/>
      <c r="N154" s="220"/>
      <c r="O154" s="220"/>
      <c r="P154" s="220"/>
      <c r="Q154" s="220"/>
      <c r="R154" s="220"/>
      <c r="S154" s="220"/>
      <c r="T154" s="260"/>
      <c r="U154" s="260"/>
      <c r="V154" s="663"/>
      <c r="W154" s="663"/>
      <c r="X154" s="268"/>
      <c r="Y154" s="233"/>
      <c r="Z154" s="233"/>
      <c r="AA154" s="233"/>
      <c r="AB154" s="233"/>
      <c r="AC154" s="233"/>
    </row>
    <row r="155" spans="1:29" ht="12.75" customHeight="1">
      <c r="A155" s="233"/>
      <c r="B155" s="220">
        <v>112</v>
      </c>
      <c r="C155" s="203" t="s">
        <v>888</v>
      </c>
      <c r="D155" s="265" t="s">
        <v>1006</v>
      </c>
      <c r="E155" s="266">
        <v>2016</v>
      </c>
      <c r="F155" s="266"/>
      <c r="G155" s="251">
        <f t="shared" si="0"/>
        <v>0.3</v>
      </c>
      <c r="H155" s="220"/>
      <c r="I155" s="220"/>
      <c r="J155" s="216">
        <v>15</v>
      </c>
      <c r="K155" s="220">
        <v>0.3</v>
      </c>
      <c r="L155" s="220"/>
      <c r="M155" s="259"/>
      <c r="N155" s="220"/>
      <c r="O155" s="220"/>
      <c r="P155" s="220"/>
      <c r="Q155" s="220"/>
      <c r="R155" s="220"/>
      <c r="S155" s="220"/>
      <c r="T155" s="260"/>
      <c r="U155" s="260"/>
      <c r="V155" s="663"/>
      <c r="W155" s="663"/>
      <c r="X155" s="268"/>
      <c r="Y155" s="233"/>
      <c r="Z155" s="233"/>
      <c r="AA155" s="233"/>
      <c r="AB155" s="233"/>
      <c r="AC155" s="233"/>
    </row>
    <row r="156" spans="1:29" ht="12.75" customHeight="1">
      <c r="A156" s="233"/>
      <c r="B156" s="220">
        <v>113</v>
      </c>
      <c r="C156" s="203" t="s">
        <v>888</v>
      </c>
      <c r="D156" s="265" t="s">
        <v>1006</v>
      </c>
      <c r="E156" s="266">
        <v>2016</v>
      </c>
      <c r="F156" s="266"/>
      <c r="G156" s="251">
        <f t="shared" si="0"/>
        <v>0.3</v>
      </c>
      <c r="H156" s="220"/>
      <c r="I156" s="220"/>
      <c r="J156" s="216">
        <v>17</v>
      </c>
      <c r="K156" s="220">
        <v>0.3</v>
      </c>
      <c r="L156" s="220"/>
      <c r="M156" s="259"/>
      <c r="N156" s="220"/>
      <c r="O156" s="220"/>
      <c r="P156" s="220"/>
      <c r="Q156" s="220"/>
      <c r="R156" s="220"/>
      <c r="S156" s="220"/>
      <c r="T156" s="260"/>
      <c r="U156" s="260"/>
      <c r="V156" s="663"/>
      <c r="W156" s="663"/>
      <c r="X156" s="268"/>
      <c r="Y156" s="233"/>
      <c r="Z156" s="233"/>
      <c r="AA156" s="233"/>
      <c r="AB156" s="233"/>
      <c r="AC156" s="233"/>
    </row>
    <row r="157" spans="1:29" ht="12.75" customHeight="1">
      <c r="A157" s="233"/>
      <c r="B157" s="220">
        <v>114</v>
      </c>
      <c r="C157" s="203" t="s">
        <v>888</v>
      </c>
      <c r="D157" s="265" t="s">
        <v>1007</v>
      </c>
      <c r="E157" s="266">
        <v>2017</v>
      </c>
      <c r="F157" s="266"/>
      <c r="G157" s="251">
        <f t="shared" si="0"/>
        <v>0.18</v>
      </c>
      <c r="H157" s="220"/>
      <c r="I157" s="220"/>
      <c r="J157" s="216"/>
      <c r="K157" s="220"/>
      <c r="L157" s="220">
        <v>2</v>
      </c>
      <c r="M157" s="259">
        <v>0.18</v>
      </c>
      <c r="N157" s="220"/>
      <c r="O157" s="220"/>
      <c r="P157" s="220"/>
      <c r="Q157" s="220"/>
      <c r="R157" s="220"/>
      <c r="S157" s="220"/>
      <c r="T157" s="260"/>
      <c r="U157" s="260"/>
      <c r="V157" s="663"/>
      <c r="W157" s="663"/>
      <c r="X157" s="268"/>
      <c r="Y157" s="233"/>
      <c r="Z157" s="233"/>
      <c r="AA157" s="233"/>
      <c r="AB157" s="233"/>
      <c r="AC157" s="233"/>
    </row>
    <row r="158" spans="1:29" ht="12.75" customHeight="1">
      <c r="A158" s="233"/>
      <c r="B158" s="220">
        <v>115</v>
      </c>
      <c r="C158" s="203" t="s">
        <v>888</v>
      </c>
      <c r="D158" s="265" t="s">
        <v>546</v>
      </c>
      <c r="E158" s="266">
        <v>2014</v>
      </c>
      <c r="F158" s="266"/>
      <c r="G158" s="251">
        <f t="shared" si="0"/>
        <v>1.1000000000000001</v>
      </c>
      <c r="H158" s="220"/>
      <c r="I158" s="220"/>
      <c r="J158" s="216"/>
      <c r="K158" s="220"/>
      <c r="L158" s="220">
        <v>17</v>
      </c>
      <c r="M158" s="259">
        <v>1.1000000000000001</v>
      </c>
      <c r="N158" s="220"/>
      <c r="O158" s="220"/>
      <c r="P158" s="220"/>
      <c r="Q158" s="220"/>
      <c r="R158" s="220"/>
      <c r="S158" s="220"/>
      <c r="T158" s="260"/>
      <c r="U158" s="260"/>
      <c r="V158" s="663"/>
      <c r="W158" s="663"/>
      <c r="X158" s="268"/>
      <c r="Y158" s="233"/>
      <c r="Z158" s="233"/>
      <c r="AA158" s="233"/>
      <c r="AB158" s="233"/>
      <c r="AC158" s="233"/>
    </row>
    <row r="159" spans="1:29" ht="12.75" customHeight="1">
      <c r="A159" s="233"/>
      <c r="B159" s="220">
        <v>116</v>
      </c>
      <c r="C159" s="203" t="s">
        <v>890</v>
      </c>
      <c r="D159" s="265" t="s">
        <v>1008</v>
      </c>
      <c r="E159" s="266">
        <v>2015</v>
      </c>
      <c r="F159" s="266">
        <v>2016</v>
      </c>
      <c r="G159" s="251">
        <f t="shared" si="0"/>
        <v>0.9</v>
      </c>
      <c r="H159" s="220"/>
      <c r="I159" s="220"/>
      <c r="J159" s="216"/>
      <c r="K159" s="220"/>
      <c r="L159" s="220">
        <v>13</v>
      </c>
      <c r="M159" s="259">
        <v>0.9</v>
      </c>
      <c r="N159" s="220"/>
      <c r="O159" s="220"/>
      <c r="P159" s="220"/>
      <c r="Q159" s="220"/>
      <c r="R159" s="220"/>
      <c r="S159" s="220"/>
      <c r="T159" s="260"/>
      <c r="U159" s="260"/>
      <c r="V159" s="663"/>
      <c r="W159" s="663"/>
      <c r="X159" s="268"/>
      <c r="Y159" s="233"/>
      <c r="Z159" s="233"/>
      <c r="AA159" s="233"/>
      <c r="AB159" s="233"/>
      <c r="AC159" s="233"/>
    </row>
    <row r="160" spans="1:29" ht="12.75" customHeight="1">
      <c r="A160" s="233"/>
      <c r="B160" s="220">
        <v>117</v>
      </c>
      <c r="C160" s="203" t="s">
        <v>890</v>
      </c>
      <c r="D160" s="265" t="s">
        <v>1009</v>
      </c>
      <c r="E160" s="266">
        <v>2017</v>
      </c>
      <c r="F160" s="266"/>
      <c r="G160" s="251">
        <f t="shared" si="0"/>
        <v>0.35</v>
      </c>
      <c r="H160" s="220"/>
      <c r="I160" s="220"/>
      <c r="J160" s="216"/>
      <c r="K160" s="220"/>
      <c r="L160" s="220"/>
      <c r="M160" s="259"/>
      <c r="N160" s="220"/>
      <c r="O160" s="220">
        <v>0.35</v>
      </c>
      <c r="P160" s="220"/>
      <c r="Q160" s="220"/>
      <c r="R160" s="220"/>
      <c r="S160" s="220"/>
      <c r="T160" s="260"/>
      <c r="U160" s="260"/>
      <c r="V160" s="663"/>
      <c r="W160" s="663"/>
      <c r="X160" s="268"/>
      <c r="Y160" s="233"/>
      <c r="Z160" s="233"/>
      <c r="AA160" s="233"/>
      <c r="AB160" s="233"/>
      <c r="AC160" s="233"/>
    </row>
    <row r="161" spans="1:29" ht="12.75" customHeight="1">
      <c r="A161" s="233"/>
      <c r="B161" s="220">
        <v>118</v>
      </c>
      <c r="C161" s="203" t="s">
        <v>890</v>
      </c>
      <c r="D161" s="265" t="s">
        <v>1010</v>
      </c>
      <c r="E161" s="266">
        <v>2017</v>
      </c>
      <c r="F161" s="266"/>
      <c r="G161" s="251">
        <f t="shared" si="0"/>
        <v>0.08</v>
      </c>
      <c r="H161" s="220"/>
      <c r="I161" s="220"/>
      <c r="J161" s="216"/>
      <c r="K161" s="220"/>
      <c r="L161" s="220">
        <v>1</v>
      </c>
      <c r="M161" s="259">
        <v>0.08</v>
      </c>
      <c r="N161" s="220"/>
      <c r="O161" s="220"/>
      <c r="P161" s="220"/>
      <c r="Q161" s="220"/>
      <c r="R161" s="220"/>
      <c r="S161" s="220"/>
      <c r="T161" s="260"/>
      <c r="U161" s="260"/>
      <c r="V161" s="663"/>
      <c r="W161" s="663"/>
      <c r="X161" s="268"/>
      <c r="Y161" s="233"/>
      <c r="Z161" s="233"/>
      <c r="AA161" s="233"/>
      <c r="AB161" s="233"/>
      <c r="AC161" s="233"/>
    </row>
    <row r="162" spans="1:29" ht="12.75" customHeight="1">
      <c r="A162" s="233"/>
      <c r="B162" s="220">
        <v>119</v>
      </c>
      <c r="C162" s="203" t="s">
        <v>890</v>
      </c>
      <c r="D162" s="265" t="s">
        <v>1011</v>
      </c>
      <c r="E162" s="266">
        <v>2017</v>
      </c>
      <c r="F162" s="266"/>
      <c r="G162" s="251">
        <f t="shared" si="0"/>
        <v>0.2</v>
      </c>
      <c r="H162" s="220"/>
      <c r="I162" s="220"/>
      <c r="J162" s="216"/>
      <c r="K162" s="220"/>
      <c r="L162" s="220">
        <v>2</v>
      </c>
      <c r="M162" s="259">
        <v>0.2</v>
      </c>
      <c r="N162" s="220"/>
      <c r="O162" s="220"/>
      <c r="P162" s="220"/>
      <c r="Q162" s="220"/>
      <c r="R162" s="220"/>
      <c r="S162" s="220"/>
      <c r="T162" s="260"/>
      <c r="U162" s="260"/>
      <c r="V162" s="663"/>
      <c r="W162" s="663"/>
      <c r="X162" s="268"/>
      <c r="Y162" s="233"/>
      <c r="Z162" s="233"/>
      <c r="AA162" s="233"/>
      <c r="AB162" s="233"/>
      <c r="AC162" s="233"/>
    </row>
    <row r="163" spans="1:29" ht="12.75" customHeight="1">
      <c r="A163" s="233"/>
      <c r="B163" s="220">
        <v>120</v>
      </c>
      <c r="C163" s="203" t="s">
        <v>892</v>
      </c>
      <c r="D163" s="265" t="s">
        <v>1012</v>
      </c>
      <c r="E163" s="266">
        <v>2015</v>
      </c>
      <c r="F163" s="266">
        <v>2017</v>
      </c>
      <c r="G163" s="251">
        <f t="shared" si="0"/>
        <v>0.1</v>
      </c>
      <c r="H163" s="220"/>
      <c r="I163" s="220"/>
      <c r="J163" s="216"/>
      <c r="K163" s="220"/>
      <c r="L163" s="220"/>
      <c r="M163" s="259"/>
      <c r="N163" s="220">
        <v>8</v>
      </c>
      <c r="O163" s="220">
        <v>0.1</v>
      </c>
      <c r="P163" s="220"/>
      <c r="Q163" s="220"/>
      <c r="R163" s="220"/>
      <c r="S163" s="220"/>
      <c r="T163" s="260"/>
      <c r="U163" s="260"/>
      <c r="V163" s="663"/>
      <c r="W163" s="663"/>
      <c r="X163" s="268"/>
      <c r="Y163" s="233"/>
      <c r="Z163" s="233"/>
      <c r="AA163" s="233"/>
      <c r="AB163" s="233"/>
      <c r="AC163" s="233"/>
    </row>
    <row r="164" spans="1:29" ht="12.75" customHeight="1">
      <c r="A164" s="233"/>
      <c r="B164" s="220">
        <v>121</v>
      </c>
      <c r="C164" s="203" t="s">
        <v>892</v>
      </c>
      <c r="D164" s="265" t="s">
        <v>942</v>
      </c>
      <c r="E164" s="266">
        <v>2015</v>
      </c>
      <c r="F164" s="266">
        <v>2017</v>
      </c>
      <c r="G164" s="251">
        <f t="shared" si="0"/>
        <v>0.26</v>
      </c>
      <c r="H164" s="220"/>
      <c r="I164" s="220"/>
      <c r="J164" s="216"/>
      <c r="K164" s="220"/>
      <c r="L164" s="220">
        <v>1</v>
      </c>
      <c r="M164" s="259">
        <v>0.26</v>
      </c>
      <c r="N164" s="220"/>
      <c r="O164" s="220"/>
      <c r="P164" s="220"/>
      <c r="Q164" s="220"/>
      <c r="R164" s="220"/>
      <c r="S164" s="220"/>
      <c r="T164" s="260"/>
      <c r="U164" s="260"/>
      <c r="V164" s="663"/>
      <c r="W164" s="663"/>
      <c r="X164" s="268"/>
      <c r="Y164" s="233"/>
      <c r="Z164" s="233"/>
      <c r="AA164" s="233"/>
      <c r="AB164" s="233"/>
      <c r="AC164" s="233"/>
    </row>
    <row r="165" spans="1:29" ht="12.75" customHeight="1">
      <c r="A165" s="233"/>
      <c r="B165" s="220">
        <v>122</v>
      </c>
      <c r="C165" s="203" t="s">
        <v>550</v>
      </c>
      <c r="D165" s="265" t="s">
        <v>1013</v>
      </c>
      <c r="E165" s="266">
        <v>2016</v>
      </c>
      <c r="F165" s="266">
        <v>2017</v>
      </c>
      <c r="G165" s="251">
        <f t="shared" si="0"/>
        <v>0.16</v>
      </c>
      <c r="H165" s="220"/>
      <c r="I165" s="220"/>
      <c r="J165" s="216">
        <v>10</v>
      </c>
      <c r="K165" s="220">
        <v>0.16</v>
      </c>
      <c r="L165" s="220"/>
      <c r="M165" s="259"/>
      <c r="N165" s="220"/>
      <c r="O165" s="220"/>
      <c r="P165" s="220"/>
      <c r="Q165" s="220"/>
      <c r="R165" s="220"/>
      <c r="S165" s="220"/>
      <c r="T165" s="260"/>
      <c r="U165" s="260"/>
      <c r="V165" s="663"/>
      <c r="W165" s="663"/>
      <c r="X165" s="268"/>
      <c r="Y165" s="233"/>
      <c r="Z165" s="233"/>
      <c r="AA165" s="233"/>
      <c r="AB165" s="233"/>
      <c r="AC165" s="233"/>
    </row>
    <row r="166" spans="1:29" ht="12.75" customHeight="1">
      <c r="A166" s="233"/>
      <c r="B166" s="220">
        <v>123</v>
      </c>
      <c r="C166" s="203" t="s">
        <v>550</v>
      </c>
      <c r="D166" s="265" t="s">
        <v>1014</v>
      </c>
      <c r="E166" s="266">
        <v>2015</v>
      </c>
      <c r="F166" s="266">
        <v>2017</v>
      </c>
      <c r="G166" s="251">
        <f t="shared" si="0"/>
        <v>1.5</v>
      </c>
      <c r="H166" s="220"/>
      <c r="I166" s="220"/>
      <c r="J166" s="216">
        <v>50</v>
      </c>
      <c r="K166" s="220">
        <v>1.5</v>
      </c>
      <c r="L166" s="220"/>
      <c r="M166" s="259"/>
      <c r="N166" s="220"/>
      <c r="O166" s="220"/>
      <c r="P166" s="220"/>
      <c r="Q166" s="220"/>
      <c r="R166" s="220"/>
      <c r="S166" s="220"/>
      <c r="T166" s="260"/>
      <c r="U166" s="260"/>
      <c r="V166" s="663"/>
      <c r="W166" s="663"/>
      <c r="X166" s="268"/>
      <c r="Y166" s="233"/>
      <c r="Z166" s="233"/>
      <c r="AA166" s="233"/>
      <c r="AB166" s="233"/>
      <c r="AC166" s="233"/>
    </row>
    <row r="167" spans="1:29" ht="12.75" customHeight="1">
      <c r="A167" s="233"/>
      <c r="B167" s="220">
        <v>124</v>
      </c>
      <c r="C167" s="203" t="s">
        <v>550</v>
      </c>
      <c r="D167" s="265" t="s">
        <v>1015</v>
      </c>
      <c r="E167" s="266">
        <v>2015</v>
      </c>
      <c r="F167" s="266">
        <v>2017</v>
      </c>
      <c r="G167" s="251">
        <f t="shared" si="0"/>
        <v>1.5</v>
      </c>
      <c r="H167" s="220"/>
      <c r="I167" s="220"/>
      <c r="J167" s="216">
        <v>50</v>
      </c>
      <c r="K167" s="220">
        <v>1.5</v>
      </c>
      <c r="L167" s="220"/>
      <c r="M167" s="259"/>
      <c r="N167" s="220"/>
      <c r="O167" s="220"/>
      <c r="P167" s="220"/>
      <c r="Q167" s="220"/>
      <c r="R167" s="220"/>
      <c r="S167" s="220"/>
      <c r="T167" s="260"/>
      <c r="U167" s="260"/>
      <c r="V167" s="663"/>
      <c r="W167" s="663"/>
      <c r="X167" s="268"/>
      <c r="Y167" s="233"/>
      <c r="Z167" s="233"/>
      <c r="AA167" s="233"/>
      <c r="AB167" s="233"/>
      <c r="AC167" s="233"/>
    </row>
    <row r="168" spans="1:29" ht="12.75" customHeight="1">
      <c r="A168" s="233"/>
      <c r="B168" s="220">
        <v>125</v>
      </c>
      <c r="C168" s="203" t="s">
        <v>893</v>
      </c>
      <c r="D168" s="265" t="s">
        <v>1016</v>
      </c>
      <c r="E168" s="266">
        <v>2013</v>
      </c>
      <c r="F168" s="266">
        <v>2015</v>
      </c>
      <c r="G168" s="251">
        <f t="shared" si="0"/>
        <v>0.18</v>
      </c>
      <c r="H168" s="220"/>
      <c r="I168" s="220"/>
      <c r="J168" s="216">
        <v>12</v>
      </c>
      <c r="K168" s="220">
        <v>0.18</v>
      </c>
      <c r="L168" s="220"/>
      <c r="M168" s="259"/>
      <c r="N168" s="220"/>
      <c r="O168" s="220"/>
      <c r="P168" s="220"/>
      <c r="Q168" s="220"/>
      <c r="R168" s="220"/>
      <c r="S168" s="220"/>
      <c r="T168" s="260"/>
      <c r="U168" s="260"/>
      <c r="V168" s="663"/>
      <c r="W168" s="663"/>
      <c r="X168" s="268"/>
      <c r="Y168" s="233"/>
      <c r="Z168" s="233"/>
      <c r="AA168" s="233"/>
      <c r="AB168" s="233"/>
      <c r="AC168" s="233"/>
    </row>
    <row r="169" spans="1:29" ht="12.75" customHeight="1">
      <c r="A169" s="233"/>
      <c r="B169" s="220">
        <v>126</v>
      </c>
      <c r="C169" s="203" t="s">
        <v>893</v>
      </c>
      <c r="D169" s="265" t="s">
        <v>1016</v>
      </c>
      <c r="E169" s="266">
        <v>2013</v>
      </c>
      <c r="F169" s="266">
        <v>2015</v>
      </c>
      <c r="G169" s="251">
        <f t="shared" si="0"/>
        <v>0.3</v>
      </c>
      <c r="H169" s="220"/>
      <c r="I169" s="220"/>
      <c r="J169" s="216">
        <v>12</v>
      </c>
      <c r="K169" s="220">
        <v>0.3</v>
      </c>
      <c r="L169" s="220"/>
      <c r="M169" s="259"/>
      <c r="N169" s="220"/>
      <c r="O169" s="220"/>
      <c r="P169" s="220"/>
      <c r="Q169" s="220"/>
      <c r="R169" s="220"/>
      <c r="S169" s="220"/>
      <c r="T169" s="260"/>
      <c r="U169" s="260"/>
      <c r="V169" s="663"/>
      <c r="W169" s="663"/>
      <c r="X169" s="268"/>
      <c r="Y169" s="233"/>
      <c r="Z169" s="233"/>
      <c r="AA169" s="233"/>
      <c r="AB169" s="233"/>
      <c r="AC169" s="233"/>
    </row>
    <row r="170" spans="1:29" ht="12.75" customHeight="1">
      <c r="A170" s="233"/>
      <c r="B170" s="220">
        <v>127</v>
      </c>
      <c r="C170" s="203" t="s">
        <v>893</v>
      </c>
      <c r="D170" s="265" t="s">
        <v>1016</v>
      </c>
      <c r="E170" s="266">
        <v>2013</v>
      </c>
      <c r="F170" s="266">
        <v>2015</v>
      </c>
      <c r="G170" s="251">
        <f t="shared" si="0"/>
        <v>0.19</v>
      </c>
      <c r="H170" s="220"/>
      <c r="I170" s="220"/>
      <c r="J170" s="216">
        <v>11</v>
      </c>
      <c r="K170" s="220">
        <v>0.19</v>
      </c>
      <c r="L170" s="220"/>
      <c r="M170" s="259"/>
      <c r="N170" s="220"/>
      <c r="O170" s="220"/>
      <c r="P170" s="220"/>
      <c r="Q170" s="220"/>
      <c r="R170" s="220"/>
      <c r="S170" s="220"/>
      <c r="T170" s="260"/>
      <c r="U170" s="260"/>
      <c r="V170" s="663"/>
      <c r="W170" s="663"/>
      <c r="X170" s="268"/>
      <c r="Y170" s="233"/>
      <c r="Z170" s="233"/>
      <c r="AA170" s="233"/>
      <c r="AB170" s="233"/>
      <c r="AC170" s="233"/>
    </row>
    <row r="171" spans="1:29" ht="12.75" customHeight="1">
      <c r="A171" s="233"/>
      <c r="B171" s="220">
        <v>128</v>
      </c>
      <c r="C171" s="203" t="s">
        <v>893</v>
      </c>
      <c r="D171" s="265" t="s">
        <v>1017</v>
      </c>
      <c r="E171" s="266">
        <v>2013</v>
      </c>
      <c r="F171" s="266"/>
      <c r="G171" s="251">
        <f t="shared" si="0"/>
        <v>0.15</v>
      </c>
      <c r="H171" s="220"/>
      <c r="I171" s="220"/>
      <c r="J171" s="216">
        <v>6</v>
      </c>
      <c r="K171" s="220">
        <v>0.15</v>
      </c>
      <c r="L171" s="220"/>
      <c r="M171" s="259"/>
      <c r="N171" s="220"/>
      <c r="O171" s="220"/>
      <c r="P171" s="220"/>
      <c r="Q171" s="220"/>
      <c r="R171" s="220"/>
      <c r="S171" s="220"/>
      <c r="T171" s="260"/>
      <c r="U171" s="260"/>
      <c r="V171" s="663"/>
      <c r="W171" s="663"/>
      <c r="X171" s="268"/>
      <c r="Y171" s="233"/>
      <c r="Z171" s="233"/>
      <c r="AA171" s="233"/>
      <c r="AB171" s="233"/>
      <c r="AC171" s="233"/>
    </row>
    <row r="172" spans="1:29" ht="12.75" customHeight="1">
      <c r="A172" s="233"/>
      <c r="B172" s="220">
        <v>129</v>
      </c>
      <c r="C172" s="203" t="s">
        <v>893</v>
      </c>
      <c r="D172" s="265" t="s">
        <v>1018</v>
      </c>
      <c r="E172" s="266">
        <v>2012</v>
      </c>
      <c r="F172" s="266">
        <v>2013</v>
      </c>
      <c r="G172" s="251">
        <f t="shared" si="0"/>
        <v>0.18</v>
      </c>
      <c r="H172" s="220"/>
      <c r="I172" s="220"/>
      <c r="J172" s="216">
        <v>14</v>
      </c>
      <c r="K172" s="220">
        <v>0.18</v>
      </c>
      <c r="L172" s="220"/>
      <c r="M172" s="259"/>
      <c r="N172" s="220"/>
      <c r="O172" s="220"/>
      <c r="P172" s="220"/>
      <c r="Q172" s="220"/>
      <c r="R172" s="220"/>
      <c r="S172" s="220"/>
      <c r="T172" s="260"/>
      <c r="U172" s="260"/>
      <c r="V172" s="663"/>
      <c r="W172" s="663"/>
      <c r="X172" s="268"/>
      <c r="Y172" s="233"/>
      <c r="Z172" s="233"/>
      <c r="AA172" s="233"/>
      <c r="AB172" s="233"/>
      <c r="AC172" s="233"/>
    </row>
    <row r="173" spans="1:29" ht="12.75" customHeight="1">
      <c r="A173" s="233"/>
      <c r="B173" s="220">
        <v>130</v>
      </c>
      <c r="C173" s="203" t="s">
        <v>893</v>
      </c>
      <c r="D173" s="265" t="s">
        <v>1019</v>
      </c>
      <c r="E173" s="266">
        <v>2015</v>
      </c>
      <c r="F173" s="266">
        <v>2016</v>
      </c>
      <c r="G173" s="251">
        <f t="shared" si="0"/>
        <v>7.0000000000000007E-2</v>
      </c>
      <c r="H173" s="220"/>
      <c r="I173" s="220"/>
      <c r="J173" s="216">
        <v>3</v>
      </c>
      <c r="K173" s="220">
        <v>7.0000000000000007E-2</v>
      </c>
      <c r="L173" s="220"/>
      <c r="M173" s="259"/>
      <c r="N173" s="220"/>
      <c r="O173" s="220"/>
      <c r="P173" s="220"/>
      <c r="Q173" s="220"/>
      <c r="R173" s="220"/>
      <c r="S173" s="220"/>
      <c r="T173" s="260"/>
      <c r="U173" s="260"/>
      <c r="V173" s="663"/>
      <c r="W173" s="663"/>
      <c r="X173" s="268"/>
      <c r="Y173" s="233"/>
      <c r="Z173" s="233"/>
      <c r="AA173" s="233"/>
      <c r="AB173" s="233"/>
      <c r="AC173" s="233"/>
    </row>
    <row r="174" spans="1:29" ht="12.75" customHeight="1">
      <c r="A174" s="233"/>
      <c r="B174" s="220">
        <v>131</v>
      </c>
      <c r="C174" s="203" t="s">
        <v>893</v>
      </c>
      <c r="D174" s="265" t="s">
        <v>1020</v>
      </c>
      <c r="E174" s="266">
        <v>2012</v>
      </c>
      <c r="F174" s="266">
        <v>2016</v>
      </c>
      <c r="G174" s="251">
        <f t="shared" si="0"/>
        <v>0.87</v>
      </c>
      <c r="H174" s="220"/>
      <c r="I174" s="220"/>
      <c r="J174" s="216">
        <v>45</v>
      </c>
      <c r="K174" s="220">
        <v>0.87</v>
      </c>
      <c r="L174" s="220"/>
      <c r="M174" s="259"/>
      <c r="N174" s="220"/>
      <c r="O174" s="220"/>
      <c r="P174" s="220"/>
      <c r="Q174" s="220"/>
      <c r="R174" s="220"/>
      <c r="S174" s="220"/>
      <c r="T174" s="260"/>
      <c r="U174" s="260"/>
      <c r="V174" s="663"/>
      <c r="W174" s="663"/>
      <c r="X174" s="268"/>
      <c r="Y174" s="233"/>
      <c r="Z174" s="233"/>
      <c r="AA174" s="233"/>
      <c r="AB174" s="233"/>
      <c r="AC174" s="233"/>
    </row>
    <row r="175" spans="1:29" ht="12.75" customHeight="1">
      <c r="A175" s="233"/>
      <c r="B175" s="220">
        <v>132</v>
      </c>
      <c r="C175" s="203" t="s">
        <v>893</v>
      </c>
      <c r="D175" s="265" t="s">
        <v>951</v>
      </c>
      <c r="E175" s="266">
        <v>2011</v>
      </c>
      <c r="F175" s="266">
        <v>2013</v>
      </c>
      <c r="G175" s="251">
        <f t="shared" si="0"/>
        <v>0.87</v>
      </c>
      <c r="H175" s="220"/>
      <c r="I175" s="220"/>
      <c r="J175" s="216"/>
      <c r="K175" s="220"/>
      <c r="L175" s="220">
        <v>11</v>
      </c>
      <c r="M175" s="259">
        <v>0.87</v>
      </c>
      <c r="N175" s="220"/>
      <c r="O175" s="220"/>
      <c r="P175" s="220"/>
      <c r="Q175" s="220"/>
      <c r="R175" s="220"/>
      <c r="S175" s="220"/>
      <c r="T175" s="260"/>
      <c r="U175" s="260"/>
      <c r="V175" s="663"/>
      <c r="W175" s="663"/>
      <c r="X175" s="268"/>
      <c r="Y175" s="233"/>
      <c r="Z175" s="233"/>
      <c r="AA175" s="233"/>
      <c r="AB175" s="233"/>
      <c r="AC175" s="233"/>
    </row>
    <row r="176" spans="1:29" ht="12.75" customHeight="1">
      <c r="A176" s="233"/>
      <c r="B176" s="220">
        <v>133</v>
      </c>
      <c r="C176" s="203" t="s">
        <v>893</v>
      </c>
      <c r="D176" s="265" t="s">
        <v>951</v>
      </c>
      <c r="E176" s="266">
        <v>2010</v>
      </c>
      <c r="F176" s="266"/>
      <c r="G176" s="251">
        <f t="shared" si="0"/>
        <v>0.87</v>
      </c>
      <c r="H176" s="220"/>
      <c r="I176" s="220"/>
      <c r="J176" s="216"/>
      <c r="K176" s="220"/>
      <c r="L176" s="220">
        <v>10</v>
      </c>
      <c r="M176" s="259">
        <v>0.87</v>
      </c>
      <c r="N176" s="220"/>
      <c r="O176" s="220"/>
      <c r="P176" s="220"/>
      <c r="Q176" s="220"/>
      <c r="R176" s="220"/>
      <c r="S176" s="220"/>
      <c r="T176" s="260"/>
      <c r="U176" s="260"/>
      <c r="V176" s="663"/>
      <c r="W176" s="663"/>
      <c r="X176" s="268"/>
      <c r="Y176" s="233"/>
      <c r="Z176" s="233"/>
      <c r="AA176" s="233"/>
      <c r="AB176" s="233"/>
      <c r="AC176" s="233"/>
    </row>
    <row r="177" spans="1:29" ht="12.75" customHeight="1">
      <c r="A177" s="233"/>
      <c r="B177" s="220">
        <v>134</v>
      </c>
      <c r="C177" s="203" t="s">
        <v>893</v>
      </c>
      <c r="D177" s="265" t="s">
        <v>1021</v>
      </c>
      <c r="E177" s="266">
        <v>2014</v>
      </c>
      <c r="F177" s="266">
        <v>2016</v>
      </c>
      <c r="G177" s="251">
        <f t="shared" si="0"/>
        <v>0.4</v>
      </c>
      <c r="H177" s="220"/>
      <c r="I177" s="220"/>
      <c r="J177" s="216"/>
      <c r="K177" s="220"/>
      <c r="L177" s="220">
        <v>5</v>
      </c>
      <c r="M177" s="259">
        <v>0.4</v>
      </c>
      <c r="N177" s="220"/>
      <c r="O177" s="220"/>
      <c r="P177" s="220"/>
      <c r="Q177" s="220"/>
      <c r="R177" s="220"/>
      <c r="S177" s="220"/>
      <c r="T177" s="260"/>
      <c r="U177" s="260"/>
      <c r="V177" s="663"/>
      <c r="W177" s="663"/>
      <c r="X177" s="268"/>
      <c r="Y177" s="233"/>
      <c r="Z177" s="233"/>
      <c r="AA177" s="233"/>
      <c r="AB177" s="233"/>
      <c r="AC177" s="233"/>
    </row>
    <row r="178" spans="1:29" ht="12.75" customHeight="1">
      <c r="A178" s="233"/>
      <c r="B178" s="220">
        <v>135</v>
      </c>
      <c r="C178" s="203" t="s">
        <v>893</v>
      </c>
      <c r="D178" s="265" t="s">
        <v>1022</v>
      </c>
      <c r="E178" s="266">
        <v>2015</v>
      </c>
      <c r="F178" s="266">
        <v>2016</v>
      </c>
      <c r="G178" s="251">
        <f t="shared" si="0"/>
        <v>0.46</v>
      </c>
      <c r="H178" s="220"/>
      <c r="I178" s="220"/>
      <c r="J178" s="216"/>
      <c r="K178" s="220"/>
      <c r="L178" s="220">
        <v>6</v>
      </c>
      <c r="M178" s="259">
        <v>0.46</v>
      </c>
      <c r="N178" s="220"/>
      <c r="O178" s="220"/>
      <c r="P178" s="220"/>
      <c r="Q178" s="220"/>
      <c r="R178" s="220"/>
      <c r="S178" s="220"/>
      <c r="T178" s="260"/>
      <c r="U178" s="260"/>
      <c r="V178" s="663"/>
      <c r="W178" s="663"/>
      <c r="X178" s="268"/>
      <c r="Y178" s="233"/>
      <c r="Z178" s="233"/>
      <c r="AA178" s="233"/>
      <c r="AB178" s="233"/>
      <c r="AC178" s="233"/>
    </row>
    <row r="179" spans="1:29" ht="12.75" customHeight="1">
      <c r="A179" s="233"/>
      <c r="B179" s="220">
        <v>136</v>
      </c>
      <c r="C179" s="203" t="s">
        <v>893</v>
      </c>
      <c r="D179" s="265" t="s">
        <v>1019</v>
      </c>
      <c r="E179" s="266">
        <v>2017</v>
      </c>
      <c r="F179" s="266"/>
      <c r="G179" s="251">
        <f t="shared" si="0"/>
        <v>8.1999999999999993</v>
      </c>
      <c r="H179" s="220">
        <v>1</v>
      </c>
      <c r="I179" s="220">
        <v>0.2</v>
      </c>
      <c r="J179" s="216"/>
      <c r="K179" s="220">
        <v>8</v>
      </c>
      <c r="L179" s="220"/>
      <c r="M179" s="259"/>
      <c r="N179" s="220"/>
      <c r="O179" s="220"/>
      <c r="P179" s="220"/>
      <c r="Q179" s="220"/>
      <c r="R179" s="220"/>
      <c r="S179" s="220"/>
      <c r="T179" s="260"/>
      <c r="U179" s="260"/>
      <c r="V179" s="663"/>
      <c r="W179" s="663"/>
      <c r="X179" s="268"/>
      <c r="Y179" s="233"/>
      <c r="Z179" s="233"/>
      <c r="AA179" s="233"/>
      <c r="AB179" s="233"/>
      <c r="AC179" s="233"/>
    </row>
    <row r="180" spans="1:29" ht="12.75" customHeight="1">
      <c r="A180" s="233"/>
      <c r="B180" s="220">
        <v>137</v>
      </c>
      <c r="C180" s="203" t="s">
        <v>893</v>
      </c>
      <c r="D180" s="265" t="s">
        <v>1023</v>
      </c>
      <c r="E180" s="266">
        <v>2017</v>
      </c>
      <c r="F180" s="266"/>
      <c r="G180" s="251">
        <f t="shared" si="0"/>
        <v>0.87</v>
      </c>
      <c r="H180" s="220"/>
      <c r="I180" s="220"/>
      <c r="J180" s="216">
        <v>35</v>
      </c>
      <c r="K180" s="220">
        <v>0.87</v>
      </c>
      <c r="L180" s="220"/>
      <c r="M180" s="259"/>
      <c r="N180" s="220"/>
      <c r="O180" s="220"/>
      <c r="P180" s="220"/>
      <c r="Q180" s="220"/>
      <c r="R180" s="220"/>
      <c r="S180" s="220"/>
      <c r="T180" s="260"/>
      <c r="U180" s="260"/>
      <c r="V180" s="663"/>
      <c r="W180" s="663"/>
      <c r="X180" s="268"/>
      <c r="Y180" s="233"/>
      <c r="Z180" s="233"/>
      <c r="AA180" s="233"/>
      <c r="AB180" s="233"/>
      <c r="AC180" s="233"/>
    </row>
    <row r="181" spans="1:29" ht="12.75" customHeight="1">
      <c r="A181" s="233"/>
      <c r="B181" s="220">
        <v>138</v>
      </c>
      <c r="C181" s="203" t="s">
        <v>893</v>
      </c>
      <c r="D181" s="265" t="s">
        <v>1024</v>
      </c>
      <c r="E181" s="266">
        <v>2017</v>
      </c>
      <c r="F181" s="266"/>
      <c r="G181" s="251">
        <f t="shared" si="0"/>
        <v>0.67</v>
      </c>
      <c r="H181" s="220"/>
      <c r="I181" s="220"/>
      <c r="J181" s="216">
        <v>22</v>
      </c>
      <c r="K181" s="220">
        <v>0.67</v>
      </c>
      <c r="L181" s="220"/>
      <c r="M181" s="259"/>
      <c r="N181" s="220"/>
      <c r="O181" s="220"/>
      <c r="P181" s="220"/>
      <c r="Q181" s="220"/>
      <c r="R181" s="220"/>
      <c r="S181" s="220"/>
      <c r="T181" s="260"/>
      <c r="U181" s="260"/>
      <c r="V181" s="663"/>
      <c r="W181" s="663"/>
      <c r="X181" s="268"/>
      <c r="Y181" s="233"/>
      <c r="Z181" s="233"/>
      <c r="AA181" s="233"/>
      <c r="AB181" s="233"/>
      <c r="AC181" s="233"/>
    </row>
    <row r="182" spans="1:29" ht="12.75" customHeight="1">
      <c r="A182" s="233"/>
      <c r="B182" s="220">
        <v>139</v>
      </c>
      <c r="C182" s="203" t="s">
        <v>893</v>
      </c>
      <c r="D182" s="265" t="s">
        <v>1024</v>
      </c>
      <c r="E182" s="266">
        <v>2017</v>
      </c>
      <c r="F182" s="266"/>
      <c r="G182" s="251">
        <f t="shared" si="0"/>
        <v>0.15</v>
      </c>
      <c r="H182" s="220"/>
      <c r="I182" s="220"/>
      <c r="J182" s="216"/>
      <c r="K182" s="220"/>
      <c r="L182" s="220">
        <v>2</v>
      </c>
      <c r="M182" s="259">
        <v>0.15</v>
      </c>
      <c r="N182" s="220"/>
      <c r="O182" s="220"/>
      <c r="P182" s="220"/>
      <c r="Q182" s="220"/>
      <c r="R182" s="220"/>
      <c r="S182" s="220"/>
      <c r="T182" s="260"/>
      <c r="U182" s="260"/>
      <c r="V182" s="663"/>
      <c r="W182" s="663"/>
      <c r="X182" s="268"/>
      <c r="Y182" s="233"/>
      <c r="Z182" s="233"/>
      <c r="AA182" s="233"/>
      <c r="AB182" s="233"/>
      <c r="AC182" s="233"/>
    </row>
    <row r="183" spans="1:29" ht="12.75" customHeight="1">
      <c r="A183" s="233"/>
      <c r="B183" s="220">
        <v>140</v>
      </c>
      <c r="C183" s="203" t="s">
        <v>893</v>
      </c>
      <c r="D183" s="265" t="s">
        <v>1024</v>
      </c>
      <c r="E183" s="266">
        <v>2017</v>
      </c>
      <c r="F183" s="266"/>
      <c r="G183" s="251">
        <f t="shared" si="0"/>
        <v>0.84</v>
      </c>
      <c r="H183" s="220"/>
      <c r="I183" s="220"/>
      <c r="J183" s="216"/>
      <c r="K183" s="220"/>
      <c r="L183" s="220">
        <v>10</v>
      </c>
      <c r="M183" s="259">
        <v>0.84</v>
      </c>
      <c r="N183" s="220"/>
      <c r="O183" s="220"/>
      <c r="P183" s="220"/>
      <c r="Q183" s="220"/>
      <c r="R183" s="220"/>
      <c r="S183" s="220"/>
      <c r="T183" s="260"/>
      <c r="U183" s="260"/>
      <c r="V183" s="663"/>
      <c r="W183" s="663"/>
      <c r="X183" s="268"/>
      <c r="Y183" s="233"/>
      <c r="Z183" s="233"/>
      <c r="AA183" s="233"/>
      <c r="AB183" s="233"/>
      <c r="AC183" s="233"/>
    </row>
    <row r="184" spans="1:29" ht="12.75" customHeight="1">
      <c r="A184" s="233"/>
      <c r="B184" s="220">
        <v>141</v>
      </c>
      <c r="C184" s="203" t="s">
        <v>893</v>
      </c>
      <c r="D184" s="265" t="s">
        <v>1024</v>
      </c>
      <c r="E184" s="266">
        <v>2017</v>
      </c>
      <c r="F184" s="266"/>
      <c r="G184" s="251">
        <f t="shared" si="0"/>
        <v>0.84</v>
      </c>
      <c r="H184" s="220"/>
      <c r="I184" s="220"/>
      <c r="J184" s="216"/>
      <c r="K184" s="220"/>
      <c r="L184" s="220">
        <v>9</v>
      </c>
      <c r="M184" s="259">
        <v>0.84</v>
      </c>
      <c r="N184" s="220"/>
      <c r="O184" s="220"/>
      <c r="P184" s="220"/>
      <c r="Q184" s="220"/>
      <c r="R184" s="220"/>
      <c r="S184" s="220"/>
      <c r="T184" s="260"/>
      <c r="U184" s="260"/>
      <c r="V184" s="663"/>
      <c r="W184" s="663"/>
      <c r="X184" s="268"/>
      <c r="Y184" s="233"/>
      <c r="Z184" s="233"/>
      <c r="AA184" s="233"/>
      <c r="AB184" s="233"/>
      <c r="AC184" s="233"/>
    </row>
    <row r="185" spans="1:29" ht="12.75" customHeight="1">
      <c r="A185" s="233"/>
      <c r="B185" s="220">
        <v>142</v>
      </c>
      <c r="C185" s="203" t="s">
        <v>893</v>
      </c>
      <c r="D185" s="265" t="s">
        <v>951</v>
      </c>
      <c r="E185" s="266">
        <v>2012</v>
      </c>
      <c r="F185" s="266">
        <v>2017</v>
      </c>
      <c r="G185" s="251">
        <f t="shared" si="0"/>
        <v>0.54</v>
      </c>
      <c r="H185" s="220"/>
      <c r="I185" s="220"/>
      <c r="J185" s="216">
        <v>20</v>
      </c>
      <c r="K185" s="220">
        <v>0.54</v>
      </c>
      <c r="L185" s="220"/>
      <c r="M185" s="259"/>
      <c r="N185" s="220"/>
      <c r="O185" s="220"/>
      <c r="P185" s="220"/>
      <c r="Q185" s="220"/>
      <c r="R185" s="220"/>
      <c r="S185" s="220"/>
      <c r="T185" s="260"/>
      <c r="U185" s="260"/>
      <c r="V185" s="663"/>
      <c r="W185" s="663"/>
      <c r="X185" s="268"/>
      <c r="Y185" s="233"/>
      <c r="Z185" s="233"/>
      <c r="AA185" s="233"/>
      <c r="AB185" s="233"/>
      <c r="AC185" s="233"/>
    </row>
    <row r="186" spans="1:29" ht="12.75" customHeight="1">
      <c r="A186" s="233"/>
      <c r="B186" s="220">
        <v>143</v>
      </c>
      <c r="C186" s="203" t="s">
        <v>893</v>
      </c>
      <c r="D186" s="265" t="s">
        <v>951</v>
      </c>
      <c r="E186" s="266">
        <v>2011</v>
      </c>
      <c r="F186" s="266">
        <v>2015</v>
      </c>
      <c r="G186" s="251">
        <f t="shared" si="0"/>
        <v>0.54</v>
      </c>
      <c r="H186" s="220"/>
      <c r="I186" s="220"/>
      <c r="J186" s="216">
        <v>18</v>
      </c>
      <c r="K186" s="220">
        <v>0.54</v>
      </c>
      <c r="L186" s="220"/>
      <c r="M186" s="259"/>
      <c r="N186" s="220"/>
      <c r="O186" s="220"/>
      <c r="P186" s="220"/>
      <c r="Q186" s="220"/>
      <c r="R186" s="220"/>
      <c r="S186" s="220"/>
      <c r="T186" s="260"/>
      <c r="U186" s="260"/>
      <c r="V186" s="663"/>
      <c r="W186" s="663"/>
      <c r="X186" s="268"/>
      <c r="Y186" s="233"/>
      <c r="Z186" s="233"/>
      <c r="AA186" s="233"/>
      <c r="AB186" s="233"/>
      <c r="AC186" s="233"/>
    </row>
    <row r="187" spans="1:29" ht="12.75" customHeight="1">
      <c r="A187" s="233"/>
      <c r="B187" s="220">
        <v>144</v>
      </c>
      <c r="C187" s="203" t="s">
        <v>893</v>
      </c>
      <c r="D187" s="265" t="s">
        <v>951</v>
      </c>
      <c r="E187" s="266">
        <v>2012</v>
      </c>
      <c r="F187" s="266">
        <v>2017</v>
      </c>
      <c r="G187" s="251">
        <f t="shared" si="0"/>
        <v>0.4</v>
      </c>
      <c r="H187" s="220"/>
      <c r="I187" s="220"/>
      <c r="J187" s="216">
        <v>13</v>
      </c>
      <c r="K187" s="220">
        <v>0.4</v>
      </c>
      <c r="L187" s="220"/>
      <c r="M187" s="259"/>
      <c r="N187" s="220"/>
      <c r="O187" s="220"/>
      <c r="P187" s="220"/>
      <c r="Q187" s="220"/>
      <c r="R187" s="220"/>
      <c r="S187" s="220"/>
      <c r="T187" s="260"/>
      <c r="U187" s="260"/>
      <c r="V187" s="663"/>
      <c r="W187" s="663"/>
      <c r="X187" s="268"/>
      <c r="Y187" s="233"/>
      <c r="Z187" s="233"/>
      <c r="AA187" s="233"/>
      <c r="AB187" s="233"/>
      <c r="AC187" s="233"/>
    </row>
    <row r="188" spans="1:29" ht="12.75" customHeight="1">
      <c r="A188" s="233"/>
      <c r="B188" s="220">
        <v>145</v>
      </c>
      <c r="C188" s="203" t="s">
        <v>893</v>
      </c>
      <c r="D188" s="265" t="s">
        <v>1024</v>
      </c>
      <c r="E188" s="266">
        <v>2017</v>
      </c>
      <c r="F188" s="266"/>
      <c r="G188" s="251">
        <f t="shared" si="0"/>
        <v>0.27</v>
      </c>
      <c r="H188" s="220"/>
      <c r="I188" s="220"/>
      <c r="J188" s="216"/>
      <c r="K188" s="220"/>
      <c r="L188" s="220">
        <v>3</v>
      </c>
      <c r="M188" s="259">
        <v>0.27</v>
      </c>
      <c r="N188" s="220"/>
      <c r="O188" s="220"/>
      <c r="P188" s="220"/>
      <c r="Q188" s="220"/>
      <c r="R188" s="220"/>
      <c r="S188" s="220"/>
      <c r="T188" s="260"/>
      <c r="U188" s="260"/>
      <c r="V188" s="663"/>
      <c r="W188" s="663"/>
      <c r="X188" s="268"/>
      <c r="Y188" s="233"/>
      <c r="Z188" s="233"/>
      <c r="AA188" s="233"/>
      <c r="AB188" s="233"/>
      <c r="AC188" s="233"/>
    </row>
    <row r="189" spans="1:29" ht="12.75" customHeight="1">
      <c r="A189" s="233"/>
      <c r="B189" s="220">
        <v>146</v>
      </c>
      <c r="C189" s="203" t="s">
        <v>893</v>
      </c>
      <c r="D189" s="265" t="s">
        <v>1024</v>
      </c>
      <c r="E189" s="266">
        <v>2016</v>
      </c>
      <c r="F189" s="266">
        <v>2017</v>
      </c>
      <c r="G189" s="251">
        <f t="shared" si="0"/>
        <v>0.32</v>
      </c>
      <c r="H189" s="220"/>
      <c r="I189" s="220"/>
      <c r="J189" s="216"/>
      <c r="K189" s="220"/>
      <c r="L189" s="220">
        <v>4</v>
      </c>
      <c r="M189" s="259">
        <v>0.32</v>
      </c>
      <c r="N189" s="220"/>
      <c r="O189" s="220"/>
      <c r="P189" s="220"/>
      <c r="Q189" s="220"/>
      <c r="R189" s="220"/>
      <c r="S189" s="220"/>
      <c r="T189" s="260"/>
      <c r="U189" s="260"/>
      <c r="V189" s="663"/>
      <c r="W189" s="663"/>
      <c r="X189" s="268"/>
      <c r="Y189" s="233"/>
      <c r="Z189" s="233"/>
      <c r="AA189" s="233"/>
      <c r="AB189" s="233"/>
      <c r="AC189" s="233"/>
    </row>
    <row r="190" spans="1:29" ht="12.75" customHeight="1">
      <c r="A190" s="233"/>
      <c r="B190" s="220">
        <v>147</v>
      </c>
      <c r="C190" s="203" t="s">
        <v>893</v>
      </c>
      <c r="D190" s="265" t="s">
        <v>1025</v>
      </c>
      <c r="E190" s="266">
        <v>2016</v>
      </c>
      <c r="F190" s="266"/>
      <c r="G190" s="251">
        <f t="shared" si="0"/>
        <v>0.65</v>
      </c>
      <c r="H190" s="220"/>
      <c r="I190" s="220"/>
      <c r="J190" s="216"/>
      <c r="K190" s="220"/>
      <c r="L190" s="220">
        <v>7</v>
      </c>
      <c r="M190" s="259">
        <v>0.65</v>
      </c>
      <c r="N190" s="220"/>
      <c r="O190" s="220"/>
      <c r="P190" s="220"/>
      <c r="Q190" s="220"/>
      <c r="R190" s="220"/>
      <c r="S190" s="220"/>
      <c r="T190" s="260"/>
      <c r="U190" s="260"/>
      <c r="V190" s="663"/>
      <c r="W190" s="663"/>
      <c r="X190" s="268"/>
      <c r="Y190" s="233"/>
      <c r="Z190" s="233"/>
      <c r="AA190" s="233"/>
      <c r="AB190" s="233"/>
      <c r="AC190" s="233"/>
    </row>
    <row r="191" spans="1:29" ht="12.75" customHeight="1">
      <c r="A191" s="233"/>
      <c r="B191" s="220">
        <v>148</v>
      </c>
      <c r="C191" s="203" t="s">
        <v>893</v>
      </c>
      <c r="D191" s="265" t="s">
        <v>1026</v>
      </c>
      <c r="E191" s="266">
        <v>2013</v>
      </c>
      <c r="F191" s="266">
        <v>2014</v>
      </c>
      <c r="G191" s="251">
        <f t="shared" si="0"/>
        <v>0.46</v>
      </c>
      <c r="H191" s="220"/>
      <c r="I191" s="220"/>
      <c r="J191" s="216"/>
      <c r="K191" s="220"/>
      <c r="L191" s="220">
        <v>6</v>
      </c>
      <c r="M191" s="259">
        <v>0.46</v>
      </c>
      <c r="N191" s="220"/>
      <c r="O191" s="220"/>
      <c r="P191" s="220"/>
      <c r="Q191" s="220"/>
      <c r="R191" s="220"/>
      <c r="S191" s="220"/>
      <c r="T191" s="260"/>
      <c r="U191" s="260"/>
      <c r="V191" s="663"/>
      <c r="W191" s="663"/>
      <c r="X191" s="268"/>
      <c r="Y191" s="233"/>
      <c r="Z191" s="233"/>
      <c r="AA191" s="233"/>
      <c r="AB191" s="233"/>
      <c r="AC191" s="233"/>
    </row>
    <row r="192" spans="1:29" ht="12.75" customHeight="1">
      <c r="A192" s="233"/>
      <c r="B192" s="220">
        <v>149</v>
      </c>
      <c r="C192" s="203" t="s">
        <v>893</v>
      </c>
      <c r="D192" s="265" t="s">
        <v>1027</v>
      </c>
      <c r="E192" s="266">
        <v>2015</v>
      </c>
      <c r="F192" s="266">
        <v>2016</v>
      </c>
      <c r="G192" s="251">
        <f t="shared" si="0"/>
        <v>0.7</v>
      </c>
      <c r="H192" s="220"/>
      <c r="I192" s="220"/>
      <c r="J192" s="216"/>
      <c r="K192" s="220"/>
      <c r="L192" s="220">
        <v>9</v>
      </c>
      <c r="M192" s="259">
        <v>0.7</v>
      </c>
      <c r="N192" s="220"/>
      <c r="O192" s="220"/>
      <c r="P192" s="220"/>
      <c r="Q192" s="220"/>
      <c r="R192" s="220"/>
      <c r="S192" s="220"/>
      <c r="T192" s="260"/>
      <c r="U192" s="260"/>
      <c r="V192" s="663"/>
      <c r="W192" s="663"/>
      <c r="X192" s="268"/>
      <c r="Y192" s="233"/>
      <c r="Z192" s="233"/>
      <c r="AA192" s="233"/>
      <c r="AB192" s="233"/>
      <c r="AC192" s="233"/>
    </row>
    <row r="193" spans="1:29" ht="12.75" customHeight="1">
      <c r="A193" s="233"/>
      <c r="B193" s="220">
        <v>150</v>
      </c>
      <c r="C193" s="203" t="s">
        <v>893</v>
      </c>
      <c r="D193" s="265" t="s">
        <v>1028</v>
      </c>
      <c r="E193" s="266">
        <v>2014</v>
      </c>
      <c r="F193" s="266">
        <v>2016</v>
      </c>
      <c r="G193" s="251">
        <f t="shared" si="0"/>
        <v>0.88</v>
      </c>
      <c r="H193" s="220"/>
      <c r="I193" s="220"/>
      <c r="J193" s="216"/>
      <c r="K193" s="220"/>
      <c r="L193" s="220">
        <v>12</v>
      </c>
      <c r="M193" s="259">
        <v>0.88</v>
      </c>
      <c r="N193" s="220"/>
      <c r="O193" s="220"/>
      <c r="P193" s="220"/>
      <c r="Q193" s="220"/>
      <c r="R193" s="220"/>
      <c r="S193" s="220"/>
      <c r="T193" s="260"/>
      <c r="U193" s="260"/>
      <c r="V193" s="663"/>
      <c r="W193" s="663"/>
      <c r="X193" s="268"/>
      <c r="Y193" s="233"/>
      <c r="Z193" s="233"/>
      <c r="AA193" s="233"/>
      <c r="AB193" s="233"/>
      <c r="AC193" s="233"/>
    </row>
    <row r="194" spans="1:29" ht="12.75" customHeight="1">
      <c r="A194" s="233"/>
      <c r="B194" s="220">
        <v>151</v>
      </c>
      <c r="C194" s="203" t="s">
        <v>893</v>
      </c>
      <c r="D194" s="265" t="s">
        <v>1029</v>
      </c>
      <c r="E194" s="266">
        <v>2016</v>
      </c>
      <c r="F194" s="266"/>
      <c r="G194" s="251">
        <f t="shared" si="0"/>
        <v>0.44</v>
      </c>
      <c r="H194" s="220"/>
      <c r="I194" s="220"/>
      <c r="J194" s="216">
        <v>22</v>
      </c>
      <c r="K194" s="220">
        <v>0.44</v>
      </c>
      <c r="L194" s="220"/>
      <c r="M194" s="259"/>
      <c r="N194" s="220"/>
      <c r="O194" s="220"/>
      <c r="P194" s="220"/>
      <c r="Q194" s="220"/>
      <c r="R194" s="220"/>
      <c r="S194" s="220"/>
      <c r="T194" s="260"/>
      <c r="U194" s="260"/>
      <c r="V194" s="663"/>
      <c r="W194" s="663"/>
      <c r="X194" s="268"/>
      <c r="Y194" s="233"/>
      <c r="Z194" s="233"/>
      <c r="AA194" s="233"/>
      <c r="AB194" s="233"/>
      <c r="AC194" s="233"/>
    </row>
    <row r="195" spans="1:29" ht="12.75" customHeight="1">
      <c r="A195" s="233"/>
      <c r="B195" s="220">
        <v>152</v>
      </c>
      <c r="C195" s="203" t="s">
        <v>893</v>
      </c>
      <c r="D195" s="265" t="s">
        <v>1028</v>
      </c>
      <c r="E195" s="266">
        <v>2016</v>
      </c>
      <c r="F195" s="266"/>
      <c r="G195" s="251">
        <f t="shared" si="0"/>
        <v>0.44</v>
      </c>
      <c r="H195" s="220"/>
      <c r="I195" s="220"/>
      <c r="J195" s="216"/>
      <c r="K195" s="220"/>
      <c r="L195" s="220">
        <v>6</v>
      </c>
      <c r="M195" s="259">
        <v>0.44</v>
      </c>
      <c r="N195" s="220"/>
      <c r="O195" s="220"/>
      <c r="P195" s="220"/>
      <c r="Q195" s="220"/>
      <c r="R195" s="220"/>
      <c r="S195" s="220"/>
      <c r="T195" s="260"/>
      <c r="U195" s="260"/>
      <c r="V195" s="663"/>
      <c r="W195" s="663"/>
      <c r="X195" s="268"/>
      <c r="Y195" s="233"/>
      <c r="Z195" s="233"/>
      <c r="AA195" s="233"/>
      <c r="AB195" s="233"/>
      <c r="AC195" s="233"/>
    </row>
    <row r="196" spans="1:29" ht="12.75" customHeight="1">
      <c r="A196" s="233"/>
      <c r="B196" s="220">
        <v>153</v>
      </c>
      <c r="C196" s="203" t="s">
        <v>893</v>
      </c>
      <c r="D196" s="265" t="s">
        <v>1028</v>
      </c>
      <c r="E196" s="266">
        <v>2015</v>
      </c>
      <c r="F196" s="266">
        <v>2016</v>
      </c>
      <c r="G196" s="251">
        <f t="shared" si="0"/>
        <v>0.6</v>
      </c>
      <c r="H196" s="220"/>
      <c r="I196" s="220"/>
      <c r="J196" s="216"/>
      <c r="K196" s="220"/>
      <c r="L196" s="220">
        <v>8</v>
      </c>
      <c r="M196" s="259">
        <v>0.6</v>
      </c>
      <c r="N196" s="220"/>
      <c r="O196" s="220"/>
      <c r="P196" s="220"/>
      <c r="Q196" s="220"/>
      <c r="R196" s="220"/>
      <c r="S196" s="220"/>
      <c r="T196" s="260"/>
      <c r="U196" s="260"/>
      <c r="V196" s="663"/>
      <c r="W196" s="663"/>
      <c r="X196" s="268"/>
      <c r="Y196" s="233"/>
      <c r="Z196" s="233"/>
      <c r="AA196" s="233"/>
      <c r="AB196" s="233"/>
      <c r="AC196" s="233"/>
    </row>
    <row r="197" spans="1:29" ht="12.75" customHeight="1">
      <c r="A197" s="233"/>
      <c r="B197" s="220">
        <v>154</v>
      </c>
      <c r="C197" s="203" t="s">
        <v>893</v>
      </c>
      <c r="D197" s="265" t="s">
        <v>1030</v>
      </c>
      <c r="E197" s="266">
        <v>2014</v>
      </c>
      <c r="F197" s="266">
        <v>2017</v>
      </c>
      <c r="G197" s="251">
        <f t="shared" si="0"/>
        <v>0.31</v>
      </c>
      <c r="H197" s="220"/>
      <c r="I197" s="220"/>
      <c r="J197" s="216">
        <v>12</v>
      </c>
      <c r="K197" s="220">
        <v>0.31</v>
      </c>
      <c r="L197" s="220"/>
      <c r="M197" s="259"/>
      <c r="N197" s="220"/>
      <c r="O197" s="220"/>
      <c r="P197" s="220"/>
      <c r="Q197" s="220"/>
      <c r="R197" s="220"/>
      <c r="S197" s="220"/>
      <c r="T197" s="260"/>
      <c r="U197" s="260"/>
      <c r="V197" s="663"/>
      <c r="W197" s="663"/>
      <c r="X197" s="268"/>
      <c r="Y197" s="233"/>
      <c r="Z197" s="233"/>
      <c r="AA197" s="233"/>
      <c r="AB197" s="233"/>
      <c r="AC197" s="233"/>
    </row>
    <row r="198" spans="1:29" ht="12.75" customHeight="1">
      <c r="A198" s="233"/>
      <c r="B198" s="220">
        <v>155</v>
      </c>
      <c r="C198" s="203" t="s">
        <v>893</v>
      </c>
      <c r="D198" s="265" t="s">
        <v>1030</v>
      </c>
      <c r="E198" s="266">
        <v>2015</v>
      </c>
      <c r="F198" s="266">
        <v>2017</v>
      </c>
      <c r="G198" s="251">
        <f t="shared" si="0"/>
        <v>0.4</v>
      </c>
      <c r="H198" s="220">
        <v>2</v>
      </c>
      <c r="I198" s="220">
        <v>0.4</v>
      </c>
      <c r="J198" s="216"/>
      <c r="K198" s="220"/>
      <c r="L198" s="220"/>
      <c r="M198" s="259"/>
      <c r="N198" s="220"/>
      <c r="O198" s="220"/>
      <c r="P198" s="220"/>
      <c r="Q198" s="220"/>
      <c r="R198" s="220"/>
      <c r="S198" s="220"/>
      <c r="T198" s="260"/>
      <c r="U198" s="260"/>
      <c r="V198" s="663"/>
      <c r="W198" s="663"/>
      <c r="X198" s="268"/>
      <c r="Y198" s="233"/>
      <c r="Z198" s="233"/>
      <c r="AA198" s="233"/>
      <c r="AB198" s="233"/>
      <c r="AC198" s="233"/>
    </row>
    <row r="199" spans="1:29" ht="12.75" customHeight="1">
      <c r="A199" s="233"/>
      <c r="B199" s="220">
        <v>157</v>
      </c>
      <c r="C199" s="203" t="s">
        <v>893</v>
      </c>
      <c r="D199" s="265" t="s">
        <v>1031</v>
      </c>
      <c r="E199" s="266">
        <v>2015</v>
      </c>
      <c r="F199" s="266">
        <v>2017</v>
      </c>
      <c r="G199" s="251">
        <f t="shared" si="0"/>
        <v>0.4</v>
      </c>
      <c r="H199" s="220">
        <v>2</v>
      </c>
      <c r="I199" s="220">
        <v>0.4</v>
      </c>
      <c r="J199" s="216"/>
      <c r="K199" s="220"/>
      <c r="L199" s="220"/>
      <c r="M199" s="259"/>
      <c r="N199" s="220"/>
      <c r="O199" s="220"/>
      <c r="P199" s="220"/>
      <c r="Q199" s="220"/>
      <c r="R199" s="220"/>
      <c r="S199" s="220"/>
      <c r="T199" s="260"/>
      <c r="U199" s="260"/>
      <c r="V199" s="663"/>
      <c r="W199" s="663"/>
      <c r="X199" s="268"/>
      <c r="Y199" s="233"/>
      <c r="Z199" s="233"/>
      <c r="AA199" s="233"/>
      <c r="AB199" s="233"/>
      <c r="AC199" s="233"/>
    </row>
    <row r="200" spans="1:29" ht="12.75" customHeight="1">
      <c r="A200" s="233"/>
      <c r="B200" s="220">
        <v>158</v>
      </c>
      <c r="C200" s="203" t="s">
        <v>893</v>
      </c>
      <c r="D200" s="265" t="s">
        <v>1032</v>
      </c>
      <c r="E200" s="266">
        <v>2010</v>
      </c>
      <c r="F200" s="266">
        <v>2017</v>
      </c>
      <c r="G200" s="251">
        <f t="shared" si="0"/>
        <v>0.6</v>
      </c>
      <c r="H200" s="220">
        <v>1</v>
      </c>
      <c r="I200" s="220">
        <v>0.6</v>
      </c>
      <c r="J200" s="216"/>
      <c r="K200" s="220"/>
      <c r="L200" s="220"/>
      <c r="M200" s="259"/>
      <c r="N200" s="220"/>
      <c r="O200" s="220"/>
      <c r="P200" s="220"/>
      <c r="Q200" s="220"/>
      <c r="R200" s="220"/>
      <c r="S200" s="220"/>
      <c r="T200" s="260"/>
      <c r="U200" s="260"/>
      <c r="V200" s="663"/>
      <c r="W200" s="663"/>
      <c r="X200" s="268"/>
      <c r="Y200" s="233"/>
      <c r="Z200" s="233"/>
      <c r="AA200" s="233"/>
      <c r="AB200" s="233"/>
      <c r="AC200" s="233"/>
    </row>
    <row r="201" spans="1:29" ht="12.75" customHeight="1">
      <c r="A201" s="233"/>
      <c r="B201" s="220">
        <v>159</v>
      </c>
      <c r="C201" s="203" t="s">
        <v>893</v>
      </c>
      <c r="D201" s="265" t="s">
        <v>1033</v>
      </c>
      <c r="E201" s="266">
        <v>2014</v>
      </c>
      <c r="F201" s="266">
        <v>2016</v>
      </c>
      <c r="G201" s="251">
        <f t="shared" si="0"/>
        <v>0.76</v>
      </c>
      <c r="H201" s="220"/>
      <c r="I201" s="220"/>
      <c r="J201" s="216"/>
      <c r="K201" s="220"/>
      <c r="L201" s="220">
        <v>11</v>
      </c>
      <c r="M201" s="259">
        <v>0.76</v>
      </c>
      <c r="N201" s="220"/>
      <c r="O201" s="220"/>
      <c r="P201" s="220"/>
      <c r="Q201" s="220"/>
      <c r="R201" s="220"/>
      <c r="S201" s="220"/>
      <c r="T201" s="260"/>
      <c r="U201" s="260"/>
      <c r="V201" s="663"/>
      <c r="W201" s="663"/>
      <c r="X201" s="268"/>
      <c r="Y201" s="233"/>
      <c r="Z201" s="233"/>
      <c r="AA201" s="233"/>
      <c r="AB201" s="233"/>
      <c r="AC201" s="233"/>
    </row>
    <row r="202" spans="1:29" ht="12.75" customHeight="1">
      <c r="A202" s="233"/>
      <c r="B202" s="220">
        <v>160</v>
      </c>
      <c r="C202" s="203" t="s">
        <v>893</v>
      </c>
      <c r="D202" s="265" t="s">
        <v>1030</v>
      </c>
      <c r="E202" s="266">
        <v>2011</v>
      </c>
      <c r="F202" s="266">
        <v>2017</v>
      </c>
      <c r="G202" s="251">
        <f t="shared" si="0"/>
        <v>0.27</v>
      </c>
      <c r="H202" s="220"/>
      <c r="I202" s="220"/>
      <c r="J202" s="216">
        <v>20</v>
      </c>
      <c r="K202" s="220">
        <v>0.27</v>
      </c>
      <c r="L202" s="220"/>
      <c r="M202" s="259"/>
      <c r="N202" s="220"/>
      <c r="O202" s="220"/>
      <c r="P202" s="220"/>
      <c r="Q202" s="220"/>
      <c r="R202" s="220"/>
      <c r="S202" s="220"/>
      <c r="T202" s="260"/>
      <c r="U202" s="260"/>
      <c r="V202" s="663"/>
      <c r="W202" s="663"/>
      <c r="X202" s="268"/>
      <c r="Y202" s="233"/>
      <c r="Z202" s="233"/>
      <c r="AA202" s="233"/>
      <c r="AB202" s="233"/>
      <c r="AC202" s="233"/>
    </row>
    <row r="203" spans="1:29" ht="12.75" customHeight="1">
      <c r="A203" s="233"/>
      <c r="B203" s="269">
        <v>161</v>
      </c>
      <c r="C203" s="203" t="s">
        <v>893</v>
      </c>
      <c r="D203" s="265" t="s">
        <v>1034</v>
      </c>
      <c r="E203" s="266">
        <v>2009</v>
      </c>
      <c r="F203" s="266">
        <v>2017</v>
      </c>
      <c r="G203" s="251">
        <f t="shared" si="0"/>
        <v>0.6</v>
      </c>
      <c r="H203" s="220"/>
      <c r="I203" s="220"/>
      <c r="J203" s="216">
        <v>23</v>
      </c>
      <c r="K203" s="220">
        <v>0.6</v>
      </c>
      <c r="L203" s="220"/>
      <c r="M203" s="259"/>
      <c r="N203" s="220"/>
      <c r="O203" s="220"/>
      <c r="P203" s="220"/>
      <c r="Q203" s="220"/>
      <c r="R203" s="220"/>
      <c r="S203" s="220"/>
      <c r="T203" s="260"/>
      <c r="U203" s="260"/>
      <c r="V203" s="663"/>
      <c r="W203" s="663"/>
      <c r="X203" s="268"/>
      <c r="Y203" s="233"/>
      <c r="Z203" s="233"/>
      <c r="AA203" s="233"/>
      <c r="AB203" s="233"/>
      <c r="AC203" s="233"/>
    </row>
    <row r="204" spans="1:29" ht="12.75" customHeight="1">
      <c r="A204" s="233"/>
      <c r="B204" s="220">
        <v>162</v>
      </c>
      <c r="C204" s="203" t="s">
        <v>893</v>
      </c>
      <c r="D204" s="265" t="s">
        <v>1030</v>
      </c>
      <c r="E204" s="266">
        <v>2015</v>
      </c>
      <c r="F204" s="266">
        <v>2016</v>
      </c>
      <c r="G204" s="251">
        <f t="shared" si="0"/>
        <v>1.04</v>
      </c>
      <c r="H204" s="220"/>
      <c r="I204" s="220"/>
      <c r="J204" s="216"/>
      <c r="K204" s="220"/>
      <c r="L204" s="220">
        <v>7</v>
      </c>
      <c r="M204" s="259">
        <v>1.04</v>
      </c>
      <c r="N204" s="220"/>
      <c r="O204" s="220"/>
      <c r="P204" s="220"/>
      <c r="Q204" s="220"/>
      <c r="R204" s="220"/>
      <c r="S204" s="220"/>
      <c r="T204" s="260"/>
      <c r="U204" s="260"/>
      <c r="V204" s="663"/>
      <c r="W204" s="663"/>
      <c r="X204" s="268"/>
      <c r="Y204" s="233"/>
      <c r="Z204" s="233"/>
      <c r="AA204" s="233"/>
      <c r="AB204" s="233"/>
      <c r="AC204" s="233"/>
    </row>
    <row r="205" spans="1:29" ht="12.75" customHeight="1">
      <c r="A205" s="233"/>
      <c r="B205" s="220">
        <v>163</v>
      </c>
      <c r="C205" s="203" t="s">
        <v>893</v>
      </c>
      <c r="D205" s="265" t="s">
        <v>1035</v>
      </c>
      <c r="E205" s="266">
        <v>2015</v>
      </c>
      <c r="F205" s="266">
        <v>2016</v>
      </c>
      <c r="G205" s="251">
        <f t="shared" si="0"/>
        <v>0.7</v>
      </c>
      <c r="H205" s="220"/>
      <c r="I205" s="220"/>
      <c r="J205" s="216"/>
      <c r="K205" s="220"/>
      <c r="L205" s="220">
        <v>10</v>
      </c>
      <c r="M205" s="259">
        <v>0.7</v>
      </c>
      <c r="N205" s="220"/>
      <c r="O205" s="220"/>
      <c r="P205" s="220"/>
      <c r="Q205" s="220"/>
      <c r="R205" s="220"/>
      <c r="S205" s="220"/>
      <c r="T205" s="260"/>
      <c r="U205" s="260"/>
      <c r="V205" s="663"/>
      <c r="W205" s="663"/>
      <c r="X205" s="268"/>
      <c r="Y205" s="233"/>
      <c r="Z205" s="233"/>
      <c r="AA205" s="233"/>
      <c r="AB205" s="233"/>
      <c r="AC205" s="233"/>
    </row>
    <row r="206" spans="1:29" ht="12.75" customHeight="1">
      <c r="A206" s="233"/>
      <c r="B206" s="220">
        <v>164</v>
      </c>
      <c r="C206" s="203" t="s">
        <v>893</v>
      </c>
      <c r="D206" s="265" t="s">
        <v>1035</v>
      </c>
      <c r="E206" s="266">
        <v>2016</v>
      </c>
      <c r="F206" s="266"/>
      <c r="G206" s="251">
        <f t="shared" si="0"/>
        <v>0.2</v>
      </c>
      <c r="H206" s="220"/>
      <c r="I206" s="220"/>
      <c r="J206" s="216">
        <v>11</v>
      </c>
      <c r="K206" s="220">
        <v>0.2</v>
      </c>
      <c r="L206" s="220"/>
      <c r="M206" s="259"/>
      <c r="N206" s="220"/>
      <c r="O206" s="220"/>
      <c r="P206" s="220"/>
      <c r="Q206" s="220"/>
      <c r="R206" s="220"/>
      <c r="S206" s="220"/>
      <c r="T206" s="260"/>
      <c r="U206" s="260"/>
      <c r="V206" s="663"/>
      <c r="W206" s="663"/>
      <c r="X206" s="268"/>
      <c r="Y206" s="233"/>
      <c r="Z206" s="233"/>
      <c r="AA206" s="233"/>
      <c r="AB206" s="233"/>
      <c r="AC206" s="233"/>
    </row>
    <row r="207" spans="1:29" ht="12.75" customHeight="1">
      <c r="A207" s="233"/>
      <c r="B207" s="220">
        <v>165</v>
      </c>
      <c r="C207" s="203" t="s">
        <v>893</v>
      </c>
      <c r="D207" s="265" t="s">
        <v>1035</v>
      </c>
      <c r="E207" s="266">
        <v>2015</v>
      </c>
      <c r="F207" s="266"/>
      <c r="G207" s="251">
        <f t="shared" si="0"/>
        <v>2</v>
      </c>
      <c r="H207" s="220">
        <v>10</v>
      </c>
      <c r="I207" s="220">
        <v>2</v>
      </c>
      <c r="J207" s="216">
        <v>71</v>
      </c>
      <c r="K207" s="220"/>
      <c r="L207" s="220"/>
      <c r="M207" s="259"/>
      <c r="N207" s="220"/>
      <c r="O207" s="220"/>
      <c r="P207" s="220"/>
      <c r="Q207" s="220"/>
      <c r="R207" s="220"/>
      <c r="S207" s="220"/>
      <c r="T207" s="260"/>
      <c r="U207" s="260"/>
      <c r="V207" s="663"/>
      <c r="W207" s="663"/>
      <c r="X207" s="268"/>
      <c r="Y207" s="233"/>
      <c r="Z207" s="233"/>
      <c r="AA207" s="233"/>
      <c r="AB207" s="233"/>
      <c r="AC207" s="233"/>
    </row>
    <row r="208" spans="1:29" ht="12.75" customHeight="1">
      <c r="A208" s="233"/>
      <c r="B208" s="220">
        <v>166</v>
      </c>
      <c r="C208" s="203" t="s">
        <v>893</v>
      </c>
      <c r="D208" s="265" t="s">
        <v>1036</v>
      </c>
      <c r="E208" s="266">
        <v>2010</v>
      </c>
      <c r="F208" s="266">
        <v>2015</v>
      </c>
      <c r="G208" s="251">
        <f t="shared" si="0"/>
        <v>0.47</v>
      </c>
      <c r="H208" s="220"/>
      <c r="I208" s="220"/>
      <c r="J208" s="216"/>
      <c r="K208" s="220"/>
      <c r="L208" s="220">
        <v>5</v>
      </c>
      <c r="M208" s="259">
        <v>0.47</v>
      </c>
      <c r="N208" s="220"/>
      <c r="O208" s="220"/>
      <c r="P208" s="220"/>
      <c r="Q208" s="220"/>
      <c r="R208" s="220"/>
      <c r="S208" s="220"/>
      <c r="T208" s="260"/>
      <c r="U208" s="260"/>
      <c r="V208" s="663"/>
      <c r="W208" s="663"/>
      <c r="X208" s="268"/>
      <c r="Y208" s="233"/>
      <c r="Z208" s="233"/>
      <c r="AA208" s="233"/>
      <c r="AB208" s="233"/>
      <c r="AC208" s="233"/>
    </row>
    <row r="209" spans="1:29" ht="12.75" customHeight="1">
      <c r="A209" s="233"/>
      <c r="B209" s="220">
        <v>167</v>
      </c>
      <c r="C209" s="203" t="s">
        <v>893</v>
      </c>
      <c r="D209" s="265" t="s">
        <v>1037</v>
      </c>
      <c r="E209" s="266">
        <v>2017</v>
      </c>
      <c r="F209" s="266"/>
      <c r="G209" s="251">
        <f t="shared" si="0"/>
        <v>0.8</v>
      </c>
      <c r="H209" s="220"/>
      <c r="I209" s="220"/>
      <c r="J209" s="216">
        <v>22</v>
      </c>
      <c r="K209" s="220">
        <v>0.8</v>
      </c>
      <c r="L209" s="220"/>
      <c r="M209" s="259"/>
      <c r="N209" s="220"/>
      <c r="O209" s="220"/>
      <c r="P209" s="220"/>
      <c r="Q209" s="220"/>
      <c r="R209" s="220"/>
      <c r="S209" s="220"/>
      <c r="T209" s="260"/>
      <c r="U209" s="260"/>
      <c r="V209" s="663"/>
      <c r="W209" s="663"/>
      <c r="X209" s="268"/>
      <c r="Y209" s="233"/>
      <c r="Z209" s="233"/>
      <c r="AA209" s="233"/>
      <c r="AB209" s="233"/>
      <c r="AC209" s="233"/>
    </row>
    <row r="210" spans="1:29" ht="12.75" customHeight="1">
      <c r="A210" s="233"/>
      <c r="B210" s="220">
        <v>168</v>
      </c>
      <c r="C210" s="203" t="s">
        <v>893</v>
      </c>
      <c r="D210" s="265" t="s">
        <v>1038</v>
      </c>
      <c r="E210" s="266">
        <v>2017</v>
      </c>
      <c r="F210" s="266"/>
      <c r="G210" s="251">
        <f t="shared" si="0"/>
        <v>0.38</v>
      </c>
      <c r="H210" s="220"/>
      <c r="I210" s="220"/>
      <c r="J210" s="216">
        <v>14</v>
      </c>
      <c r="K210" s="220">
        <v>0.38</v>
      </c>
      <c r="L210" s="220"/>
      <c r="M210" s="259"/>
      <c r="N210" s="220"/>
      <c r="O210" s="220"/>
      <c r="P210" s="220"/>
      <c r="Q210" s="220"/>
      <c r="R210" s="220"/>
      <c r="S210" s="220"/>
      <c r="T210" s="260"/>
      <c r="U210" s="260"/>
      <c r="V210" s="663"/>
      <c r="W210" s="663"/>
      <c r="X210" s="268"/>
      <c r="Y210" s="233"/>
      <c r="Z210" s="233"/>
      <c r="AA210" s="233"/>
      <c r="AB210" s="233"/>
      <c r="AC210" s="233"/>
    </row>
    <row r="211" spans="1:29" ht="12.75" customHeight="1">
      <c r="A211" s="233"/>
      <c r="B211" s="220">
        <v>169</v>
      </c>
      <c r="C211" s="203" t="s">
        <v>893</v>
      </c>
      <c r="D211" s="265" t="s">
        <v>1039</v>
      </c>
      <c r="E211" s="266">
        <v>2017</v>
      </c>
      <c r="F211" s="266"/>
      <c r="G211" s="251">
        <f t="shared" si="0"/>
        <v>0.13</v>
      </c>
      <c r="H211" s="220"/>
      <c r="I211" s="220"/>
      <c r="J211" s="216">
        <v>4</v>
      </c>
      <c r="K211" s="220">
        <v>0.13</v>
      </c>
      <c r="L211" s="220"/>
      <c r="M211" s="259"/>
      <c r="N211" s="220"/>
      <c r="O211" s="220"/>
      <c r="P211" s="220"/>
      <c r="Q211" s="220"/>
      <c r="R211" s="220"/>
      <c r="S211" s="220"/>
      <c r="T211" s="260"/>
      <c r="U211" s="260"/>
      <c r="V211" s="663"/>
      <c r="W211" s="663"/>
      <c r="X211" s="268"/>
      <c r="Y211" s="233"/>
      <c r="Z211" s="233"/>
      <c r="AA211" s="233"/>
      <c r="AB211" s="233"/>
      <c r="AC211" s="233"/>
    </row>
    <row r="212" spans="1:29" ht="12.75" customHeight="1">
      <c r="A212" s="233"/>
      <c r="B212" s="220">
        <v>170</v>
      </c>
      <c r="C212" s="203" t="s">
        <v>893</v>
      </c>
      <c r="D212" s="265" t="s">
        <v>944</v>
      </c>
      <c r="E212" s="266">
        <v>2017</v>
      </c>
      <c r="F212" s="266"/>
      <c r="G212" s="251">
        <f t="shared" si="0"/>
        <v>0.08</v>
      </c>
      <c r="H212" s="220"/>
      <c r="I212" s="220"/>
      <c r="J212" s="216">
        <v>5</v>
      </c>
      <c r="K212" s="220">
        <v>0.08</v>
      </c>
      <c r="L212" s="220"/>
      <c r="M212" s="259"/>
      <c r="N212" s="220"/>
      <c r="O212" s="220"/>
      <c r="P212" s="220"/>
      <c r="Q212" s="220"/>
      <c r="R212" s="220"/>
      <c r="S212" s="220"/>
      <c r="T212" s="260"/>
      <c r="U212" s="260"/>
      <c r="V212" s="663"/>
      <c r="W212" s="663"/>
      <c r="X212" s="268"/>
      <c r="Y212" s="233"/>
      <c r="Z212" s="233"/>
      <c r="AA212" s="233"/>
      <c r="AB212" s="233"/>
      <c r="AC212" s="233"/>
    </row>
    <row r="213" spans="1:29" ht="12.75" customHeight="1">
      <c r="A213" s="233"/>
      <c r="B213" s="220">
        <v>171</v>
      </c>
      <c r="C213" s="203" t="s">
        <v>893</v>
      </c>
      <c r="D213" s="265" t="s">
        <v>1040</v>
      </c>
      <c r="E213" s="266">
        <v>2017</v>
      </c>
      <c r="F213" s="266"/>
      <c r="G213" s="251">
        <f t="shared" si="0"/>
        <v>0.38</v>
      </c>
      <c r="H213" s="220"/>
      <c r="I213" s="220"/>
      <c r="J213" s="216"/>
      <c r="K213" s="220"/>
      <c r="L213" s="220"/>
      <c r="M213" s="259"/>
      <c r="N213" s="220">
        <v>2</v>
      </c>
      <c r="O213" s="220">
        <v>0.38</v>
      </c>
      <c r="P213" s="220"/>
      <c r="Q213" s="220"/>
      <c r="R213" s="220"/>
      <c r="S213" s="220"/>
      <c r="T213" s="260"/>
      <c r="U213" s="260"/>
      <c r="V213" s="663"/>
      <c r="W213" s="663"/>
      <c r="X213" s="268"/>
      <c r="Y213" s="233"/>
      <c r="Z213" s="233"/>
      <c r="AA213" s="233"/>
      <c r="AB213" s="233"/>
      <c r="AC213" s="233"/>
    </row>
    <row r="214" spans="1:29" ht="12.75" customHeight="1">
      <c r="A214" s="233"/>
      <c r="B214" s="220">
        <v>172</v>
      </c>
      <c r="C214" s="203" t="s">
        <v>893</v>
      </c>
      <c r="D214" s="265" t="s">
        <v>1040</v>
      </c>
      <c r="E214" s="266">
        <v>2017</v>
      </c>
      <c r="F214" s="266"/>
      <c r="G214" s="251">
        <f t="shared" si="0"/>
        <v>0.38</v>
      </c>
      <c r="H214" s="220"/>
      <c r="I214" s="220"/>
      <c r="J214" s="216"/>
      <c r="K214" s="220"/>
      <c r="L214" s="220"/>
      <c r="M214" s="259"/>
      <c r="N214" s="220">
        <v>18</v>
      </c>
      <c r="O214" s="220">
        <v>0.38</v>
      </c>
      <c r="P214" s="220"/>
      <c r="Q214" s="220"/>
      <c r="R214" s="220"/>
      <c r="S214" s="220"/>
      <c r="T214" s="260"/>
      <c r="U214" s="260"/>
      <c r="V214" s="663"/>
      <c r="W214" s="663"/>
      <c r="X214" s="268"/>
      <c r="Y214" s="233"/>
      <c r="Z214" s="233"/>
      <c r="AA214" s="233"/>
      <c r="AB214" s="233"/>
      <c r="AC214" s="233"/>
    </row>
    <row r="215" spans="1:29" ht="12.75" customHeight="1">
      <c r="A215" s="233"/>
      <c r="B215" s="220">
        <v>173</v>
      </c>
      <c r="C215" s="203" t="s">
        <v>893</v>
      </c>
      <c r="D215" s="265" t="s">
        <v>1041</v>
      </c>
      <c r="E215" s="266">
        <v>2015</v>
      </c>
      <c r="F215" s="266">
        <v>2016</v>
      </c>
      <c r="G215" s="251">
        <f t="shared" si="0"/>
        <v>0.3</v>
      </c>
      <c r="H215" s="220"/>
      <c r="I215" s="220"/>
      <c r="J215" s="216"/>
      <c r="K215" s="220"/>
      <c r="L215" s="220">
        <v>6</v>
      </c>
      <c r="M215" s="259">
        <v>0.3</v>
      </c>
      <c r="N215" s="220"/>
      <c r="O215" s="220"/>
      <c r="P215" s="220"/>
      <c r="Q215" s="220"/>
      <c r="R215" s="220"/>
      <c r="S215" s="220"/>
      <c r="T215" s="260"/>
      <c r="U215" s="260"/>
      <c r="V215" s="663"/>
      <c r="W215" s="663"/>
      <c r="X215" s="268"/>
      <c r="Y215" s="233"/>
      <c r="Z215" s="233"/>
      <c r="AA215" s="233"/>
      <c r="AB215" s="233"/>
      <c r="AC215" s="233"/>
    </row>
    <row r="216" spans="1:29" ht="12.75" customHeight="1">
      <c r="A216" s="233"/>
      <c r="B216" s="220">
        <v>174</v>
      </c>
      <c r="C216" s="203" t="s">
        <v>893</v>
      </c>
      <c r="D216" s="265" t="s">
        <v>1040</v>
      </c>
      <c r="E216" s="266">
        <v>2017</v>
      </c>
      <c r="F216" s="266"/>
      <c r="G216" s="251">
        <f t="shared" si="0"/>
        <v>0.4</v>
      </c>
      <c r="H216" s="220">
        <v>2</v>
      </c>
      <c r="I216" s="220">
        <v>0.4</v>
      </c>
      <c r="J216" s="216"/>
      <c r="K216" s="220"/>
      <c r="L216" s="220"/>
      <c r="M216" s="259"/>
      <c r="N216" s="220"/>
      <c r="O216" s="220"/>
      <c r="P216" s="220"/>
      <c r="Q216" s="220"/>
      <c r="R216" s="220"/>
      <c r="S216" s="220"/>
      <c r="T216" s="260"/>
      <c r="U216" s="260"/>
      <c r="V216" s="663"/>
      <c r="W216" s="663"/>
      <c r="X216" s="268"/>
      <c r="Y216" s="233"/>
      <c r="Z216" s="233"/>
      <c r="AA216" s="233"/>
      <c r="AB216" s="233"/>
      <c r="AC216" s="233"/>
    </row>
    <row r="217" spans="1:29" ht="12.75" customHeight="1">
      <c r="A217" s="233"/>
      <c r="B217" s="220">
        <v>175</v>
      </c>
      <c r="C217" s="203" t="s">
        <v>896</v>
      </c>
      <c r="D217" s="265" t="s">
        <v>830</v>
      </c>
      <c r="E217" s="266">
        <v>2017</v>
      </c>
      <c r="F217" s="266"/>
      <c r="G217" s="251">
        <f t="shared" si="0"/>
        <v>0.2</v>
      </c>
      <c r="H217" s="220">
        <v>1</v>
      </c>
      <c r="I217" s="220">
        <v>0.2</v>
      </c>
      <c r="J217" s="216">
        <v>9</v>
      </c>
      <c r="K217" s="220"/>
      <c r="L217" s="220"/>
      <c r="M217" s="259"/>
      <c r="N217" s="220"/>
      <c r="O217" s="220"/>
      <c r="P217" s="220"/>
      <c r="Q217" s="220"/>
      <c r="R217" s="220"/>
      <c r="S217" s="220"/>
      <c r="T217" s="260"/>
      <c r="U217" s="260"/>
      <c r="V217" s="663"/>
      <c r="W217" s="663"/>
      <c r="X217" s="268"/>
      <c r="Y217" s="233"/>
      <c r="Z217" s="233"/>
      <c r="AA217" s="233"/>
      <c r="AB217" s="233"/>
      <c r="AC217" s="233"/>
    </row>
    <row r="218" spans="1:29" ht="12.75" customHeight="1">
      <c r="A218" s="233"/>
      <c r="B218" s="220">
        <v>176</v>
      </c>
      <c r="C218" s="203" t="s">
        <v>896</v>
      </c>
      <c r="D218" s="265" t="s">
        <v>830</v>
      </c>
      <c r="E218" s="266">
        <v>2017</v>
      </c>
      <c r="F218" s="266"/>
      <c r="G218" s="251">
        <f t="shared" si="0"/>
        <v>0.8</v>
      </c>
      <c r="H218" s="220">
        <v>3</v>
      </c>
      <c r="I218" s="220">
        <v>0.8</v>
      </c>
      <c r="J218" s="216">
        <v>21</v>
      </c>
      <c r="K218" s="220"/>
      <c r="L218" s="220"/>
      <c r="M218" s="259"/>
      <c r="N218" s="220"/>
      <c r="O218" s="220"/>
      <c r="P218" s="220"/>
      <c r="Q218" s="220"/>
      <c r="R218" s="220"/>
      <c r="S218" s="220"/>
      <c r="T218" s="260"/>
      <c r="U218" s="260"/>
      <c r="V218" s="663"/>
      <c r="W218" s="663"/>
      <c r="X218" s="268"/>
      <c r="Y218" s="233"/>
      <c r="Z218" s="233"/>
      <c r="AA218" s="233"/>
      <c r="AB218" s="233"/>
      <c r="AC218" s="233"/>
    </row>
    <row r="219" spans="1:29" ht="12.75" customHeight="1">
      <c r="A219" s="233"/>
      <c r="B219" s="220">
        <v>177</v>
      </c>
      <c r="C219" s="203" t="s">
        <v>896</v>
      </c>
      <c r="D219" s="265" t="s">
        <v>1042</v>
      </c>
      <c r="E219" s="266">
        <v>2016</v>
      </c>
      <c r="F219" s="266">
        <v>2017</v>
      </c>
      <c r="G219" s="251">
        <f t="shared" si="0"/>
        <v>0.28000000000000003</v>
      </c>
      <c r="H219" s="220"/>
      <c r="I219" s="220"/>
      <c r="J219" s="216">
        <v>10</v>
      </c>
      <c r="K219" s="220">
        <v>0.28000000000000003</v>
      </c>
      <c r="L219" s="220"/>
      <c r="M219" s="259"/>
      <c r="N219" s="220"/>
      <c r="O219" s="220"/>
      <c r="P219" s="220"/>
      <c r="Q219" s="220"/>
      <c r="R219" s="220"/>
      <c r="S219" s="220"/>
      <c r="T219" s="260"/>
      <c r="U219" s="260"/>
      <c r="V219" s="663"/>
      <c r="W219" s="663"/>
      <c r="X219" s="268"/>
      <c r="Y219" s="233"/>
      <c r="Z219" s="233"/>
      <c r="AA219" s="233"/>
      <c r="AB219" s="233"/>
      <c r="AC219" s="233"/>
    </row>
    <row r="220" spans="1:29" ht="12.75" customHeight="1">
      <c r="A220" s="233"/>
      <c r="B220" s="220">
        <v>178</v>
      </c>
      <c r="C220" s="203" t="s">
        <v>896</v>
      </c>
      <c r="D220" s="265" t="s">
        <v>830</v>
      </c>
      <c r="E220" s="266">
        <v>2016</v>
      </c>
      <c r="F220" s="266"/>
      <c r="G220" s="251">
        <f t="shared" si="0"/>
        <v>0.8</v>
      </c>
      <c r="H220" s="220">
        <v>4</v>
      </c>
      <c r="I220" s="220">
        <v>0.8</v>
      </c>
      <c r="J220" s="216">
        <v>30</v>
      </c>
      <c r="K220" s="220"/>
      <c r="L220" s="220"/>
      <c r="M220" s="259"/>
      <c r="N220" s="220"/>
      <c r="O220" s="220"/>
      <c r="P220" s="220"/>
      <c r="Q220" s="220"/>
      <c r="R220" s="220"/>
      <c r="S220" s="220"/>
      <c r="T220" s="260"/>
      <c r="U220" s="260"/>
      <c r="V220" s="663"/>
      <c r="W220" s="663"/>
      <c r="X220" s="268"/>
      <c r="Y220" s="233"/>
      <c r="Z220" s="233"/>
      <c r="AA220" s="233"/>
      <c r="AB220" s="233"/>
      <c r="AC220" s="233"/>
    </row>
    <row r="221" spans="1:29" ht="12.75" customHeight="1">
      <c r="A221" s="233"/>
      <c r="B221" s="220">
        <v>179</v>
      </c>
      <c r="C221" s="203" t="s">
        <v>896</v>
      </c>
      <c r="D221" s="265" t="s">
        <v>830</v>
      </c>
      <c r="E221" s="266">
        <v>2016</v>
      </c>
      <c r="F221" s="266"/>
      <c r="G221" s="251">
        <f t="shared" si="0"/>
        <v>0.6</v>
      </c>
      <c r="H221" s="220">
        <v>3</v>
      </c>
      <c r="I221" s="220">
        <v>0.6</v>
      </c>
      <c r="J221" s="216">
        <v>20</v>
      </c>
      <c r="K221" s="220"/>
      <c r="L221" s="220"/>
      <c r="M221" s="259"/>
      <c r="N221" s="220"/>
      <c r="O221" s="220"/>
      <c r="P221" s="220"/>
      <c r="Q221" s="220"/>
      <c r="R221" s="220"/>
      <c r="S221" s="220"/>
      <c r="T221" s="260"/>
      <c r="U221" s="260"/>
      <c r="V221" s="663"/>
      <c r="W221" s="663"/>
      <c r="X221" s="268"/>
      <c r="Y221" s="233"/>
      <c r="Z221" s="233"/>
      <c r="AA221" s="233"/>
      <c r="AB221" s="233"/>
      <c r="AC221" s="233"/>
    </row>
    <row r="222" spans="1:29" ht="12.75" customHeight="1">
      <c r="A222" s="233"/>
      <c r="B222" s="220">
        <v>180</v>
      </c>
      <c r="C222" s="203" t="s">
        <v>896</v>
      </c>
      <c r="D222" s="265" t="s">
        <v>1043</v>
      </c>
      <c r="E222" s="266">
        <v>2015</v>
      </c>
      <c r="F222" s="266"/>
      <c r="G222" s="251">
        <f t="shared" si="0"/>
        <v>0.8</v>
      </c>
      <c r="H222" s="220">
        <v>4</v>
      </c>
      <c r="I222" s="220">
        <v>0.8</v>
      </c>
      <c r="J222" s="216">
        <v>55</v>
      </c>
      <c r="K222" s="220"/>
      <c r="L222" s="220"/>
      <c r="M222" s="259"/>
      <c r="N222" s="220"/>
      <c r="O222" s="220"/>
      <c r="P222" s="220"/>
      <c r="Q222" s="220"/>
      <c r="R222" s="220"/>
      <c r="S222" s="220"/>
      <c r="T222" s="260"/>
      <c r="U222" s="260"/>
      <c r="V222" s="663"/>
      <c r="W222" s="663"/>
      <c r="X222" s="268"/>
      <c r="Y222" s="233"/>
      <c r="Z222" s="233"/>
      <c r="AA222" s="233"/>
      <c r="AB222" s="233"/>
      <c r="AC222" s="233"/>
    </row>
    <row r="223" spans="1:29" ht="12.75" customHeight="1">
      <c r="A223" s="233"/>
      <c r="B223" s="220">
        <v>181</v>
      </c>
      <c r="C223" s="203" t="s">
        <v>1044</v>
      </c>
      <c r="D223" s="265" t="s">
        <v>1045</v>
      </c>
      <c r="E223" s="266">
        <v>2016</v>
      </c>
      <c r="F223" s="266">
        <v>2017</v>
      </c>
      <c r="G223" s="251">
        <f t="shared" si="0"/>
        <v>0.43</v>
      </c>
      <c r="H223" s="220"/>
      <c r="I223" s="220"/>
      <c r="J223" s="216"/>
      <c r="K223" s="220"/>
      <c r="L223" s="220">
        <v>5</v>
      </c>
      <c r="M223" s="259">
        <v>0.43</v>
      </c>
      <c r="N223" s="220"/>
      <c r="O223" s="220"/>
      <c r="P223" s="220"/>
      <c r="Q223" s="220"/>
      <c r="R223" s="220"/>
      <c r="S223" s="220"/>
      <c r="T223" s="260"/>
      <c r="U223" s="260"/>
      <c r="V223" s="663"/>
      <c r="W223" s="663"/>
      <c r="X223" s="268"/>
      <c r="Y223" s="233"/>
      <c r="Z223" s="233"/>
      <c r="AA223" s="233"/>
      <c r="AB223" s="233"/>
      <c r="AC223" s="233"/>
    </row>
    <row r="224" spans="1:29" ht="12.75" customHeight="1">
      <c r="A224" s="233"/>
      <c r="B224" s="220">
        <v>182</v>
      </c>
      <c r="C224" s="203" t="s">
        <v>1044</v>
      </c>
      <c r="D224" s="265" t="s">
        <v>1046</v>
      </c>
      <c r="E224" s="266">
        <v>2015</v>
      </c>
      <c r="F224" s="266"/>
      <c r="G224" s="251">
        <f t="shared" si="0"/>
        <v>0.38</v>
      </c>
      <c r="H224" s="220"/>
      <c r="I224" s="220"/>
      <c r="J224" s="216"/>
      <c r="K224" s="220"/>
      <c r="L224" s="220">
        <v>5</v>
      </c>
      <c r="M224" s="259">
        <v>0.38</v>
      </c>
      <c r="N224" s="220"/>
      <c r="O224" s="220"/>
      <c r="P224" s="220"/>
      <c r="Q224" s="220"/>
      <c r="R224" s="220"/>
      <c r="S224" s="220"/>
      <c r="T224" s="260"/>
      <c r="U224" s="260"/>
      <c r="V224" s="663"/>
      <c r="W224" s="663"/>
      <c r="X224" s="268"/>
      <c r="Y224" s="233"/>
      <c r="Z224" s="233"/>
      <c r="AA224" s="233"/>
      <c r="AB224" s="233"/>
      <c r="AC224" s="233"/>
    </row>
    <row r="225" spans="1:29" ht="12.75" customHeight="1">
      <c r="A225" s="233"/>
      <c r="B225" s="220">
        <v>183</v>
      </c>
      <c r="C225" s="203" t="s">
        <v>1044</v>
      </c>
      <c r="D225" s="265" t="s">
        <v>1047</v>
      </c>
      <c r="E225" s="266">
        <v>2016</v>
      </c>
      <c r="F225" s="266">
        <v>2017</v>
      </c>
      <c r="G225" s="251">
        <f t="shared" si="0"/>
        <v>0.32</v>
      </c>
      <c r="H225" s="220"/>
      <c r="I225" s="220"/>
      <c r="J225" s="216">
        <v>13</v>
      </c>
      <c r="K225" s="220">
        <v>0.32</v>
      </c>
      <c r="L225" s="220"/>
      <c r="M225" s="259"/>
      <c r="N225" s="220"/>
      <c r="O225" s="220"/>
      <c r="P225" s="220"/>
      <c r="Q225" s="220"/>
      <c r="R225" s="220"/>
      <c r="S225" s="220"/>
      <c r="T225" s="260"/>
      <c r="U225" s="260"/>
      <c r="V225" s="663"/>
      <c r="W225" s="663"/>
      <c r="X225" s="268"/>
      <c r="Y225" s="233"/>
      <c r="Z225" s="233"/>
      <c r="AA225" s="233"/>
      <c r="AB225" s="233"/>
      <c r="AC225" s="233"/>
    </row>
    <row r="226" spans="1:29" ht="12.75" customHeight="1">
      <c r="A226" s="233"/>
      <c r="B226" s="220">
        <v>184</v>
      </c>
      <c r="C226" s="203" t="s">
        <v>1044</v>
      </c>
      <c r="D226" s="265" t="s">
        <v>1048</v>
      </c>
      <c r="E226" s="266">
        <v>2015</v>
      </c>
      <c r="F226" s="266"/>
      <c r="G226" s="251">
        <f t="shared" si="0"/>
        <v>0.27</v>
      </c>
      <c r="H226" s="220"/>
      <c r="I226" s="220"/>
      <c r="J226" s="216"/>
      <c r="K226" s="220"/>
      <c r="L226" s="220">
        <v>3</v>
      </c>
      <c r="M226" s="259">
        <v>0.27</v>
      </c>
      <c r="N226" s="220"/>
      <c r="O226" s="220"/>
      <c r="P226" s="220"/>
      <c r="Q226" s="220"/>
      <c r="R226" s="220"/>
      <c r="S226" s="220"/>
      <c r="T226" s="260"/>
      <c r="U226" s="260"/>
      <c r="V226" s="663"/>
      <c r="W226" s="663"/>
      <c r="X226" s="268"/>
      <c r="Y226" s="233"/>
      <c r="Z226" s="233"/>
      <c r="AA226" s="233"/>
      <c r="AB226" s="233"/>
      <c r="AC226" s="233"/>
    </row>
    <row r="227" spans="1:29" ht="12.75" customHeight="1">
      <c r="A227" s="233"/>
      <c r="B227" s="220">
        <v>185</v>
      </c>
      <c r="C227" s="203" t="s">
        <v>1044</v>
      </c>
      <c r="D227" s="265" t="s">
        <v>944</v>
      </c>
      <c r="E227" s="266">
        <v>2015</v>
      </c>
      <c r="F227" s="266">
        <v>2015</v>
      </c>
      <c r="G227" s="251">
        <f t="shared" si="0"/>
        <v>0.15</v>
      </c>
      <c r="H227" s="220"/>
      <c r="I227" s="220"/>
      <c r="J227" s="216">
        <v>16</v>
      </c>
      <c r="K227" s="220">
        <v>0.15</v>
      </c>
      <c r="L227" s="220"/>
      <c r="M227" s="259"/>
      <c r="N227" s="220"/>
      <c r="O227" s="220"/>
      <c r="P227" s="220"/>
      <c r="Q227" s="220"/>
      <c r="R227" s="220"/>
      <c r="S227" s="220"/>
      <c r="T227" s="260"/>
      <c r="U227" s="260"/>
      <c r="V227" s="663"/>
      <c r="W227" s="663"/>
      <c r="X227" s="268"/>
      <c r="Y227" s="233"/>
      <c r="Z227" s="233"/>
      <c r="AA227" s="233"/>
      <c r="AB227" s="233"/>
      <c r="AC227" s="233"/>
    </row>
    <row r="228" spans="1:29" ht="12.75" customHeight="1">
      <c r="A228" s="233"/>
      <c r="B228" s="220">
        <v>186</v>
      </c>
      <c r="C228" s="211" t="s">
        <v>897</v>
      </c>
      <c r="D228" s="265" t="s">
        <v>1049</v>
      </c>
      <c r="E228" s="266">
        <v>2017</v>
      </c>
      <c r="F228" s="266"/>
      <c r="G228" s="251">
        <f t="shared" si="0"/>
        <v>0.38</v>
      </c>
      <c r="H228" s="220"/>
      <c r="I228" s="220"/>
      <c r="J228" s="216">
        <v>22</v>
      </c>
      <c r="K228" s="220">
        <v>0.38</v>
      </c>
      <c r="L228" s="220"/>
      <c r="M228" s="259"/>
      <c r="N228" s="220"/>
      <c r="O228" s="220"/>
      <c r="P228" s="220"/>
      <c r="Q228" s="220"/>
      <c r="R228" s="220"/>
      <c r="S228" s="220"/>
      <c r="T228" s="260"/>
      <c r="U228" s="260"/>
      <c r="V228" s="663"/>
      <c r="W228" s="663"/>
      <c r="X228" s="268"/>
      <c r="Y228" s="233"/>
      <c r="Z228" s="233"/>
      <c r="AA228" s="233"/>
      <c r="AB228" s="233"/>
      <c r="AC228" s="233"/>
    </row>
    <row r="229" spans="1:29" ht="12.75" customHeight="1">
      <c r="A229" s="233"/>
      <c r="B229" s="220">
        <v>187</v>
      </c>
      <c r="C229" s="211" t="s">
        <v>897</v>
      </c>
      <c r="D229" s="265" t="s">
        <v>1050</v>
      </c>
      <c r="E229" s="266">
        <v>2017</v>
      </c>
      <c r="F229" s="266"/>
      <c r="G229" s="251">
        <f t="shared" si="0"/>
        <v>0.38</v>
      </c>
      <c r="H229" s="220"/>
      <c r="I229" s="220"/>
      <c r="J229" s="216">
        <v>17</v>
      </c>
      <c r="K229" s="220">
        <v>0.38</v>
      </c>
      <c r="L229" s="220"/>
      <c r="M229" s="259"/>
      <c r="N229" s="220"/>
      <c r="O229" s="220"/>
      <c r="P229" s="220"/>
      <c r="Q229" s="220"/>
      <c r="R229" s="220"/>
      <c r="S229" s="220"/>
      <c r="T229" s="260"/>
      <c r="U229" s="260"/>
      <c r="V229" s="663"/>
      <c r="W229" s="663"/>
      <c r="X229" s="268"/>
      <c r="Y229" s="233"/>
      <c r="Z229" s="233"/>
      <c r="AA229" s="233"/>
      <c r="AB229" s="233"/>
      <c r="AC229" s="233"/>
    </row>
    <row r="230" spans="1:29" ht="12.75" customHeight="1">
      <c r="A230" s="233"/>
      <c r="B230" s="220">
        <v>188</v>
      </c>
      <c r="C230" s="211" t="s">
        <v>897</v>
      </c>
      <c r="D230" s="265" t="s">
        <v>944</v>
      </c>
      <c r="E230" s="266">
        <v>2017</v>
      </c>
      <c r="F230" s="266"/>
      <c r="G230" s="251">
        <f t="shared" si="0"/>
        <v>0.32</v>
      </c>
      <c r="H230" s="220"/>
      <c r="I230" s="220"/>
      <c r="J230" s="216">
        <v>13</v>
      </c>
      <c r="K230" s="220">
        <v>0.32</v>
      </c>
      <c r="L230" s="220"/>
      <c r="M230" s="259"/>
      <c r="N230" s="220"/>
      <c r="O230" s="220"/>
      <c r="P230" s="220"/>
      <c r="Q230" s="220"/>
      <c r="R230" s="220"/>
      <c r="S230" s="220"/>
      <c r="T230" s="260"/>
      <c r="U230" s="260"/>
      <c r="V230" s="663"/>
      <c r="W230" s="663"/>
      <c r="X230" s="268"/>
      <c r="Y230" s="233"/>
      <c r="Z230" s="233"/>
      <c r="AA230" s="233"/>
      <c r="AB230" s="233"/>
      <c r="AC230" s="233"/>
    </row>
    <row r="231" spans="1:29" ht="12.75" customHeight="1">
      <c r="A231" s="233"/>
      <c r="B231" s="220">
        <v>189</v>
      </c>
      <c r="C231" s="211" t="s">
        <v>897</v>
      </c>
      <c r="D231" s="265" t="s">
        <v>1051</v>
      </c>
      <c r="E231" s="266">
        <v>2016</v>
      </c>
      <c r="F231" s="266">
        <v>2017</v>
      </c>
      <c r="G231" s="251">
        <f t="shared" si="0"/>
        <v>0.1</v>
      </c>
      <c r="H231" s="220"/>
      <c r="I231" s="220"/>
      <c r="J231" s="216">
        <v>5</v>
      </c>
      <c r="K231" s="220">
        <v>0.1</v>
      </c>
      <c r="L231" s="220"/>
      <c r="M231" s="259"/>
      <c r="N231" s="220"/>
      <c r="O231" s="220"/>
      <c r="P231" s="220"/>
      <c r="Q231" s="220"/>
      <c r="R231" s="220"/>
      <c r="S231" s="220"/>
      <c r="T231" s="260"/>
      <c r="U231" s="260"/>
      <c r="V231" s="663"/>
      <c r="W231" s="663"/>
      <c r="X231" s="268"/>
      <c r="Y231" s="233"/>
      <c r="Z231" s="233"/>
      <c r="AA231" s="233"/>
      <c r="AB231" s="233"/>
      <c r="AC231" s="233"/>
    </row>
    <row r="232" spans="1:29" ht="12.75" customHeight="1">
      <c r="A232" s="233"/>
      <c r="B232" s="220">
        <v>190</v>
      </c>
      <c r="C232" s="211" t="s">
        <v>897</v>
      </c>
      <c r="D232" s="211" t="s">
        <v>1052</v>
      </c>
      <c r="E232" s="266">
        <v>2016</v>
      </c>
      <c r="F232" s="266">
        <v>2017</v>
      </c>
      <c r="G232" s="251">
        <f t="shared" si="0"/>
        <v>0.14000000000000001</v>
      </c>
      <c r="H232" s="220"/>
      <c r="I232" s="220"/>
      <c r="J232" s="216">
        <v>9</v>
      </c>
      <c r="K232" s="220">
        <v>0.14000000000000001</v>
      </c>
      <c r="L232" s="220"/>
      <c r="M232" s="259"/>
      <c r="N232" s="220"/>
      <c r="O232" s="220"/>
      <c r="P232" s="220"/>
      <c r="Q232" s="220"/>
      <c r="R232" s="220"/>
      <c r="S232" s="220"/>
      <c r="T232" s="260"/>
      <c r="U232" s="260"/>
      <c r="V232" s="663"/>
      <c r="W232" s="663"/>
      <c r="X232" s="268"/>
      <c r="Y232" s="233"/>
      <c r="Z232" s="233"/>
      <c r="AA232" s="233"/>
      <c r="AB232" s="233"/>
      <c r="AC232" s="233"/>
    </row>
    <row r="233" spans="1:29" ht="12.75" customHeight="1">
      <c r="A233" s="233"/>
      <c r="B233" s="220">
        <v>191</v>
      </c>
      <c r="C233" s="211" t="s">
        <v>897</v>
      </c>
      <c r="D233" s="265" t="s">
        <v>944</v>
      </c>
      <c r="E233" s="266">
        <v>2016</v>
      </c>
      <c r="F233" s="266"/>
      <c r="G233" s="251">
        <f t="shared" si="0"/>
        <v>0.14000000000000001</v>
      </c>
      <c r="H233" s="220"/>
      <c r="I233" s="220"/>
      <c r="J233" s="216">
        <v>7</v>
      </c>
      <c r="K233" s="220">
        <v>0.14000000000000001</v>
      </c>
      <c r="L233" s="220"/>
      <c r="M233" s="259"/>
      <c r="N233" s="220"/>
      <c r="O233" s="220"/>
      <c r="P233" s="220"/>
      <c r="Q233" s="220"/>
      <c r="R233" s="220"/>
      <c r="S233" s="220"/>
      <c r="T233" s="260"/>
      <c r="U233" s="260"/>
      <c r="V233" s="663"/>
      <c r="W233" s="663"/>
      <c r="X233" s="268"/>
      <c r="Y233" s="233"/>
      <c r="Z233" s="233"/>
      <c r="AA233" s="233"/>
      <c r="AB233" s="233"/>
      <c r="AC233" s="233"/>
    </row>
    <row r="234" spans="1:29" ht="12.75" customHeight="1">
      <c r="A234" s="233"/>
      <c r="B234" s="220">
        <v>192</v>
      </c>
      <c r="C234" s="211" t="s">
        <v>898</v>
      </c>
      <c r="D234" s="265" t="s">
        <v>1053</v>
      </c>
      <c r="E234" s="266">
        <v>2017</v>
      </c>
      <c r="F234" s="266"/>
      <c r="G234" s="251">
        <f t="shared" si="0"/>
        <v>0.24</v>
      </c>
      <c r="H234" s="220"/>
      <c r="I234" s="220"/>
      <c r="J234" s="216">
        <v>12</v>
      </c>
      <c r="K234" s="220">
        <v>0.24</v>
      </c>
      <c r="L234" s="220"/>
      <c r="M234" s="259"/>
      <c r="N234" s="220"/>
      <c r="O234" s="220"/>
      <c r="P234" s="220"/>
      <c r="Q234" s="220"/>
      <c r="R234" s="220"/>
      <c r="S234" s="220"/>
      <c r="T234" s="260"/>
      <c r="U234" s="260"/>
      <c r="V234" s="663"/>
      <c r="W234" s="663"/>
      <c r="X234" s="268"/>
      <c r="Y234" s="233"/>
      <c r="Z234" s="233"/>
      <c r="AA234" s="233"/>
      <c r="AB234" s="233"/>
      <c r="AC234" s="233"/>
    </row>
    <row r="235" spans="1:29" ht="12.75" customHeight="1">
      <c r="A235" s="233"/>
      <c r="B235" s="220">
        <v>193</v>
      </c>
      <c r="C235" s="211" t="s">
        <v>898</v>
      </c>
      <c r="D235" s="265" t="s">
        <v>1053</v>
      </c>
      <c r="E235" s="266">
        <v>2014</v>
      </c>
      <c r="F235" s="266">
        <v>2016</v>
      </c>
      <c r="G235" s="251">
        <f t="shared" si="0"/>
        <v>0.38</v>
      </c>
      <c r="H235" s="220"/>
      <c r="I235" s="220"/>
      <c r="J235" s="216">
        <v>25</v>
      </c>
      <c r="K235" s="220">
        <v>0.38</v>
      </c>
      <c r="L235" s="220"/>
      <c r="M235" s="259"/>
      <c r="N235" s="220"/>
      <c r="O235" s="220"/>
      <c r="P235" s="220"/>
      <c r="Q235" s="220"/>
      <c r="R235" s="220"/>
      <c r="S235" s="220"/>
      <c r="T235" s="260"/>
      <c r="U235" s="260"/>
      <c r="V235" s="663"/>
      <c r="W235" s="663"/>
      <c r="X235" s="268"/>
      <c r="Y235" s="233"/>
      <c r="Z235" s="233"/>
      <c r="AA235" s="233"/>
      <c r="AB235" s="233"/>
      <c r="AC235" s="233"/>
    </row>
    <row r="236" spans="1:29" ht="12.75" customHeight="1">
      <c r="A236" s="233"/>
      <c r="B236" s="220">
        <v>194</v>
      </c>
      <c r="C236" s="211" t="s">
        <v>898</v>
      </c>
      <c r="D236" s="265" t="s">
        <v>1053</v>
      </c>
      <c r="E236" s="266">
        <v>2014</v>
      </c>
      <c r="F236" s="266">
        <v>2016</v>
      </c>
      <c r="G236" s="251">
        <f t="shared" si="0"/>
        <v>0.38</v>
      </c>
      <c r="H236" s="220"/>
      <c r="I236" s="220"/>
      <c r="J236" s="216">
        <v>26</v>
      </c>
      <c r="K236" s="220">
        <v>0.38</v>
      </c>
      <c r="L236" s="220"/>
      <c r="M236" s="259"/>
      <c r="N236" s="220"/>
      <c r="O236" s="220"/>
      <c r="P236" s="220"/>
      <c r="Q236" s="220"/>
      <c r="R236" s="220"/>
      <c r="S236" s="220"/>
      <c r="T236" s="260"/>
      <c r="U236" s="260"/>
      <c r="V236" s="663"/>
      <c r="W236" s="663"/>
      <c r="X236" s="268"/>
      <c r="Y236" s="233"/>
      <c r="Z236" s="233"/>
      <c r="AA236" s="233"/>
      <c r="AB236" s="233"/>
      <c r="AC236" s="233"/>
    </row>
    <row r="237" spans="1:29" ht="12.75" customHeight="1">
      <c r="A237" s="233"/>
      <c r="B237" s="220">
        <v>195</v>
      </c>
      <c r="C237" s="211" t="s">
        <v>898</v>
      </c>
      <c r="D237" s="265" t="s">
        <v>1053</v>
      </c>
      <c r="E237" s="266">
        <v>2016</v>
      </c>
      <c r="F237" s="266"/>
      <c r="G237" s="251">
        <f t="shared" si="0"/>
        <v>0.32</v>
      </c>
      <c r="H237" s="220"/>
      <c r="I237" s="220"/>
      <c r="J237" s="216">
        <v>24</v>
      </c>
      <c r="K237" s="220">
        <v>0.32</v>
      </c>
      <c r="L237" s="220"/>
      <c r="M237" s="259"/>
      <c r="N237" s="220"/>
      <c r="O237" s="220"/>
      <c r="P237" s="220"/>
      <c r="Q237" s="220"/>
      <c r="R237" s="220"/>
      <c r="S237" s="220"/>
      <c r="T237" s="260"/>
      <c r="U237" s="260"/>
      <c r="V237" s="663"/>
      <c r="W237" s="663"/>
      <c r="X237" s="268"/>
      <c r="Y237" s="233"/>
      <c r="Z237" s="233"/>
      <c r="AA237" s="233"/>
      <c r="AB237" s="233"/>
      <c r="AC237" s="233"/>
    </row>
    <row r="238" spans="1:29" ht="12.75" customHeight="1">
      <c r="A238" s="233"/>
      <c r="B238" s="220">
        <v>196</v>
      </c>
      <c r="C238" s="211" t="s">
        <v>898</v>
      </c>
      <c r="D238" s="265" t="s">
        <v>1053</v>
      </c>
      <c r="E238" s="266">
        <v>2017</v>
      </c>
      <c r="F238" s="266"/>
      <c r="G238" s="251">
        <f t="shared" si="0"/>
        <v>0.23</v>
      </c>
      <c r="H238" s="220"/>
      <c r="I238" s="220"/>
      <c r="J238" s="216">
        <v>9</v>
      </c>
      <c r="K238" s="220">
        <v>0.23</v>
      </c>
      <c r="L238" s="220"/>
      <c r="M238" s="259"/>
      <c r="N238" s="220"/>
      <c r="O238" s="220"/>
      <c r="P238" s="220"/>
      <c r="Q238" s="220"/>
      <c r="R238" s="220"/>
      <c r="S238" s="220"/>
      <c r="T238" s="260"/>
      <c r="U238" s="260"/>
      <c r="V238" s="663"/>
      <c r="W238" s="663"/>
      <c r="X238" s="268"/>
      <c r="Y238" s="233"/>
      <c r="Z238" s="233"/>
      <c r="AA238" s="233"/>
      <c r="AB238" s="233"/>
      <c r="AC238" s="233"/>
    </row>
    <row r="239" spans="1:29" ht="12.75" customHeight="1">
      <c r="A239" s="233"/>
      <c r="B239" s="220">
        <v>197</v>
      </c>
      <c r="C239" s="211" t="s">
        <v>898</v>
      </c>
      <c r="D239" s="265" t="s">
        <v>1053</v>
      </c>
      <c r="E239" s="266">
        <v>2017</v>
      </c>
      <c r="F239" s="266"/>
      <c r="G239" s="251">
        <f t="shared" si="0"/>
        <v>0.34</v>
      </c>
      <c r="H239" s="220"/>
      <c r="I239" s="220"/>
      <c r="J239" s="216">
        <v>12</v>
      </c>
      <c r="K239" s="220">
        <v>0.34</v>
      </c>
      <c r="L239" s="220"/>
      <c r="M239" s="259"/>
      <c r="N239" s="220"/>
      <c r="O239" s="220"/>
      <c r="P239" s="220"/>
      <c r="Q239" s="220"/>
      <c r="R239" s="220"/>
      <c r="S239" s="220"/>
      <c r="T239" s="260"/>
      <c r="U239" s="260"/>
      <c r="V239" s="663"/>
      <c r="W239" s="663"/>
      <c r="X239" s="268"/>
      <c r="Y239" s="233"/>
      <c r="Z239" s="233"/>
      <c r="AA239" s="233"/>
      <c r="AB239" s="233"/>
      <c r="AC239" s="233"/>
    </row>
    <row r="240" spans="1:29" ht="12.75" customHeight="1">
      <c r="A240" s="233"/>
      <c r="B240" s="220">
        <v>198</v>
      </c>
      <c r="C240" s="211" t="s">
        <v>898</v>
      </c>
      <c r="D240" s="265" t="s">
        <v>1053</v>
      </c>
      <c r="E240" s="266">
        <v>2017</v>
      </c>
      <c r="F240" s="266"/>
      <c r="G240" s="251">
        <f t="shared" si="0"/>
        <v>0.13</v>
      </c>
      <c r="H240" s="220"/>
      <c r="I240" s="220"/>
      <c r="J240" s="216">
        <v>5</v>
      </c>
      <c r="K240" s="220">
        <v>0.13</v>
      </c>
      <c r="L240" s="220"/>
      <c r="M240" s="259"/>
      <c r="N240" s="220"/>
      <c r="O240" s="220"/>
      <c r="P240" s="220"/>
      <c r="Q240" s="220"/>
      <c r="R240" s="220"/>
      <c r="S240" s="220"/>
      <c r="T240" s="260"/>
      <c r="U240" s="260"/>
      <c r="V240" s="663"/>
      <c r="W240" s="663"/>
      <c r="X240" s="268"/>
      <c r="Y240" s="233"/>
      <c r="Z240" s="233"/>
      <c r="AA240" s="233"/>
      <c r="AB240" s="233"/>
      <c r="AC240" s="233"/>
    </row>
    <row r="241" spans="1:29" ht="12.75" customHeight="1">
      <c r="A241" s="233"/>
      <c r="B241" s="220">
        <v>199</v>
      </c>
      <c r="C241" s="211" t="s">
        <v>898</v>
      </c>
      <c r="D241" s="265" t="s">
        <v>1053</v>
      </c>
      <c r="E241" s="266">
        <v>2017</v>
      </c>
      <c r="F241" s="266"/>
      <c r="G241" s="251">
        <f t="shared" si="0"/>
        <v>0.18</v>
      </c>
      <c r="H241" s="220"/>
      <c r="I241" s="220"/>
      <c r="J241" s="216">
        <v>7</v>
      </c>
      <c r="K241" s="220">
        <v>0.18</v>
      </c>
      <c r="L241" s="220"/>
      <c r="M241" s="259"/>
      <c r="N241" s="220"/>
      <c r="O241" s="220"/>
      <c r="P241" s="220"/>
      <c r="Q241" s="220"/>
      <c r="R241" s="220"/>
      <c r="S241" s="220"/>
      <c r="T241" s="260"/>
      <c r="U241" s="260"/>
      <c r="V241" s="663"/>
      <c r="W241" s="663"/>
      <c r="X241" s="268"/>
      <c r="Y241" s="233"/>
      <c r="Z241" s="233"/>
      <c r="AA241" s="233"/>
      <c r="AB241" s="233"/>
      <c r="AC241" s="233"/>
    </row>
    <row r="242" spans="1:29" ht="12.75" customHeight="1">
      <c r="A242" s="233"/>
      <c r="B242" s="220">
        <v>200</v>
      </c>
      <c r="C242" s="211" t="s">
        <v>898</v>
      </c>
      <c r="D242" s="265" t="s">
        <v>1053</v>
      </c>
      <c r="E242" s="266">
        <v>2017</v>
      </c>
      <c r="F242" s="266"/>
      <c r="G242" s="251">
        <f t="shared" si="0"/>
        <v>0.34</v>
      </c>
      <c r="H242" s="220"/>
      <c r="I242" s="220"/>
      <c r="J242" s="216">
        <v>12</v>
      </c>
      <c r="K242" s="220">
        <v>0.34</v>
      </c>
      <c r="L242" s="220"/>
      <c r="M242" s="259"/>
      <c r="N242" s="220"/>
      <c r="O242" s="220"/>
      <c r="P242" s="220"/>
      <c r="Q242" s="220"/>
      <c r="R242" s="220"/>
      <c r="S242" s="220"/>
      <c r="T242" s="260"/>
      <c r="U242" s="260"/>
      <c r="V242" s="663"/>
      <c r="W242" s="663"/>
      <c r="X242" s="268"/>
      <c r="Y242" s="233"/>
      <c r="Z242" s="233"/>
      <c r="AA242" s="233"/>
      <c r="AB242" s="233"/>
      <c r="AC242" s="233"/>
    </row>
    <row r="243" spans="1:29" ht="12.75" customHeight="1">
      <c r="A243" s="233"/>
      <c r="B243" s="220">
        <v>201</v>
      </c>
      <c r="C243" s="211" t="s">
        <v>898</v>
      </c>
      <c r="D243" s="265" t="s">
        <v>1053</v>
      </c>
      <c r="E243" s="266">
        <v>2017</v>
      </c>
      <c r="F243" s="266"/>
      <c r="G243" s="251">
        <f t="shared" si="0"/>
        <v>0.39</v>
      </c>
      <c r="H243" s="220"/>
      <c r="I243" s="220"/>
      <c r="J243" s="216">
        <v>15</v>
      </c>
      <c r="K243" s="220">
        <v>0.39</v>
      </c>
      <c r="L243" s="220"/>
      <c r="M243" s="259"/>
      <c r="N243" s="220"/>
      <c r="O243" s="220"/>
      <c r="P243" s="220"/>
      <c r="Q243" s="220"/>
      <c r="R243" s="220"/>
      <c r="S243" s="220"/>
      <c r="T243" s="260"/>
      <c r="U243" s="260"/>
      <c r="V243" s="663"/>
      <c r="W243" s="663"/>
      <c r="X243" s="268"/>
      <c r="Y243" s="233"/>
      <c r="Z243" s="233"/>
      <c r="AA243" s="233"/>
      <c r="AB243" s="233"/>
      <c r="AC243" s="233"/>
    </row>
    <row r="244" spans="1:29" ht="12.75" customHeight="1">
      <c r="A244" s="233"/>
      <c r="B244" s="220">
        <v>202</v>
      </c>
      <c r="C244" s="211" t="s">
        <v>898</v>
      </c>
      <c r="D244" s="265" t="s">
        <v>1053</v>
      </c>
      <c r="E244" s="266">
        <v>2017</v>
      </c>
      <c r="F244" s="266"/>
      <c r="G244" s="251">
        <f t="shared" si="0"/>
        <v>0.39</v>
      </c>
      <c r="H244" s="220"/>
      <c r="I244" s="220"/>
      <c r="J244" s="216">
        <v>13</v>
      </c>
      <c r="K244" s="220">
        <v>0.39</v>
      </c>
      <c r="L244" s="220"/>
      <c r="M244" s="259"/>
      <c r="N244" s="220"/>
      <c r="O244" s="220"/>
      <c r="P244" s="220"/>
      <c r="Q244" s="220"/>
      <c r="R244" s="220"/>
      <c r="S244" s="220"/>
      <c r="T244" s="260"/>
      <c r="U244" s="260"/>
      <c r="V244" s="663"/>
      <c r="W244" s="663"/>
      <c r="X244" s="268"/>
      <c r="Y244" s="233"/>
      <c r="Z244" s="233"/>
      <c r="AA244" s="233"/>
      <c r="AB244" s="233"/>
      <c r="AC244" s="233"/>
    </row>
    <row r="245" spans="1:29" ht="12.75" customHeight="1">
      <c r="A245" s="233"/>
      <c r="B245" s="220">
        <v>203</v>
      </c>
      <c r="C245" s="211" t="s">
        <v>898</v>
      </c>
      <c r="D245" s="265" t="s">
        <v>1053</v>
      </c>
      <c r="E245" s="266">
        <v>2017</v>
      </c>
      <c r="F245" s="266"/>
      <c r="G245" s="251">
        <f t="shared" si="0"/>
        <v>0.23</v>
      </c>
      <c r="H245" s="220"/>
      <c r="I245" s="220"/>
      <c r="J245" s="216">
        <v>7</v>
      </c>
      <c r="K245" s="220">
        <v>0.23</v>
      </c>
      <c r="L245" s="220"/>
      <c r="M245" s="259"/>
      <c r="N245" s="220"/>
      <c r="O245" s="220"/>
      <c r="P245" s="220"/>
      <c r="Q245" s="220"/>
      <c r="R245" s="220"/>
      <c r="S245" s="220"/>
      <c r="T245" s="260"/>
      <c r="U245" s="260"/>
      <c r="V245" s="663"/>
      <c r="W245" s="663"/>
      <c r="X245" s="268"/>
      <c r="Y245" s="233"/>
      <c r="Z245" s="233"/>
      <c r="AA245" s="233"/>
      <c r="AB245" s="233"/>
      <c r="AC245" s="233"/>
    </row>
    <row r="246" spans="1:29" ht="12.75" customHeight="1">
      <c r="A246" s="233"/>
      <c r="B246" s="220">
        <v>204</v>
      </c>
      <c r="C246" s="211" t="s">
        <v>898</v>
      </c>
      <c r="D246" s="265" t="s">
        <v>1053</v>
      </c>
      <c r="E246" s="266">
        <v>2017</v>
      </c>
      <c r="F246" s="266"/>
      <c r="G246" s="251">
        <f t="shared" si="0"/>
        <v>0.13</v>
      </c>
      <c r="H246" s="220"/>
      <c r="I246" s="220"/>
      <c r="J246" s="216">
        <v>4</v>
      </c>
      <c r="K246" s="220">
        <v>0.13</v>
      </c>
      <c r="L246" s="220"/>
      <c r="M246" s="259"/>
      <c r="N246" s="220"/>
      <c r="O246" s="220"/>
      <c r="P246" s="220"/>
      <c r="Q246" s="220"/>
      <c r="R246" s="220"/>
      <c r="S246" s="220"/>
      <c r="T246" s="260"/>
      <c r="U246" s="260"/>
      <c r="V246" s="663"/>
      <c r="W246" s="663"/>
      <c r="X246" s="268"/>
      <c r="Y246" s="233"/>
      <c r="Z246" s="233"/>
      <c r="AA246" s="233"/>
      <c r="AB246" s="233"/>
      <c r="AC246" s="233"/>
    </row>
    <row r="247" spans="1:29" ht="12.75" customHeight="1">
      <c r="A247" s="233"/>
      <c r="B247" s="220">
        <v>205</v>
      </c>
      <c r="C247" s="211" t="s">
        <v>898</v>
      </c>
      <c r="D247" s="265" t="s">
        <v>1053</v>
      </c>
      <c r="E247" s="266">
        <v>2017</v>
      </c>
      <c r="F247" s="266"/>
      <c r="G247" s="251">
        <f t="shared" si="0"/>
        <v>1</v>
      </c>
      <c r="H247" s="220"/>
      <c r="I247" s="220"/>
      <c r="J247" s="216">
        <v>40</v>
      </c>
      <c r="K247" s="220">
        <v>1</v>
      </c>
      <c r="L247" s="220"/>
      <c r="M247" s="259"/>
      <c r="N247" s="220"/>
      <c r="O247" s="220"/>
      <c r="P247" s="220"/>
      <c r="Q247" s="220"/>
      <c r="R247" s="220"/>
      <c r="S247" s="220"/>
      <c r="T247" s="260"/>
      <c r="U247" s="260"/>
      <c r="V247" s="663"/>
      <c r="W247" s="663"/>
      <c r="X247" s="268"/>
      <c r="Y247" s="233"/>
      <c r="Z247" s="233"/>
      <c r="AA247" s="233"/>
      <c r="AB247" s="233"/>
      <c r="AC247" s="233"/>
    </row>
    <row r="248" spans="1:29" ht="12.75" customHeight="1">
      <c r="A248" s="233"/>
      <c r="B248" s="269">
        <v>206</v>
      </c>
      <c r="C248" s="211" t="s">
        <v>898</v>
      </c>
      <c r="D248" s="265" t="s">
        <v>1053</v>
      </c>
      <c r="E248" s="266">
        <v>2017</v>
      </c>
      <c r="F248" s="266"/>
      <c r="G248" s="251">
        <f t="shared" si="0"/>
        <v>0.3</v>
      </c>
      <c r="H248" s="220"/>
      <c r="I248" s="220"/>
      <c r="J248" s="216"/>
      <c r="K248" s="220"/>
      <c r="L248" s="220"/>
      <c r="M248" s="259"/>
      <c r="N248" s="220">
        <v>8</v>
      </c>
      <c r="O248" s="220">
        <v>0.3</v>
      </c>
      <c r="P248" s="220"/>
      <c r="Q248" s="220"/>
      <c r="R248" s="220"/>
      <c r="S248" s="220"/>
      <c r="T248" s="260"/>
      <c r="U248" s="260"/>
      <c r="V248" s="663"/>
      <c r="W248" s="663"/>
      <c r="X248" s="268"/>
      <c r="Y248" s="233"/>
      <c r="Z248" s="233"/>
      <c r="AA248" s="233"/>
      <c r="AB248" s="233"/>
      <c r="AC248" s="233"/>
    </row>
    <row r="249" spans="1:29" ht="12.75" customHeight="1">
      <c r="A249" s="233"/>
      <c r="B249" s="220">
        <v>207</v>
      </c>
      <c r="C249" s="211" t="s">
        <v>898</v>
      </c>
      <c r="D249" s="265" t="s">
        <v>1053</v>
      </c>
      <c r="E249" s="266">
        <v>2017</v>
      </c>
      <c r="F249" s="266"/>
      <c r="G249" s="251">
        <f t="shared" si="0"/>
        <v>0.18</v>
      </c>
      <c r="H249" s="220"/>
      <c r="I249" s="220"/>
      <c r="J249" s="216">
        <v>6</v>
      </c>
      <c r="K249" s="220">
        <v>0.18</v>
      </c>
      <c r="L249" s="220"/>
      <c r="M249" s="259"/>
      <c r="N249" s="220"/>
      <c r="O249" s="220"/>
      <c r="P249" s="220"/>
      <c r="Q249" s="220"/>
      <c r="R249" s="220"/>
      <c r="S249" s="220"/>
      <c r="T249" s="260"/>
      <c r="U249" s="260"/>
      <c r="V249" s="663"/>
      <c r="W249" s="663"/>
      <c r="X249" s="268"/>
      <c r="Y249" s="233"/>
      <c r="Z249" s="233"/>
      <c r="AA249" s="233"/>
      <c r="AB249" s="233"/>
      <c r="AC249" s="233"/>
    </row>
    <row r="250" spans="1:29" ht="12.75" customHeight="1">
      <c r="A250" s="233"/>
      <c r="B250" s="220">
        <v>208</v>
      </c>
      <c r="C250" s="211" t="s">
        <v>898</v>
      </c>
      <c r="D250" s="265" t="s">
        <v>1053</v>
      </c>
      <c r="E250" s="266">
        <v>2017</v>
      </c>
      <c r="F250" s="266"/>
      <c r="G250" s="251">
        <f t="shared" si="0"/>
        <v>1.1200000000000001</v>
      </c>
      <c r="H250" s="220"/>
      <c r="I250" s="220"/>
      <c r="J250" s="216">
        <v>34</v>
      </c>
      <c r="K250" s="220">
        <v>1.1200000000000001</v>
      </c>
      <c r="L250" s="220"/>
      <c r="M250" s="259"/>
      <c r="N250" s="220"/>
      <c r="O250" s="220"/>
      <c r="P250" s="220"/>
      <c r="Q250" s="220"/>
      <c r="R250" s="220"/>
      <c r="S250" s="220"/>
      <c r="T250" s="260"/>
      <c r="U250" s="260"/>
      <c r="V250" s="663"/>
      <c r="W250" s="663"/>
      <c r="X250" s="268"/>
      <c r="Y250" s="233"/>
      <c r="Z250" s="233"/>
      <c r="AA250" s="233"/>
      <c r="AB250" s="233"/>
      <c r="AC250" s="233"/>
    </row>
    <row r="251" spans="1:29" ht="12.75" customHeight="1">
      <c r="A251" s="233"/>
      <c r="B251" s="220">
        <v>209</v>
      </c>
      <c r="C251" s="211" t="s">
        <v>898</v>
      </c>
      <c r="D251" s="265" t="s">
        <v>1053</v>
      </c>
      <c r="E251" s="266">
        <v>2017</v>
      </c>
      <c r="F251" s="266"/>
      <c r="G251" s="251">
        <f t="shared" si="0"/>
        <v>0.39</v>
      </c>
      <c r="H251" s="220"/>
      <c r="I251" s="220"/>
      <c r="J251" s="216">
        <v>15</v>
      </c>
      <c r="K251" s="220">
        <v>0.39</v>
      </c>
      <c r="L251" s="220"/>
      <c r="M251" s="259"/>
      <c r="N251" s="220"/>
      <c r="O251" s="220"/>
      <c r="P251" s="220"/>
      <c r="Q251" s="220"/>
      <c r="R251" s="220"/>
      <c r="S251" s="220"/>
      <c r="T251" s="260"/>
      <c r="U251" s="260"/>
      <c r="V251" s="663"/>
      <c r="W251" s="663"/>
      <c r="X251" s="268"/>
      <c r="Y251" s="233"/>
      <c r="Z251" s="233"/>
      <c r="AA251" s="233"/>
      <c r="AB251" s="233"/>
      <c r="AC251" s="233"/>
    </row>
    <row r="252" spans="1:29" ht="12.75" customHeight="1">
      <c r="A252" s="233"/>
      <c r="B252" s="220">
        <v>210</v>
      </c>
      <c r="C252" s="211" t="s">
        <v>546</v>
      </c>
      <c r="D252" s="265" t="s">
        <v>1054</v>
      </c>
      <c r="E252" s="266">
        <v>2017</v>
      </c>
      <c r="F252" s="266"/>
      <c r="G252" s="251">
        <f t="shared" si="0"/>
        <v>0.06</v>
      </c>
      <c r="H252" s="220"/>
      <c r="I252" s="220"/>
      <c r="J252" s="216">
        <v>6</v>
      </c>
      <c r="K252" s="220">
        <v>0.06</v>
      </c>
      <c r="L252" s="220"/>
      <c r="M252" s="259"/>
      <c r="N252" s="220"/>
      <c r="O252" s="220"/>
      <c r="P252" s="220"/>
      <c r="Q252" s="220"/>
      <c r="R252" s="220"/>
      <c r="S252" s="220"/>
      <c r="T252" s="260"/>
      <c r="U252" s="260"/>
      <c r="V252" s="663"/>
      <c r="W252" s="663"/>
      <c r="X252" s="268"/>
      <c r="Y252" s="233"/>
      <c r="Z252" s="233"/>
      <c r="AA252" s="233"/>
      <c r="AB252" s="233"/>
      <c r="AC252" s="233"/>
    </row>
    <row r="253" spans="1:29" ht="12.75" customHeight="1">
      <c r="A253" s="233"/>
      <c r="B253" s="220">
        <v>211</v>
      </c>
      <c r="C253" s="211" t="s">
        <v>546</v>
      </c>
      <c r="D253" s="265" t="s">
        <v>1055</v>
      </c>
      <c r="E253" s="266">
        <v>2017</v>
      </c>
      <c r="F253" s="266"/>
      <c r="G253" s="251">
        <f t="shared" si="0"/>
        <v>0.15</v>
      </c>
      <c r="H253" s="220"/>
      <c r="I253" s="220"/>
      <c r="J253" s="216">
        <v>6</v>
      </c>
      <c r="K253" s="220">
        <v>0.15</v>
      </c>
      <c r="L253" s="220"/>
      <c r="M253" s="259"/>
      <c r="N253" s="220"/>
      <c r="O253" s="220"/>
      <c r="P253" s="220"/>
      <c r="Q253" s="220"/>
      <c r="R253" s="220"/>
      <c r="S253" s="220"/>
      <c r="T253" s="260"/>
      <c r="U253" s="260"/>
      <c r="V253" s="663"/>
      <c r="W253" s="663"/>
      <c r="X253" s="268"/>
      <c r="Y253" s="233"/>
      <c r="Z253" s="233"/>
      <c r="AA253" s="233"/>
      <c r="AB253" s="233"/>
      <c r="AC253" s="233"/>
    </row>
    <row r="254" spans="1:29" ht="12.75" customHeight="1">
      <c r="A254" s="233"/>
      <c r="B254" s="220">
        <v>212</v>
      </c>
      <c r="C254" s="211" t="s">
        <v>546</v>
      </c>
      <c r="D254" s="265" t="s">
        <v>1056</v>
      </c>
      <c r="E254" s="266">
        <v>2017</v>
      </c>
      <c r="F254" s="266"/>
      <c r="G254" s="251">
        <f t="shared" si="0"/>
        <v>0.14000000000000001</v>
      </c>
      <c r="H254" s="220"/>
      <c r="I254" s="220"/>
      <c r="J254" s="216">
        <v>5</v>
      </c>
      <c r="K254" s="220">
        <v>0.14000000000000001</v>
      </c>
      <c r="L254" s="220"/>
      <c r="M254" s="259"/>
      <c r="N254" s="220"/>
      <c r="O254" s="220"/>
      <c r="P254" s="220"/>
      <c r="Q254" s="220"/>
      <c r="R254" s="220"/>
      <c r="S254" s="220"/>
      <c r="T254" s="260"/>
      <c r="U254" s="260"/>
      <c r="V254" s="663"/>
      <c r="W254" s="663"/>
      <c r="X254" s="268"/>
      <c r="Y254" s="233"/>
      <c r="Z254" s="233"/>
      <c r="AA254" s="233"/>
      <c r="AB254" s="233"/>
      <c r="AC254" s="233"/>
    </row>
    <row r="255" spans="1:29" ht="12.75" customHeight="1">
      <c r="A255" s="233"/>
      <c r="B255" s="220">
        <v>213</v>
      </c>
      <c r="C255" s="211" t="s">
        <v>546</v>
      </c>
      <c r="D255" s="265" t="s">
        <v>1057</v>
      </c>
      <c r="E255" s="266">
        <v>2017</v>
      </c>
      <c r="F255" s="266"/>
      <c r="G255" s="251">
        <f t="shared" si="0"/>
        <v>0.2</v>
      </c>
      <c r="H255" s="220">
        <v>1</v>
      </c>
      <c r="I255" s="220">
        <v>0.2</v>
      </c>
      <c r="J255" s="216">
        <v>10</v>
      </c>
      <c r="K255" s="220"/>
      <c r="L255" s="220"/>
      <c r="M255" s="259"/>
      <c r="N255" s="220"/>
      <c r="O255" s="220"/>
      <c r="P255" s="220"/>
      <c r="Q255" s="220"/>
      <c r="R255" s="220"/>
      <c r="S255" s="220"/>
      <c r="T255" s="260"/>
      <c r="U255" s="260"/>
      <c r="V255" s="663"/>
      <c r="W255" s="663"/>
      <c r="X255" s="268"/>
      <c r="Y255" s="233"/>
      <c r="Z255" s="233"/>
      <c r="AA255" s="233"/>
      <c r="AB255" s="233"/>
      <c r="AC255" s="233"/>
    </row>
    <row r="256" spans="1:29" ht="12.75" customHeight="1">
      <c r="A256" s="233"/>
      <c r="B256" s="220">
        <v>214</v>
      </c>
      <c r="C256" s="211" t="s">
        <v>546</v>
      </c>
      <c r="D256" s="265" t="s">
        <v>1058</v>
      </c>
      <c r="E256" s="266">
        <v>2017</v>
      </c>
      <c r="F256" s="266"/>
      <c r="G256" s="251">
        <f t="shared" si="0"/>
        <v>0.2</v>
      </c>
      <c r="H256" s="220">
        <v>1</v>
      </c>
      <c r="I256" s="220">
        <v>0.2</v>
      </c>
      <c r="J256" s="216"/>
      <c r="K256" s="220"/>
      <c r="L256" s="220"/>
      <c r="M256" s="259"/>
      <c r="N256" s="220"/>
      <c r="O256" s="220"/>
      <c r="P256" s="220"/>
      <c r="Q256" s="220"/>
      <c r="R256" s="220"/>
      <c r="S256" s="220"/>
      <c r="T256" s="260"/>
      <c r="U256" s="260"/>
      <c r="V256" s="663"/>
      <c r="W256" s="663"/>
      <c r="X256" s="268"/>
      <c r="Y256" s="233"/>
      <c r="Z256" s="233"/>
      <c r="AA256" s="233"/>
      <c r="AB256" s="233"/>
      <c r="AC256" s="233"/>
    </row>
    <row r="257" spans="1:29" ht="12.75" customHeight="1">
      <c r="A257" s="233"/>
      <c r="B257" s="220">
        <v>215</v>
      </c>
      <c r="C257" s="211" t="s">
        <v>899</v>
      </c>
      <c r="D257" s="265" t="s">
        <v>1059</v>
      </c>
      <c r="E257" s="266">
        <v>2016</v>
      </c>
      <c r="F257" s="266"/>
      <c r="G257" s="251">
        <f t="shared" si="0"/>
        <v>0.85</v>
      </c>
      <c r="H257" s="220">
        <v>4</v>
      </c>
      <c r="I257" s="220">
        <v>0.85</v>
      </c>
      <c r="J257" s="216">
        <v>81</v>
      </c>
      <c r="K257" s="220"/>
      <c r="L257" s="220"/>
      <c r="M257" s="259"/>
      <c r="N257" s="220"/>
      <c r="O257" s="220"/>
      <c r="P257" s="220"/>
      <c r="Q257" s="220"/>
      <c r="R257" s="220"/>
      <c r="S257" s="220"/>
      <c r="T257" s="260"/>
      <c r="U257" s="260"/>
      <c r="V257" s="663"/>
      <c r="W257" s="663"/>
      <c r="X257" s="268"/>
      <c r="Y257" s="233"/>
      <c r="Z257" s="233"/>
      <c r="AA257" s="233"/>
      <c r="AB257" s="233"/>
      <c r="AC257" s="233"/>
    </row>
    <row r="258" spans="1:29" ht="12.75" customHeight="1">
      <c r="A258" s="233"/>
      <c r="B258" s="220">
        <v>216</v>
      </c>
      <c r="C258" s="211" t="s">
        <v>899</v>
      </c>
      <c r="D258" s="265" t="s">
        <v>1059</v>
      </c>
      <c r="E258" s="266">
        <v>2016</v>
      </c>
      <c r="F258" s="266"/>
      <c r="G258" s="251">
        <f t="shared" si="0"/>
        <v>0.85</v>
      </c>
      <c r="H258" s="220">
        <v>4</v>
      </c>
      <c r="I258" s="220">
        <v>0.85</v>
      </c>
      <c r="J258" s="216">
        <v>86</v>
      </c>
      <c r="K258" s="220"/>
      <c r="L258" s="220"/>
      <c r="M258" s="259"/>
      <c r="N258" s="220"/>
      <c r="O258" s="220"/>
      <c r="P258" s="220"/>
      <c r="Q258" s="220"/>
      <c r="R258" s="220"/>
      <c r="S258" s="220"/>
      <c r="T258" s="260"/>
      <c r="U258" s="260"/>
      <c r="V258" s="663"/>
      <c r="W258" s="663"/>
      <c r="X258" s="268"/>
      <c r="Y258" s="233"/>
      <c r="Z258" s="233"/>
      <c r="AA258" s="233"/>
      <c r="AB258" s="233"/>
      <c r="AC258" s="233"/>
    </row>
    <row r="259" spans="1:29" ht="12.75" customHeight="1">
      <c r="A259" s="233"/>
      <c r="B259" s="220">
        <v>217</v>
      </c>
      <c r="C259" s="211" t="s">
        <v>899</v>
      </c>
      <c r="D259" s="265" t="s">
        <v>1059</v>
      </c>
      <c r="E259" s="266">
        <v>2016</v>
      </c>
      <c r="F259" s="266"/>
      <c r="G259" s="251">
        <f t="shared" si="0"/>
        <v>0.85</v>
      </c>
      <c r="H259" s="220">
        <v>4</v>
      </c>
      <c r="I259" s="220">
        <v>0.85</v>
      </c>
      <c r="J259" s="216">
        <v>71</v>
      </c>
      <c r="K259" s="220"/>
      <c r="L259" s="220"/>
      <c r="M259" s="259"/>
      <c r="N259" s="220"/>
      <c r="O259" s="220"/>
      <c r="P259" s="220"/>
      <c r="Q259" s="220"/>
      <c r="R259" s="220"/>
      <c r="S259" s="220"/>
      <c r="T259" s="260"/>
      <c r="U259" s="260"/>
      <c r="V259" s="663"/>
      <c r="W259" s="663"/>
      <c r="X259" s="268"/>
      <c r="Y259" s="233"/>
      <c r="Z259" s="233"/>
      <c r="AA259" s="233"/>
      <c r="AB259" s="233"/>
      <c r="AC259" s="233"/>
    </row>
    <row r="260" spans="1:29" ht="12.75" customHeight="1">
      <c r="A260" s="233"/>
      <c r="B260" s="220">
        <v>218</v>
      </c>
      <c r="C260" s="211" t="s">
        <v>899</v>
      </c>
      <c r="D260" s="265" t="s">
        <v>1060</v>
      </c>
      <c r="E260" s="266">
        <v>2017</v>
      </c>
      <c r="F260" s="266"/>
      <c r="G260" s="251">
        <f t="shared" si="0"/>
        <v>0.22</v>
      </c>
      <c r="H260" s="220"/>
      <c r="I260" s="220"/>
      <c r="J260" s="216">
        <v>11</v>
      </c>
      <c r="K260" s="220">
        <v>0.22</v>
      </c>
      <c r="L260" s="220"/>
      <c r="M260" s="259"/>
      <c r="N260" s="220"/>
      <c r="O260" s="220"/>
      <c r="P260" s="220"/>
      <c r="Q260" s="220"/>
      <c r="R260" s="220"/>
      <c r="S260" s="220"/>
      <c r="T260" s="260"/>
      <c r="U260" s="260"/>
      <c r="V260" s="663"/>
      <c r="W260" s="663"/>
      <c r="X260" s="268"/>
      <c r="Y260" s="233"/>
      <c r="Z260" s="233"/>
      <c r="AA260" s="233"/>
      <c r="AB260" s="233"/>
      <c r="AC260" s="233"/>
    </row>
    <row r="261" spans="1:29" ht="12.75" customHeight="1">
      <c r="A261" s="233"/>
      <c r="B261" s="220">
        <v>219</v>
      </c>
      <c r="C261" s="211" t="s">
        <v>899</v>
      </c>
      <c r="D261" s="265" t="s">
        <v>1061</v>
      </c>
      <c r="E261" s="266">
        <v>2015</v>
      </c>
      <c r="F261" s="266">
        <v>2017</v>
      </c>
      <c r="G261" s="251">
        <f t="shared" si="0"/>
        <v>0.65</v>
      </c>
      <c r="H261" s="220"/>
      <c r="I261" s="220"/>
      <c r="J261" s="216">
        <v>14</v>
      </c>
      <c r="K261" s="220">
        <v>0.65</v>
      </c>
      <c r="L261" s="220"/>
      <c r="M261" s="259"/>
      <c r="N261" s="220"/>
      <c r="O261" s="220"/>
      <c r="P261" s="220"/>
      <c r="Q261" s="220"/>
      <c r="R261" s="220"/>
      <c r="S261" s="220"/>
      <c r="T261" s="260"/>
      <c r="U261" s="260"/>
      <c r="V261" s="663"/>
      <c r="W261" s="663"/>
      <c r="X261" s="268"/>
      <c r="Y261" s="233"/>
      <c r="Z261" s="233"/>
      <c r="AA261" s="233"/>
      <c r="AB261" s="233"/>
      <c r="AC261" s="233"/>
    </row>
    <row r="262" spans="1:29" ht="12.75" customHeight="1">
      <c r="A262" s="233"/>
      <c r="B262" s="220">
        <v>220</v>
      </c>
      <c r="C262" s="211" t="s">
        <v>899</v>
      </c>
      <c r="D262" s="265" t="s">
        <v>1059</v>
      </c>
      <c r="E262" s="266">
        <v>2015</v>
      </c>
      <c r="F262" s="266">
        <v>2016</v>
      </c>
      <c r="G262" s="251">
        <f t="shared" si="0"/>
        <v>0.85</v>
      </c>
      <c r="H262" s="220"/>
      <c r="I262" s="220"/>
      <c r="J262" s="216">
        <v>20</v>
      </c>
      <c r="K262" s="220">
        <v>0.85</v>
      </c>
      <c r="L262" s="220"/>
      <c r="M262" s="259"/>
      <c r="N262" s="220"/>
      <c r="O262" s="220"/>
      <c r="P262" s="220"/>
      <c r="Q262" s="220"/>
      <c r="R262" s="220"/>
      <c r="S262" s="220"/>
      <c r="T262" s="260"/>
      <c r="U262" s="260"/>
      <c r="V262" s="663"/>
      <c r="W262" s="663"/>
      <c r="X262" s="268"/>
      <c r="Y262" s="233"/>
      <c r="Z262" s="233"/>
      <c r="AA262" s="233"/>
      <c r="AB262" s="233"/>
      <c r="AC262" s="233"/>
    </row>
    <row r="263" spans="1:29" ht="12.75" customHeight="1">
      <c r="A263" s="233"/>
      <c r="B263" s="220">
        <v>221</v>
      </c>
      <c r="C263" s="211" t="s">
        <v>899</v>
      </c>
      <c r="D263" s="265" t="s">
        <v>1059</v>
      </c>
      <c r="E263" s="266">
        <v>2014</v>
      </c>
      <c r="F263" s="266">
        <v>2016</v>
      </c>
      <c r="G263" s="251">
        <f t="shared" si="0"/>
        <v>0.85</v>
      </c>
      <c r="H263" s="220"/>
      <c r="I263" s="220"/>
      <c r="J263" s="216">
        <v>24</v>
      </c>
      <c r="K263" s="220">
        <v>0.85</v>
      </c>
      <c r="L263" s="220"/>
      <c r="M263" s="259"/>
      <c r="N263" s="220"/>
      <c r="O263" s="220"/>
      <c r="P263" s="220"/>
      <c r="Q263" s="220"/>
      <c r="R263" s="220"/>
      <c r="S263" s="220"/>
      <c r="T263" s="260"/>
      <c r="U263" s="260"/>
      <c r="V263" s="663"/>
      <c r="W263" s="663"/>
      <c r="X263" s="268"/>
      <c r="Y263" s="233"/>
      <c r="Z263" s="233"/>
      <c r="AA263" s="233"/>
      <c r="AB263" s="233"/>
      <c r="AC263" s="233"/>
    </row>
    <row r="264" spans="1:29" ht="12.75" customHeight="1">
      <c r="A264" s="233"/>
      <c r="B264" s="220">
        <v>222</v>
      </c>
      <c r="C264" s="211" t="s">
        <v>899</v>
      </c>
      <c r="D264" s="265" t="s">
        <v>1062</v>
      </c>
      <c r="E264" s="266">
        <v>2016</v>
      </c>
      <c r="F264" s="266">
        <v>2017</v>
      </c>
      <c r="G264" s="251">
        <f t="shared" si="0"/>
        <v>0.22</v>
      </c>
      <c r="H264" s="220"/>
      <c r="I264" s="220"/>
      <c r="J264" s="216">
        <v>15</v>
      </c>
      <c r="K264" s="220">
        <v>0.22</v>
      </c>
      <c r="L264" s="220"/>
      <c r="M264" s="259"/>
      <c r="N264" s="220"/>
      <c r="O264" s="220"/>
      <c r="P264" s="220"/>
      <c r="Q264" s="220"/>
      <c r="R264" s="220"/>
      <c r="S264" s="220"/>
      <c r="T264" s="260"/>
      <c r="U264" s="260"/>
      <c r="V264" s="663"/>
      <c r="W264" s="663"/>
      <c r="X264" s="268"/>
      <c r="Y264" s="233"/>
      <c r="Z264" s="233"/>
      <c r="AA264" s="233"/>
      <c r="AB264" s="233"/>
      <c r="AC264" s="233"/>
    </row>
    <row r="265" spans="1:29" ht="12.75" customHeight="1">
      <c r="A265" s="233"/>
      <c r="B265" s="220">
        <v>223</v>
      </c>
      <c r="C265" s="211" t="s">
        <v>899</v>
      </c>
      <c r="D265" s="265" t="s">
        <v>1063</v>
      </c>
      <c r="E265" s="266">
        <v>2016</v>
      </c>
      <c r="F265" s="266">
        <v>2017</v>
      </c>
      <c r="G265" s="251">
        <f t="shared" si="0"/>
        <v>0.96</v>
      </c>
      <c r="H265" s="220"/>
      <c r="I265" s="220"/>
      <c r="J265" s="216"/>
      <c r="K265" s="220"/>
      <c r="L265" s="220">
        <v>12</v>
      </c>
      <c r="M265" s="259">
        <v>0.96</v>
      </c>
      <c r="N265" s="220"/>
      <c r="O265" s="220"/>
      <c r="P265" s="220"/>
      <c r="Q265" s="220"/>
      <c r="R265" s="220"/>
      <c r="S265" s="220"/>
      <c r="T265" s="260"/>
      <c r="U265" s="260"/>
      <c r="V265" s="663"/>
      <c r="W265" s="663"/>
      <c r="X265" s="268"/>
      <c r="Y265" s="233"/>
      <c r="Z265" s="233"/>
      <c r="AA265" s="233"/>
      <c r="AB265" s="233"/>
      <c r="AC265" s="233"/>
    </row>
    <row r="266" spans="1:29" ht="12.75" customHeight="1">
      <c r="A266" s="233"/>
      <c r="B266" s="220">
        <v>224</v>
      </c>
      <c r="C266" s="211" t="s">
        <v>899</v>
      </c>
      <c r="D266" s="265" t="s">
        <v>1064</v>
      </c>
      <c r="E266" s="266">
        <v>2015</v>
      </c>
      <c r="F266" s="266">
        <v>2016</v>
      </c>
      <c r="G266" s="251">
        <f t="shared" si="0"/>
        <v>0.42</v>
      </c>
      <c r="H266" s="220"/>
      <c r="I266" s="220"/>
      <c r="J266" s="216">
        <v>52</v>
      </c>
      <c r="K266" s="220">
        <v>0.42</v>
      </c>
      <c r="L266" s="220"/>
      <c r="M266" s="259"/>
      <c r="N266" s="220"/>
      <c r="O266" s="220"/>
      <c r="P266" s="220"/>
      <c r="Q266" s="220"/>
      <c r="R266" s="220"/>
      <c r="S266" s="220"/>
      <c r="T266" s="260"/>
      <c r="U266" s="260"/>
      <c r="V266" s="663"/>
      <c r="W266" s="663"/>
      <c r="X266" s="268"/>
      <c r="Y266" s="233"/>
      <c r="Z266" s="233"/>
      <c r="AA266" s="233"/>
      <c r="AB266" s="233"/>
      <c r="AC266" s="233"/>
    </row>
    <row r="267" spans="1:29" ht="12.75" customHeight="1">
      <c r="A267" s="233"/>
      <c r="B267" s="220">
        <v>225</v>
      </c>
      <c r="C267" s="211" t="s">
        <v>899</v>
      </c>
      <c r="D267" s="265" t="s">
        <v>1064</v>
      </c>
      <c r="E267" s="266">
        <v>2015</v>
      </c>
      <c r="F267" s="266">
        <v>2016</v>
      </c>
      <c r="G267" s="251">
        <f t="shared" si="0"/>
        <v>0.4</v>
      </c>
      <c r="H267" s="220"/>
      <c r="I267" s="220"/>
      <c r="J267" s="216">
        <v>61</v>
      </c>
      <c r="K267" s="220">
        <v>0.4</v>
      </c>
      <c r="L267" s="220"/>
      <c r="M267" s="259"/>
      <c r="N267" s="220"/>
      <c r="O267" s="220"/>
      <c r="P267" s="220"/>
      <c r="Q267" s="220"/>
      <c r="R267" s="220"/>
      <c r="S267" s="220"/>
      <c r="T267" s="260"/>
      <c r="U267" s="260"/>
      <c r="V267" s="663"/>
      <c r="W267" s="663"/>
      <c r="X267" s="268"/>
      <c r="Y267" s="233"/>
      <c r="Z267" s="233"/>
      <c r="AA267" s="233"/>
      <c r="AB267" s="233"/>
      <c r="AC267" s="233"/>
    </row>
    <row r="268" spans="1:29" ht="12.75" customHeight="1">
      <c r="A268" s="233"/>
      <c r="B268" s="220">
        <v>226</v>
      </c>
      <c r="C268" s="211" t="s">
        <v>899</v>
      </c>
      <c r="D268" s="265" t="s">
        <v>1065</v>
      </c>
      <c r="E268" s="266">
        <v>2016</v>
      </c>
      <c r="F268" s="266">
        <v>2017</v>
      </c>
      <c r="G268" s="251">
        <f t="shared" si="0"/>
        <v>0.25</v>
      </c>
      <c r="H268" s="220"/>
      <c r="I268" s="220"/>
      <c r="J268" s="216">
        <v>25</v>
      </c>
      <c r="K268" s="220">
        <v>0.25</v>
      </c>
      <c r="L268" s="220"/>
      <c r="M268" s="259"/>
      <c r="N268" s="220"/>
      <c r="O268" s="220"/>
      <c r="P268" s="220"/>
      <c r="Q268" s="220"/>
      <c r="R268" s="220"/>
      <c r="S268" s="220"/>
      <c r="T268" s="260"/>
      <c r="U268" s="260"/>
      <c r="V268" s="578"/>
      <c r="W268" s="578"/>
      <c r="X268" s="268"/>
      <c r="Y268" s="233"/>
      <c r="Z268" s="233"/>
      <c r="AA268" s="233"/>
      <c r="AB268" s="233"/>
      <c r="AC268" s="233"/>
    </row>
    <row r="269" spans="1:29" ht="25.5" customHeight="1">
      <c r="A269" s="233"/>
      <c r="B269" s="275"/>
      <c r="C269" s="275"/>
      <c r="D269" s="275"/>
      <c r="E269" s="677" t="s">
        <v>900</v>
      </c>
      <c r="F269" s="678"/>
      <c r="G269" s="276">
        <f t="shared" ref="G269:U269" si="1">SUM(G44:G268)</f>
        <v>140.28999999999994</v>
      </c>
      <c r="H269" s="277">
        <f t="shared" si="1"/>
        <v>180</v>
      </c>
      <c r="I269" s="277">
        <f t="shared" si="1"/>
        <v>38.570000000000007</v>
      </c>
      <c r="J269" s="277">
        <f t="shared" si="1"/>
        <v>2367</v>
      </c>
      <c r="K269" s="277">
        <f t="shared" si="1"/>
        <v>44.100000000000023</v>
      </c>
      <c r="L269" s="277">
        <f t="shared" si="1"/>
        <v>666</v>
      </c>
      <c r="M269" s="277">
        <f t="shared" si="1"/>
        <v>53.29</v>
      </c>
      <c r="N269" s="277">
        <f t="shared" si="1"/>
        <v>90</v>
      </c>
      <c r="O269" s="277">
        <f t="shared" si="1"/>
        <v>3.02</v>
      </c>
      <c r="P269" s="277">
        <f t="shared" si="1"/>
        <v>0</v>
      </c>
      <c r="Q269" s="277">
        <f t="shared" si="1"/>
        <v>0</v>
      </c>
      <c r="R269" s="277">
        <f t="shared" si="1"/>
        <v>0</v>
      </c>
      <c r="S269" s="277">
        <f t="shared" si="1"/>
        <v>65</v>
      </c>
      <c r="T269" s="277">
        <f t="shared" si="1"/>
        <v>1.31</v>
      </c>
      <c r="U269" s="277">
        <f t="shared" si="1"/>
        <v>0</v>
      </c>
      <c r="V269" s="278"/>
      <c r="W269" s="233"/>
      <c r="X269" s="233"/>
      <c r="Y269" s="233"/>
      <c r="Z269" s="233"/>
      <c r="AA269" s="233"/>
      <c r="AB269" s="233"/>
      <c r="AC269" s="233"/>
    </row>
    <row r="270" spans="1:29" ht="12.75" customHeight="1">
      <c r="A270" s="233"/>
      <c r="B270" s="667" t="s">
        <v>901</v>
      </c>
      <c r="C270" s="668"/>
      <c r="D270" s="668"/>
      <c r="E270" s="668"/>
      <c r="F270" s="668"/>
      <c r="G270" s="668"/>
      <c r="H270" s="668"/>
      <c r="I270" s="668"/>
      <c r="J270" s="668"/>
      <c r="K270" s="668"/>
      <c r="L270" s="668"/>
      <c r="M270" s="668"/>
      <c r="N270" s="668"/>
      <c r="O270" s="668"/>
      <c r="P270" s="668"/>
      <c r="Q270" s="669"/>
      <c r="R270" s="279"/>
      <c r="S270" s="200"/>
      <c r="T270" s="200"/>
      <c r="U270" s="200"/>
      <c r="V270" s="200"/>
      <c r="W270" s="200"/>
      <c r="X270" s="200"/>
      <c r="Y270" s="200"/>
      <c r="Z270" s="200"/>
      <c r="AA270" s="200"/>
      <c r="AB270" s="200"/>
      <c r="AC270" s="200"/>
    </row>
    <row r="271" spans="1:29" ht="36" customHeight="1">
      <c r="A271" s="200"/>
      <c r="B271" s="670"/>
      <c r="C271" s="512"/>
      <c r="D271" s="512"/>
      <c r="E271" s="512"/>
      <c r="F271" s="512"/>
      <c r="G271" s="512"/>
      <c r="H271" s="512"/>
      <c r="I271" s="512"/>
      <c r="J271" s="512"/>
      <c r="K271" s="512"/>
      <c r="L271" s="512"/>
      <c r="M271" s="512"/>
      <c r="N271" s="512"/>
      <c r="O271" s="512"/>
      <c r="P271" s="512"/>
      <c r="Q271" s="641"/>
      <c r="R271" s="234"/>
      <c r="S271" s="200"/>
      <c r="T271" s="200"/>
      <c r="U271" s="200"/>
      <c r="V271" s="200"/>
      <c r="W271" s="200"/>
      <c r="X271" s="200"/>
      <c r="Y271" s="200"/>
      <c r="Z271" s="200"/>
      <c r="AA271" s="200"/>
      <c r="AB271" s="200"/>
      <c r="AC271" s="200"/>
    </row>
    <row r="272" spans="1:29" ht="12.75" customHeight="1">
      <c r="A272" s="200"/>
      <c r="B272" s="671" t="s">
        <v>853</v>
      </c>
      <c r="C272" s="512"/>
      <c r="D272" s="512"/>
      <c r="E272" s="512"/>
      <c r="F272" s="512"/>
      <c r="G272" s="512"/>
      <c r="H272" s="512"/>
      <c r="I272" s="512"/>
      <c r="J272" s="512"/>
      <c r="K272" s="512"/>
      <c r="L272" s="512"/>
      <c r="M272" s="512"/>
      <c r="N272" s="512"/>
      <c r="O272" s="512"/>
      <c r="P272" s="512"/>
      <c r="Q272" s="641"/>
      <c r="R272" s="280"/>
      <c r="S272" s="200"/>
      <c r="T272" s="200"/>
      <c r="U272" s="200"/>
      <c r="V272" s="200"/>
      <c r="W272" s="200"/>
      <c r="X272" s="200"/>
      <c r="Y272" s="200"/>
      <c r="Z272" s="200"/>
      <c r="AA272" s="200"/>
      <c r="AB272" s="200"/>
      <c r="AC272" s="200"/>
    </row>
    <row r="273" spans="1:29" ht="13.5" customHeight="1">
      <c r="A273" s="200"/>
      <c r="B273" s="665" t="s">
        <v>854</v>
      </c>
      <c r="C273" s="643"/>
      <c r="D273" s="643"/>
      <c r="E273" s="643"/>
      <c r="F273" s="643"/>
      <c r="G273" s="643"/>
      <c r="H273" s="643"/>
      <c r="I273" s="643"/>
      <c r="J273" s="643"/>
      <c r="K273" s="643"/>
      <c r="L273" s="643"/>
      <c r="M273" s="643"/>
      <c r="N273" s="643"/>
      <c r="O273" s="643"/>
      <c r="P273" s="643"/>
      <c r="Q273" s="644"/>
      <c r="R273" s="280"/>
      <c r="S273" s="200"/>
      <c r="T273" s="200"/>
      <c r="U273" s="200"/>
      <c r="V273" s="200"/>
      <c r="W273" s="200"/>
      <c r="X273" s="200"/>
      <c r="Y273" s="200"/>
      <c r="Z273" s="200"/>
      <c r="AA273" s="200"/>
      <c r="AB273" s="200"/>
      <c r="AC273" s="200"/>
    </row>
    <row r="274" spans="1:29" ht="12.75" customHeight="1">
      <c r="A274" s="200"/>
      <c r="B274" s="200"/>
      <c r="C274" s="200"/>
      <c r="D274" s="233"/>
      <c r="E274" s="200"/>
      <c r="F274" s="200"/>
      <c r="G274" s="200"/>
      <c r="H274" s="234"/>
      <c r="I274" s="200"/>
      <c r="J274" s="200"/>
      <c r="K274" s="200"/>
      <c r="L274" s="200"/>
      <c r="M274" s="200"/>
      <c r="N274" s="200"/>
      <c r="O274" s="200"/>
      <c r="P274" s="200"/>
      <c r="Q274" s="200"/>
      <c r="R274" s="200"/>
      <c r="S274" s="200"/>
      <c r="T274" s="200"/>
      <c r="U274" s="200"/>
      <c r="V274" s="200"/>
      <c r="W274" s="200"/>
      <c r="X274" s="200"/>
      <c r="Y274" s="200"/>
      <c r="Z274" s="200"/>
      <c r="AA274" s="200"/>
      <c r="AB274" s="200"/>
      <c r="AC274" s="200"/>
    </row>
    <row r="275" spans="1:29" ht="12.75" customHeight="1">
      <c r="A275" s="200"/>
      <c r="B275" s="200"/>
      <c r="C275" s="200"/>
      <c r="D275" s="233"/>
      <c r="E275" s="200"/>
      <c r="F275" s="200"/>
      <c r="G275" s="200"/>
      <c r="H275" s="234"/>
      <c r="I275" s="200"/>
      <c r="J275" s="200"/>
      <c r="K275" s="200"/>
      <c r="L275" s="200"/>
      <c r="M275" s="200"/>
      <c r="N275" s="200"/>
      <c r="O275" s="200"/>
      <c r="P275" s="200"/>
      <c r="Q275" s="200"/>
      <c r="R275" s="200"/>
      <c r="S275" s="200"/>
      <c r="T275" s="200"/>
      <c r="U275" s="200"/>
      <c r="V275" s="200"/>
      <c r="W275" s="200"/>
      <c r="X275" s="200"/>
      <c r="Y275" s="200"/>
      <c r="Z275" s="200"/>
      <c r="AA275" s="200"/>
      <c r="AB275" s="200"/>
      <c r="AC275" s="200"/>
    </row>
    <row r="276" spans="1:29" ht="12.75" customHeight="1">
      <c r="A276" s="200"/>
      <c r="B276" s="200"/>
      <c r="C276" s="200"/>
      <c r="D276" s="233"/>
      <c r="E276" s="200"/>
      <c r="F276" s="200"/>
      <c r="G276" s="200"/>
      <c r="H276" s="234"/>
      <c r="I276" s="200"/>
      <c r="J276" s="200"/>
      <c r="K276" s="200"/>
      <c r="L276" s="200"/>
      <c r="M276" s="200"/>
      <c r="N276" s="200"/>
      <c r="O276" s="200"/>
      <c r="P276" s="200"/>
      <c r="Q276" s="200"/>
      <c r="R276" s="200"/>
      <c r="S276" s="200"/>
      <c r="T276" s="200"/>
      <c r="U276" s="200"/>
      <c r="V276" s="200"/>
      <c r="W276" s="200"/>
      <c r="X276" s="200"/>
      <c r="Y276" s="200"/>
      <c r="Z276" s="200"/>
      <c r="AA276" s="200"/>
      <c r="AB276" s="200"/>
      <c r="AC276" s="200"/>
    </row>
    <row r="277" spans="1:29" ht="15.75" customHeight="1">
      <c r="A277" s="200"/>
      <c r="B277" s="679" t="s">
        <v>753</v>
      </c>
      <c r="C277" s="632"/>
      <c r="D277" s="632"/>
      <c r="E277" s="632"/>
      <c r="F277" s="632"/>
      <c r="G277" s="632"/>
      <c r="H277" s="632"/>
      <c r="I277" s="632"/>
      <c r="J277" s="632"/>
      <c r="K277" s="632"/>
      <c r="L277" s="632"/>
      <c r="M277" s="632"/>
      <c r="N277" s="632"/>
      <c r="O277" s="632"/>
      <c r="P277" s="632"/>
      <c r="Q277" s="632"/>
      <c r="R277" s="632"/>
      <c r="S277" s="632"/>
      <c r="T277" s="632"/>
      <c r="U277" s="632"/>
      <c r="V277" s="632"/>
      <c r="W277" s="632"/>
      <c r="X277" s="633"/>
      <c r="Y277" s="200"/>
      <c r="Z277" s="200"/>
      <c r="AA277" s="200"/>
      <c r="AB277" s="200"/>
      <c r="AC277" s="200"/>
    </row>
    <row r="278" spans="1:29" ht="19.5" customHeight="1">
      <c r="A278" s="200"/>
      <c r="B278" s="680" t="s">
        <v>860</v>
      </c>
      <c r="C278" s="680" t="s">
        <v>861</v>
      </c>
      <c r="D278" s="680" t="s">
        <v>904</v>
      </c>
      <c r="E278" s="654" t="s">
        <v>905</v>
      </c>
      <c r="F278" s="633"/>
      <c r="G278" s="654" t="s">
        <v>906</v>
      </c>
      <c r="H278" s="632"/>
      <c r="I278" s="632"/>
      <c r="J278" s="632"/>
      <c r="K278" s="632"/>
      <c r="L278" s="632"/>
      <c r="M278" s="632"/>
      <c r="N278" s="632"/>
      <c r="O278" s="632"/>
      <c r="P278" s="632"/>
      <c r="Q278" s="632"/>
      <c r="R278" s="632"/>
      <c r="S278" s="632"/>
      <c r="T278" s="632"/>
      <c r="U278" s="633"/>
      <c r="V278" s="656" t="s">
        <v>1066</v>
      </c>
      <c r="W278" s="633"/>
      <c r="X278" s="680" t="s">
        <v>1067</v>
      </c>
      <c r="Y278" s="281"/>
      <c r="Z278" s="200"/>
      <c r="AA278" s="200"/>
      <c r="AB278" s="200"/>
      <c r="AC278" s="200"/>
    </row>
    <row r="279" spans="1:29" ht="31.5" customHeight="1">
      <c r="A279" s="200"/>
      <c r="B279" s="647"/>
      <c r="C279" s="630"/>
      <c r="D279" s="647"/>
      <c r="E279" s="201" t="s">
        <v>909</v>
      </c>
      <c r="F279" s="201" t="s">
        <v>910</v>
      </c>
      <c r="G279" s="236" t="s">
        <v>911</v>
      </c>
      <c r="H279" s="282" t="s">
        <v>912</v>
      </c>
      <c r="I279" s="283" t="s">
        <v>913</v>
      </c>
      <c r="J279" s="284" t="s">
        <v>914</v>
      </c>
      <c r="K279" s="284" t="s">
        <v>915</v>
      </c>
      <c r="L279" s="285" t="s">
        <v>916</v>
      </c>
      <c r="M279" s="285" t="s">
        <v>917</v>
      </c>
      <c r="N279" s="286" t="s">
        <v>918</v>
      </c>
      <c r="O279" s="286" t="s">
        <v>919</v>
      </c>
      <c r="P279" s="236" t="s">
        <v>920</v>
      </c>
      <c r="Q279" s="287" t="s">
        <v>921</v>
      </c>
      <c r="R279" s="287" t="s">
        <v>922</v>
      </c>
      <c r="S279" s="288" t="s">
        <v>923</v>
      </c>
      <c r="T279" s="288" t="s">
        <v>924</v>
      </c>
      <c r="U279" s="288" t="s">
        <v>925</v>
      </c>
      <c r="V279" s="289" t="s">
        <v>300</v>
      </c>
      <c r="W279" s="289" t="s">
        <v>301</v>
      </c>
      <c r="X279" s="647"/>
      <c r="Y279" s="281"/>
      <c r="Z279" s="200"/>
      <c r="AA279" s="200"/>
      <c r="AB279" s="200"/>
      <c r="AC279" s="200"/>
    </row>
    <row r="280" spans="1:29" ht="12.75" customHeight="1">
      <c r="A280" s="200"/>
      <c r="B280" s="212">
        <v>1</v>
      </c>
      <c r="C280" s="203" t="s">
        <v>296</v>
      </c>
      <c r="D280" s="270" t="s">
        <v>830</v>
      </c>
      <c r="E280" s="271">
        <v>2009</v>
      </c>
      <c r="F280" s="272"/>
      <c r="G280" s="290">
        <f t="shared" ref="G280:G315" si="2">+I280+K280+M280+O280+P280+R280+T280</f>
        <v>5</v>
      </c>
      <c r="H280" s="273"/>
      <c r="I280" s="212"/>
      <c r="J280" s="212"/>
      <c r="K280" s="212"/>
      <c r="L280" s="212">
        <v>61</v>
      </c>
      <c r="M280" s="212">
        <v>5</v>
      </c>
      <c r="N280" s="212"/>
      <c r="O280" s="212"/>
      <c r="P280" s="212"/>
      <c r="Q280" s="212"/>
      <c r="R280" s="212"/>
      <c r="S280" s="212"/>
      <c r="T280" s="212"/>
      <c r="U280" s="212"/>
      <c r="V280" s="212"/>
      <c r="W280" s="214" t="s">
        <v>44</v>
      </c>
      <c r="X280" s="675" t="s">
        <v>1068</v>
      </c>
      <c r="Y280" s="291"/>
      <c r="Z280" s="200"/>
      <c r="AA280" s="200"/>
      <c r="AB280" s="200"/>
      <c r="AC280" s="200"/>
    </row>
    <row r="281" spans="1:29" ht="12.75" customHeight="1">
      <c r="A281" s="200"/>
      <c r="B281" s="212">
        <v>2</v>
      </c>
      <c r="C281" s="203" t="s">
        <v>296</v>
      </c>
      <c r="D281" s="270" t="s">
        <v>830</v>
      </c>
      <c r="E281" s="271">
        <v>2010</v>
      </c>
      <c r="F281" s="272"/>
      <c r="G281" s="290">
        <f t="shared" si="2"/>
        <v>5</v>
      </c>
      <c r="H281" s="273"/>
      <c r="I281" s="212"/>
      <c r="J281" s="212"/>
      <c r="K281" s="212"/>
      <c r="L281" s="212">
        <v>61</v>
      </c>
      <c r="M281" s="212">
        <v>5</v>
      </c>
      <c r="N281" s="212"/>
      <c r="O281" s="212"/>
      <c r="P281" s="212"/>
      <c r="Q281" s="212"/>
      <c r="R281" s="212"/>
      <c r="S281" s="212"/>
      <c r="T281" s="212"/>
      <c r="U281" s="212"/>
      <c r="V281" s="212"/>
      <c r="W281" s="214" t="s">
        <v>44</v>
      </c>
      <c r="X281" s="676"/>
      <c r="Y281" s="291"/>
      <c r="Z281" s="200"/>
      <c r="AA281" s="200"/>
      <c r="AB281" s="200"/>
      <c r="AC281" s="200"/>
    </row>
    <row r="282" spans="1:29" ht="12.75" customHeight="1">
      <c r="A282" s="200"/>
      <c r="B282" s="212">
        <v>3</v>
      </c>
      <c r="C282" s="203" t="s">
        <v>296</v>
      </c>
      <c r="D282" s="270" t="s">
        <v>830</v>
      </c>
      <c r="E282" s="271">
        <v>2010</v>
      </c>
      <c r="F282" s="272">
        <v>2012</v>
      </c>
      <c r="G282" s="290">
        <f t="shared" si="2"/>
        <v>2</v>
      </c>
      <c r="H282" s="273">
        <v>8</v>
      </c>
      <c r="I282" s="212">
        <v>2</v>
      </c>
      <c r="J282" s="212"/>
      <c r="K282" s="212"/>
      <c r="L282" s="212"/>
      <c r="M282" s="212"/>
      <c r="N282" s="212"/>
      <c r="O282" s="212"/>
      <c r="P282" s="212"/>
      <c r="Q282" s="212"/>
      <c r="R282" s="212"/>
      <c r="S282" s="212"/>
      <c r="T282" s="212"/>
      <c r="U282" s="212"/>
      <c r="V282" s="212"/>
      <c r="W282" s="214" t="s">
        <v>44</v>
      </c>
      <c r="X282" s="676"/>
      <c r="Y282" s="291"/>
      <c r="Z282" s="200"/>
      <c r="AA282" s="200"/>
      <c r="AB282" s="200"/>
      <c r="AC282" s="200"/>
    </row>
    <row r="283" spans="1:29" ht="12.75" customHeight="1">
      <c r="A283" s="200"/>
      <c r="B283" s="212">
        <v>4</v>
      </c>
      <c r="C283" s="203" t="s">
        <v>296</v>
      </c>
      <c r="D283" s="270" t="s">
        <v>830</v>
      </c>
      <c r="E283" s="271">
        <v>2011</v>
      </c>
      <c r="F283" s="272"/>
      <c r="G283" s="290">
        <f t="shared" si="2"/>
        <v>8</v>
      </c>
      <c r="H283" s="273"/>
      <c r="I283" s="212"/>
      <c r="J283" s="212"/>
      <c r="K283" s="212"/>
      <c r="L283" s="212">
        <v>97</v>
      </c>
      <c r="M283" s="212">
        <v>8</v>
      </c>
      <c r="N283" s="212"/>
      <c r="O283" s="212"/>
      <c r="P283" s="212"/>
      <c r="Q283" s="212"/>
      <c r="R283" s="212"/>
      <c r="S283" s="212"/>
      <c r="T283" s="212"/>
      <c r="U283" s="212"/>
      <c r="V283" s="212"/>
      <c r="W283" s="214" t="s">
        <v>44</v>
      </c>
      <c r="X283" s="676"/>
      <c r="Y283" s="291"/>
      <c r="Z283" s="200"/>
      <c r="AA283" s="200"/>
      <c r="AB283" s="200"/>
      <c r="AC283" s="200"/>
    </row>
    <row r="284" spans="1:29" ht="12.75" customHeight="1">
      <c r="A284" s="200"/>
      <c r="B284" s="212">
        <v>5</v>
      </c>
      <c r="C284" s="203" t="s">
        <v>296</v>
      </c>
      <c r="D284" s="270" t="s">
        <v>830</v>
      </c>
      <c r="E284" s="271">
        <v>2007</v>
      </c>
      <c r="F284" s="272"/>
      <c r="G284" s="290">
        <f t="shared" si="2"/>
        <v>5</v>
      </c>
      <c r="H284" s="273">
        <v>20</v>
      </c>
      <c r="I284" s="212">
        <v>5</v>
      </c>
      <c r="J284" s="212"/>
      <c r="K284" s="212"/>
      <c r="L284" s="212"/>
      <c r="M284" s="212"/>
      <c r="N284" s="212"/>
      <c r="O284" s="212"/>
      <c r="P284" s="212"/>
      <c r="Q284" s="212"/>
      <c r="R284" s="212"/>
      <c r="S284" s="212"/>
      <c r="T284" s="212"/>
      <c r="U284" s="212"/>
      <c r="V284" s="212"/>
      <c r="W284" s="214" t="s">
        <v>44</v>
      </c>
      <c r="X284" s="676"/>
      <c r="Y284" s="291"/>
      <c r="Z284" s="200"/>
      <c r="AA284" s="200"/>
      <c r="AB284" s="200"/>
      <c r="AC284" s="200"/>
    </row>
    <row r="285" spans="1:29" ht="12.75" customHeight="1">
      <c r="A285" s="200"/>
      <c r="B285" s="212">
        <v>6</v>
      </c>
      <c r="C285" s="203" t="s">
        <v>296</v>
      </c>
      <c r="D285" s="270" t="s">
        <v>830</v>
      </c>
      <c r="E285" s="271">
        <v>2008</v>
      </c>
      <c r="F285" s="272">
        <v>2010</v>
      </c>
      <c r="G285" s="290">
        <f t="shared" si="2"/>
        <v>5</v>
      </c>
      <c r="H285" s="273">
        <v>20</v>
      </c>
      <c r="I285" s="212">
        <v>5</v>
      </c>
      <c r="J285" s="212"/>
      <c r="K285" s="212"/>
      <c r="L285" s="212"/>
      <c r="M285" s="212"/>
      <c r="N285" s="212"/>
      <c r="O285" s="212"/>
      <c r="P285" s="212"/>
      <c r="Q285" s="212"/>
      <c r="R285" s="212"/>
      <c r="S285" s="212"/>
      <c r="T285" s="212"/>
      <c r="U285" s="212"/>
      <c r="V285" s="212"/>
      <c r="W285" s="214" t="s">
        <v>44</v>
      </c>
      <c r="X285" s="676"/>
      <c r="Y285" s="291"/>
      <c r="Z285" s="200"/>
      <c r="AA285" s="200"/>
      <c r="AB285" s="200"/>
      <c r="AC285" s="200"/>
    </row>
    <row r="286" spans="1:29" ht="12.75" customHeight="1">
      <c r="A286" s="200"/>
      <c r="B286" s="212">
        <v>7</v>
      </c>
      <c r="C286" s="203" t="s">
        <v>296</v>
      </c>
      <c r="D286" s="270" t="s">
        <v>830</v>
      </c>
      <c r="E286" s="271">
        <v>2012</v>
      </c>
      <c r="F286" s="272"/>
      <c r="G286" s="290">
        <f t="shared" si="2"/>
        <v>4.5</v>
      </c>
      <c r="H286" s="273">
        <v>18</v>
      </c>
      <c r="I286" s="212">
        <v>4.5</v>
      </c>
      <c r="J286" s="212"/>
      <c r="K286" s="212"/>
      <c r="L286" s="212"/>
      <c r="M286" s="212"/>
      <c r="N286" s="212"/>
      <c r="O286" s="212"/>
      <c r="P286" s="212"/>
      <c r="Q286" s="212"/>
      <c r="R286" s="212"/>
      <c r="S286" s="212"/>
      <c r="T286" s="212"/>
      <c r="U286" s="212"/>
      <c r="V286" s="212"/>
      <c r="W286" s="214" t="s">
        <v>44</v>
      </c>
      <c r="X286" s="676"/>
      <c r="Y286" s="292"/>
      <c r="Z286" s="200"/>
      <c r="AA286" s="200"/>
      <c r="AB286" s="200"/>
      <c r="AC286" s="200"/>
    </row>
    <row r="287" spans="1:29" ht="12.75" customHeight="1">
      <c r="A287" s="200"/>
      <c r="B287" s="212">
        <v>8</v>
      </c>
      <c r="C287" s="203" t="s">
        <v>296</v>
      </c>
      <c r="D287" s="270" t="s">
        <v>830</v>
      </c>
      <c r="E287" s="271">
        <v>2014</v>
      </c>
      <c r="F287" s="272"/>
      <c r="G287" s="290">
        <f t="shared" si="2"/>
        <v>2</v>
      </c>
      <c r="H287" s="273">
        <v>8</v>
      </c>
      <c r="I287" s="212">
        <v>2</v>
      </c>
      <c r="J287" s="212"/>
      <c r="K287" s="212"/>
      <c r="L287" s="212"/>
      <c r="M287" s="212"/>
      <c r="N287" s="212"/>
      <c r="O287" s="212"/>
      <c r="P287" s="212"/>
      <c r="Q287" s="212"/>
      <c r="R287" s="212"/>
      <c r="S287" s="212"/>
      <c r="T287" s="212"/>
      <c r="U287" s="212"/>
      <c r="V287" s="212"/>
      <c r="W287" s="214" t="s">
        <v>44</v>
      </c>
      <c r="X287" s="676"/>
      <c r="Y287" s="292"/>
      <c r="Z287" s="200"/>
      <c r="AA287" s="200"/>
      <c r="AB287" s="200"/>
      <c r="AC287" s="200"/>
    </row>
    <row r="288" spans="1:29" ht="12.75" customHeight="1">
      <c r="A288" s="200"/>
      <c r="B288" s="212">
        <v>9</v>
      </c>
      <c r="C288" s="203" t="s">
        <v>296</v>
      </c>
      <c r="D288" s="270" t="s">
        <v>830</v>
      </c>
      <c r="E288" s="271">
        <v>2015</v>
      </c>
      <c r="F288" s="272"/>
      <c r="G288" s="290">
        <f t="shared" si="2"/>
        <v>6</v>
      </c>
      <c r="H288" s="273">
        <v>23</v>
      </c>
      <c r="I288" s="212">
        <v>6</v>
      </c>
      <c r="J288" s="212"/>
      <c r="K288" s="212"/>
      <c r="L288" s="212"/>
      <c r="M288" s="212"/>
      <c r="N288" s="212"/>
      <c r="O288" s="212"/>
      <c r="P288" s="212"/>
      <c r="Q288" s="212"/>
      <c r="R288" s="212"/>
      <c r="S288" s="212"/>
      <c r="T288" s="212"/>
      <c r="U288" s="212"/>
      <c r="V288" s="212"/>
      <c r="W288" s="214"/>
      <c r="X288" s="676"/>
      <c r="Y288" s="292"/>
      <c r="Z288" s="200"/>
      <c r="AA288" s="293"/>
      <c r="AB288" s="200"/>
      <c r="AC288" s="200"/>
    </row>
    <row r="289" spans="1:29" ht="12.75" customHeight="1">
      <c r="A289" s="200"/>
      <c r="B289" s="212">
        <v>10</v>
      </c>
      <c r="C289" s="203" t="s">
        <v>296</v>
      </c>
      <c r="D289" s="270" t="s">
        <v>1069</v>
      </c>
      <c r="E289" s="271">
        <v>2009</v>
      </c>
      <c r="F289" s="272"/>
      <c r="G289" s="290">
        <f t="shared" si="2"/>
        <v>0.1</v>
      </c>
      <c r="H289" s="273"/>
      <c r="I289" s="212"/>
      <c r="J289" s="212"/>
      <c r="K289" s="212"/>
      <c r="L289" s="212">
        <v>1</v>
      </c>
      <c r="M289" s="212">
        <v>0.1</v>
      </c>
      <c r="N289" s="212"/>
      <c r="O289" s="212"/>
      <c r="P289" s="212"/>
      <c r="Q289" s="212"/>
      <c r="R289" s="212"/>
      <c r="S289" s="212"/>
      <c r="T289" s="212"/>
      <c r="U289" s="212"/>
      <c r="V289" s="212"/>
      <c r="W289" s="214"/>
      <c r="X289" s="676"/>
      <c r="Y289" s="292"/>
      <c r="Z289" s="200"/>
      <c r="AA289" s="293"/>
      <c r="AB289" s="200"/>
      <c r="AC289" s="200"/>
    </row>
    <row r="290" spans="1:29" ht="12.75" customHeight="1">
      <c r="A290" s="200"/>
      <c r="B290" s="212">
        <v>11</v>
      </c>
      <c r="C290" s="203" t="s">
        <v>296</v>
      </c>
      <c r="D290" s="270" t="s">
        <v>1069</v>
      </c>
      <c r="E290" s="271">
        <v>2010</v>
      </c>
      <c r="F290" s="272"/>
      <c r="G290" s="290">
        <f t="shared" si="2"/>
        <v>0.05</v>
      </c>
      <c r="H290" s="273"/>
      <c r="I290" s="212"/>
      <c r="J290" s="212"/>
      <c r="K290" s="212"/>
      <c r="L290" s="212">
        <v>1</v>
      </c>
      <c r="M290" s="212">
        <v>0.05</v>
      </c>
      <c r="N290" s="212"/>
      <c r="O290" s="212"/>
      <c r="P290" s="212"/>
      <c r="Q290" s="212"/>
      <c r="R290" s="212"/>
      <c r="S290" s="212"/>
      <c r="T290" s="212"/>
      <c r="U290" s="212"/>
      <c r="V290" s="212"/>
      <c r="W290" s="214"/>
      <c r="X290" s="676"/>
      <c r="Y290" s="292"/>
      <c r="Z290" s="200"/>
      <c r="AA290" s="293"/>
      <c r="AB290" s="200"/>
      <c r="AC290" s="200"/>
    </row>
    <row r="291" spans="1:29" ht="12.75" customHeight="1">
      <c r="A291" s="200"/>
      <c r="B291" s="212">
        <v>12</v>
      </c>
      <c r="C291" s="203" t="s">
        <v>296</v>
      </c>
      <c r="D291" s="270" t="s">
        <v>1069</v>
      </c>
      <c r="E291" s="271">
        <v>2012</v>
      </c>
      <c r="F291" s="272"/>
      <c r="G291" s="290">
        <f t="shared" si="2"/>
        <v>2.6</v>
      </c>
      <c r="H291" s="273"/>
      <c r="I291" s="212"/>
      <c r="J291" s="212"/>
      <c r="K291" s="212"/>
      <c r="L291" s="212">
        <v>37</v>
      </c>
      <c r="M291" s="212">
        <v>2.6</v>
      </c>
      <c r="N291" s="212"/>
      <c r="O291" s="212"/>
      <c r="P291" s="212"/>
      <c r="Q291" s="212"/>
      <c r="R291" s="212"/>
      <c r="S291" s="212"/>
      <c r="T291" s="212"/>
      <c r="U291" s="212"/>
      <c r="V291" s="212"/>
      <c r="W291" s="214"/>
      <c r="X291" s="676"/>
      <c r="Y291" s="292"/>
      <c r="Z291" s="200"/>
      <c r="AA291" s="293"/>
      <c r="AB291" s="200"/>
      <c r="AC291" s="200"/>
    </row>
    <row r="292" spans="1:29" ht="12.75" customHeight="1">
      <c r="A292" s="200"/>
      <c r="B292" s="212">
        <v>13</v>
      </c>
      <c r="C292" s="203" t="s">
        <v>296</v>
      </c>
      <c r="D292" s="270" t="s">
        <v>1069</v>
      </c>
      <c r="E292" s="271">
        <v>2013</v>
      </c>
      <c r="F292" s="272"/>
      <c r="G292" s="290">
        <f t="shared" si="2"/>
        <v>1</v>
      </c>
      <c r="H292" s="273"/>
      <c r="I292" s="212"/>
      <c r="J292" s="212"/>
      <c r="K292" s="212"/>
      <c r="L292" s="212">
        <v>12</v>
      </c>
      <c r="M292" s="212">
        <v>1</v>
      </c>
      <c r="N292" s="212"/>
      <c r="O292" s="212"/>
      <c r="P292" s="212"/>
      <c r="Q292" s="212"/>
      <c r="R292" s="212"/>
      <c r="S292" s="212"/>
      <c r="T292" s="212"/>
      <c r="U292" s="212"/>
      <c r="V292" s="212"/>
      <c r="W292" s="214"/>
      <c r="X292" s="676"/>
      <c r="Y292" s="292"/>
      <c r="Z292" s="200"/>
      <c r="AA292" s="293"/>
      <c r="AB292" s="200"/>
      <c r="AC292" s="200"/>
    </row>
    <row r="293" spans="1:29" ht="12.75" customHeight="1">
      <c r="A293" s="200"/>
      <c r="B293" s="212">
        <v>14</v>
      </c>
      <c r="C293" s="203" t="s">
        <v>296</v>
      </c>
      <c r="D293" s="270" t="s">
        <v>1069</v>
      </c>
      <c r="E293" s="271">
        <v>2014</v>
      </c>
      <c r="F293" s="272"/>
      <c r="G293" s="290">
        <f t="shared" si="2"/>
        <v>2</v>
      </c>
      <c r="H293" s="273"/>
      <c r="I293" s="212"/>
      <c r="J293" s="212"/>
      <c r="K293" s="212"/>
      <c r="L293" s="212">
        <v>25</v>
      </c>
      <c r="M293" s="212">
        <v>2</v>
      </c>
      <c r="N293" s="212"/>
      <c r="O293" s="212"/>
      <c r="P293" s="212"/>
      <c r="Q293" s="212"/>
      <c r="R293" s="212"/>
      <c r="S293" s="212"/>
      <c r="T293" s="212"/>
      <c r="U293" s="212"/>
      <c r="V293" s="212"/>
      <c r="W293" s="214"/>
      <c r="X293" s="676"/>
      <c r="Y293" s="292"/>
      <c r="Z293" s="200"/>
      <c r="AA293" s="293"/>
      <c r="AB293" s="200"/>
      <c r="AC293" s="200"/>
    </row>
    <row r="294" spans="1:29" ht="12.75" customHeight="1">
      <c r="A294" s="200"/>
      <c r="B294" s="212">
        <v>15</v>
      </c>
      <c r="C294" s="203" t="s">
        <v>296</v>
      </c>
      <c r="D294" s="270" t="s">
        <v>1070</v>
      </c>
      <c r="E294" s="271">
        <v>2006</v>
      </c>
      <c r="F294" s="272">
        <v>2012</v>
      </c>
      <c r="G294" s="290">
        <f t="shared" si="2"/>
        <v>5</v>
      </c>
      <c r="H294" s="273"/>
      <c r="I294" s="212"/>
      <c r="J294" s="212"/>
      <c r="K294" s="212"/>
      <c r="L294" s="212">
        <v>22</v>
      </c>
      <c r="M294" s="212">
        <v>5</v>
      </c>
      <c r="N294" s="212"/>
      <c r="O294" s="212"/>
      <c r="P294" s="212"/>
      <c r="Q294" s="212"/>
      <c r="R294" s="212"/>
      <c r="S294" s="212"/>
      <c r="T294" s="212"/>
      <c r="U294" s="212"/>
      <c r="V294" s="212"/>
      <c r="W294" s="214"/>
      <c r="X294" s="676"/>
      <c r="Y294" s="292"/>
      <c r="Z294" s="200"/>
      <c r="AA294" s="293"/>
      <c r="AB294" s="200"/>
      <c r="AC294" s="200"/>
    </row>
    <row r="295" spans="1:29" ht="12.75" customHeight="1">
      <c r="A295" s="200"/>
      <c r="B295" s="212">
        <v>16</v>
      </c>
      <c r="C295" s="203" t="s">
        <v>296</v>
      </c>
      <c r="D295" s="270" t="s">
        <v>1070</v>
      </c>
      <c r="E295" s="271">
        <v>1998</v>
      </c>
      <c r="F295" s="272">
        <v>2009</v>
      </c>
      <c r="G295" s="290">
        <f t="shared" si="2"/>
        <v>5</v>
      </c>
      <c r="H295" s="273"/>
      <c r="I295" s="212"/>
      <c r="J295" s="212"/>
      <c r="K295" s="212"/>
      <c r="L295" s="212">
        <v>22</v>
      </c>
      <c r="M295" s="212">
        <v>5</v>
      </c>
      <c r="N295" s="212"/>
      <c r="O295" s="212"/>
      <c r="P295" s="212"/>
      <c r="Q295" s="212"/>
      <c r="R295" s="212"/>
      <c r="S295" s="212"/>
      <c r="T295" s="212"/>
      <c r="U295" s="212"/>
      <c r="V295" s="212"/>
      <c r="W295" s="214"/>
      <c r="X295" s="676"/>
      <c r="Y295" s="292"/>
      <c r="Z295" s="200"/>
      <c r="AA295" s="293"/>
      <c r="AB295" s="200"/>
      <c r="AC295" s="200"/>
    </row>
    <row r="296" spans="1:29" ht="12.75" customHeight="1">
      <c r="A296" s="200"/>
      <c r="B296" s="212">
        <v>17</v>
      </c>
      <c r="C296" s="203" t="s">
        <v>296</v>
      </c>
      <c r="D296" s="270" t="s">
        <v>1070</v>
      </c>
      <c r="E296" s="271">
        <v>2008</v>
      </c>
      <c r="F296" s="272">
        <v>2012</v>
      </c>
      <c r="G296" s="290">
        <f t="shared" si="2"/>
        <v>5</v>
      </c>
      <c r="H296" s="273"/>
      <c r="I296" s="212"/>
      <c r="J296" s="212"/>
      <c r="K296" s="212"/>
      <c r="L296" s="212">
        <v>22</v>
      </c>
      <c r="M296" s="212">
        <v>5</v>
      </c>
      <c r="N296" s="212"/>
      <c r="O296" s="212"/>
      <c r="P296" s="212"/>
      <c r="Q296" s="212"/>
      <c r="R296" s="212"/>
      <c r="S296" s="212"/>
      <c r="T296" s="212"/>
      <c r="U296" s="212"/>
      <c r="V296" s="212"/>
      <c r="W296" s="214"/>
      <c r="X296" s="676"/>
      <c r="Y296" s="292"/>
      <c r="Z296" s="200"/>
      <c r="AA296" s="293"/>
      <c r="AB296" s="200"/>
      <c r="AC296" s="200"/>
    </row>
    <row r="297" spans="1:29" ht="12.75" customHeight="1">
      <c r="A297" s="200"/>
      <c r="B297" s="212">
        <v>18</v>
      </c>
      <c r="C297" s="203" t="s">
        <v>296</v>
      </c>
      <c r="D297" s="270" t="s">
        <v>1070</v>
      </c>
      <c r="E297" s="271">
        <v>2002</v>
      </c>
      <c r="F297" s="272"/>
      <c r="G297" s="290">
        <f t="shared" si="2"/>
        <v>2</v>
      </c>
      <c r="H297" s="273"/>
      <c r="I297" s="212"/>
      <c r="J297" s="212"/>
      <c r="K297" s="212"/>
      <c r="L297" s="212">
        <v>21</v>
      </c>
      <c r="M297" s="212">
        <v>2</v>
      </c>
      <c r="N297" s="212"/>
      <c r="O297" s="212"/>
      <c r="P297" s="212"/>
      <c r="Q297" s="212"/>
      <c r="R297" s="212"/>
      <c r="S297" s="212"/>
      <c r="T297" s="212"/>
      <c r="U297" s="212"/>
      <c r="V297" s="212"/>
      <c r="W297" s="214"/>
      <c r="X297" s="676"/>
      <c r="Y297" s="292"/>
      <c r="Z297" s="200"/>
      <c r="AA297" s="293"/>
      <c r="AB297" s="200"/>
      <c r="AC297" s="200"/>
    </row>
    <row r="298" spans="1:29" ht="12.75" customHeight="1">
      <c r="A298" s="200"/>
      <c r="B298" s="212">
        <v>19</v>
      </c>
      <c r="C298" s="203" t="s">
        <v>296</v>
      </c>
      <c r="D298" s="270" t="s">
        <v>830</v>
      </c>
      <c r="E298" s="271">
        <v>2006</v>
      </c>
      <c r="F298" s="272">
        <v>2009</v>
      </c>
      <c r="G298" s="290">
        <f t="shared" si="2"/>
        <v>10</v>
      </c>
      <c r="H298" s="273"/>
      <c r="I298" s="212"/>
      <c r="J298" s="212"/>
      <c r="K298" s="212"/>
      <c r="L298" s="212">
        <v>22</v>
      </c>
      <c r="M298" s="212">
        <v>10</v>
      </c>
      <c r="N298" s="212"/>
      <c r="O298" s="212"/>
      <c r="P298" s="212"/>
      <c r="Q298" s="212"/>
      <c r="R298" s="212"/>
      <c r="S298" s="212"/>
      <c r="T298" s="212"/>
      <c r="U298" s="212"/>
      <c r="V298" s="212"/>
      <c r="W298" s="214"/>
      <c r="X298" s="676"/>
      <c r="Y298" s="292"/>
      <c r="Z298" s="200"/>
      <c r="AA298" s="293"/>
      <c r="AB298" s="200"/>
      <c r="AC298" s="200"/>
    </row>
    <row r="299" spans="1:29" ht="12.75" customHeight="1">
      <c r="A299" s="200"/>
      <c r="B299" s="212">
        <v>20</v>
      </c>
      <c r="C299" s="203" t="s">
        <v>296</v>
      </c>
      <c r="D299" s="270" t="s">
        <v>830</v>
      </c>
      <c r="E299" s="271">
        <v>2014</v>
      </c>
      <c r="F299" s="272"/>
      <c r="G299" s="290">
        <f t="shared" si="2"/>
        <v>6</v>
      </c>
      <c r="H299" s="273">
        <v>24</v>
      </c>
      <c r="I299" s="212">
        <v>6</v>
      </c>
      <c r="J299" s="212"/>
      <c r="K299" s="212"/>
      <c r="L299" s="212"/>
      <c r="M299" s="212"/>
      <c r="N299" s="212"/>
      <c r="O299" s="212"/>
      <c r="P299" s="212"/>
      <c r="Q299" s="212"/>
      <c r="R299" s="212"/>
      <c r="S299" s="212"/>
      <c r="T299" s="212"/>
      <c r="U299" s="212"/>
      <c r="V299" s="212"/>
      <c r="W299" s="214"/>
      <c r="X299" s="676"/>
      <c r="Y299" s="292"/>
      <c r="Z299" s="200"/>
      <c r="AA299" s="293"/>
      <c r="AB299" s="200"/>
      <c r="AC299" s="200"/>
    </row>
    <row r="300" spans="1:29" ht="12.75" customHeight="1">
      <c r="A300" s="200"/>
      <c r="B300" s="212">
        <v>21</v>
      </c>
      <c r="C300" s="203" t="s">
        <v>296</v>
      </c>
      <c r="D300" s="270" t="s">
        <v>1070</v>
      </c>
      <c r="E300" s="271">
        <v>1991</v>
      </c>
      <c r="F300" s="272">
        <v>2014</v>
      </c>
      <c r="G300" s="290">
        <f t="shared" si="2"/>
        <v>27.5</v>
      </c>
      <c r="H300" s="273">
        <v>110</v>
      </c>
      <c r="I300" s="212">
        <v>27.5</v>
      </c>
      <c r="J300" s="212"/>
      <c r="K300" s="212"/>
      <c r="L300" s="212"/>
      <c r="M300" s="212"/>
      <c r="N300" s="212"/>
      <c r="O300" s="212"/>
      <c r="P300" s="212"/>
      <c r="Q300" s="212"/>
      <c r="R300" s="212"/>
      <c r="S300" s="212"/>
      <c r="T300" s="212"/>
      <c r="U300" s="212"/>
      <c r="V300" s="212"/>
      <c r="W300" s="214"/>
      <c r="X300" s="676"/>
      <c r="Y300" s="292"/>
      <c r="Z300" s="200"/>
      <c r="AA300" s="293"/>
      <c r="AB300" s="200"/>
      <c r="AC300" s="200"/>
    </row>
    <row r="301" spans="1:29" ht="12.75" customHeight="1">
      <c r="A301" s="200"/>
      <c r="B301" s="212">
        <v>22</v>
      </c>
      <c r="C301" s="203" t="s">
        <v>886</v>
      </c>
      <c r="D301" s="270" t="s">
        <v>1071</v>
      </c>
      <c r="E301" s="271">
        <v>2013</v>
      </c>
      <c r="F301" s="272">
        <v>2014</v>
      </c>
      <c r="G301" s="290">
        <f t="shared" si="2"/>
        <v>10</v>
      </c>
      <c r="H301" s="273"/>
      <c r="I301" s="212"/>
      <c r="J301" s="212"/>
      <c r="K301" s="212"/>
      <c r="L301" s="212">
        <v>34</v>
      </c>
      <c r="M301" s="212">
        <v>10</v>
      </c>
      <c r="N301" s="212"/>
      <c r="O301" s="212"/>
      <c r="P301" s="212"/>
      <c r="Q301" s="212"/>
      <c r="R301" s="212"/>
      <c r="S301" s="212"/>
      <c r="T301" s="212"/>
      <c r="U301" s="212"/>
      <c r="V301" s="212"/>
      <c r="W301" s="214" t="s">
        <v>44</v>
      </c>
      <c r="X301" s="676"/>
      <c r="Y301" s="292"/>
      <c r="Z301" s="200"/>
      <c r="AA301" s="200"/>
      <c r="AB301" s="200"/>
      <c r="AC301" s="200"/>
    </row>
    <row r="302" spans="1:29" ht="12.75" customHeight="1">
      <c r="A302" s="200"/>
      <c r="B302" s="212">
        <v>23</v>
      </c>
      <c r="C302" s="203" t="s">
        <v>886</v>
      </c>
      <c r="D302" s="270" t="s">
        <v>1071</v>
      </c>
      <c r="E302" s="271">
        <v>2012</v>
      </c>
      <c r="F302" s="272">
        <v>2013</v>
      </c>
      <c r="G302" s="290">
        <f t="shared" si="2"/>
        <v>4.4000000000000004</v>
      </c>
      <c r="H302" s="273"/>
      <c r="I302" s="212"/>
      <c r="J302" s="212"/>
      <c r="K302" s="212"/>
      <c r="L302" s="212">
        <v>15</v>
      </c>
      <c r="M302" s="212">
        <v>4.4000000000000004</v>
      </c>
      <c r="N302" s="212"/>
      <c r="O302" s="212"/>
      <c r="P302" s="212"/>
      <c r="Q302" s="212"/>
      <c r="R302" s="212"/>
      <c r="S302" s="212"/>
      <c r="T302" s="212"/>
      <c r="U302" s="212"/>
      <c r="V302" s="212"/>
      <c r="W302" s="214" t="s">
        <v>44</v>
      </c>
      <c r="X302" s="676"/>
      <c r="Y302" s="292"/>
      <c r="Z302" s="200"/>
      <c r="AA302" s="200"/>
      <c r="AB302" s="200"/>
      <c r="AC302" s="200"/>
    </row>
    <row r="303" spans="1:29" ht="12.75" customHeight="1">
      <c r="A303" s="200"/>
      <c r="B303" s="212">
        <v>24</v>
      </c>
      <c r="C303" s="203" t="s">
        <v>886</v>
      </c>
      <c r="D303" s="270" t="s">
        <v>1071</v>
      </c>
      <c r="E303" s="271">
        <v>2012</v>
      </c>
      <c r="F303" s="272"/>
      <c r="G303" s="290">
        <f t="shared" si="2"/>
        <v>4</v>
      </c>
      <c r="H303" s="273"/>
      <c r="I303" s="212"/>
      <c r="J303" s="212"/>
      <c r="K303" s="212"/>
      <c r="L303" s="212">
        <v>14</v>
      </c>
      <c r="M303" s="212">
        <v>4</v>
      </c>
      <c r="N303" s="212"/>
      <c r="O303" s="212"/>
      <c r="P303" s="212"/>
      <c r="Q303" s="212"/>
      <c r="R303" s="212"/>
      <c r="S303" s="212"/>
      <c r="T303" s="212"/>
      <c r="U303" s="212"/>
      <c r="V303" s="212"/>
      <c r="W303" s="214" t="s">
        <v>44</v>
      </c>
      <c r="X303" s="676"/>
      <c r="Y303" s="292"/>
      <c r="Z303" s="200"/>
      <c r="AA303" s="200"/>
      <c r="AB303" s="200"/>
      <c r="AC303" s="200"/>
    </row>
    <row r="304" spans="1:29" ht="12.75" customHeight="1">
      <c r="A304" s="200"/>
      <c r="B304" s="212">
        <v>25</v>
      </c>
      <c r="C304" s="203" t="s">
        <v>886</v>
      </c>
      <c r="D304" s="270" t="s">
        <v>1072</v>
      </c>
      <c r="E304" s="271">
        <v>1997</v>
      </c>
      <c r="F304" s="272">
        <v>2012</v>
      </c>
      <c r="G304" s="290">
        <f t="shared" si="2"/>
        <v>240</v>
      </c>
      <c r="H304" s="273">
        <v>60</v>
      </c>
      <c r="I304" s="212">
        <v>240</v>
      </c>
      <c r="J304" s="212"/>
      <c r="K304" s="212"/>
      <c r="L304" s="212"/>
      <c r="M304" s="212"/>
      <c r="N304" s="212"/>
      <c r="O304" s="212"/>
      <c r="P304" s="212"/>
      <c r="Q304" s="212"/>
      <c r="R304" s="212"/>
      <c r="S304" s="212"/>
      <c r="T304" s="212"/>
      <c r="U304" s="212"/>
      <c r="V304" s="212"/>
      <c r="W304" s="214"/>
      <c r="X304" s="676"/>
      <c r="Y304" s="292"/>
      <c r="Z304" s="200"/>
      <c r="AA304" s="200"/>
      <c r="AB304" s="200"/>
      <c r="AC304" s="200"/>
    </row>
    <row r="305" spans="1:29" ht="12.75" customHeight="1">
      <c r="A305" s="200"/>
      <c r="B305" s="212">
        <v>26</v>
      </c>
      <c r="C305" s="211" t="s">
        <v>537</v>
      </c>
      <c r="D305" s="270" t="s">
        <v>830</v>
      </c>
      <c r="E305" s="271">
        <v>2008</v>
      </c>
      <c r="F305" s="272">
        <v>2014</v>
      </c>
      <c r="G305" s="290">
        <f t="shared" si="2"/>
        <v>17</v>
      </c>
      <c r="H305" s="273"/>
      <c r="I305" s="212"/>
      <c r="J305" s="212"/>
      <c r="K305" s="212"/>
      <c r="L305" s="212">
        <v>187</v>
      </c>
      <c r="M305" s="212">
        <v>17</v>
      </c>
      <c r="N305" s="212"/>
      <c r="O305" s="212"/>
      <c r="P305" s="212"/>
      <c r="Q305" s="212"/>
      <c r="R305" s="212"/>
      <c r="S305" s="212"/>
      <c r="T305" s="212"/>
      <c r="U305" s="212"/>
      <c r="V305" s="212"/>
      <c r="W305" s="214" t="s">
        <v>44</v>
      </c>
      <c r="X305" s="676"/>
      <c r="Y305" s="292"/>
      <c r="Z305" s="200"/>
      <c r="AA305" s="200"/>
      <c r="AB305" s="200"/>
      <c r="AC305" s="200"/>
    </row>
    <row r="306" spans="1:29" ht="12.75" customHeight="1">
      <c r="A306" s="200"/>
      <c r="B306" s="212">
        <v>27</v>
      </c>
      <c r="C306" s="211" t="s">
        <v>537</v>
      </c>
      <c r="D306" s="270" t="s">
        <v>1073</v>
      </c>
      <c r="E306" s="271">
        <v>2011</v>
      </c>
      <c r="F306" s="272">
        <v>2012</v>
      </c>
      <c r="G306" s="290">
        <f t="shared" si="2"/>
        <v>5</v>
      </c>
      <c r="H306" s="273"/>
      <c r="I306" s="212"/>
      <c r="J306" s="212"/>
      <c r="K306" s="212"/>
      <c r="L306" s="212">
        <v>60</v>
      </c>
      <c r="M306" s="212">
        <v>5</v>
      </c>
      <c r="N306" s="212"/>
      <c r="O306" s="212"/>
      <c r="P306" s="212"/>
      <c r="Q306" s="212"/>
      <c r="R306" s="212"/>
      <c r="S306" s="212"/>
      <c r="T306" s="212"/>
      <c r="U306" s="212"/>
      <c r="V306" s="212"/>
      <c r="W306" s="214" t="s">
        <v>44</v>
      </c>
      <c r="X306" s="676"/>
      <c r="Y306" s="292"/>
      <c r="Z306" s="200"/>
      <c r="AA306" s="200"/>
      <c r="AB306" s="200"/>
      <c r="AC306" s="200"/>
    </row>
    <row r="307" spans="1:29" ht="12.75" customHeight="1">
      <c r="A307" s="200"/>
      <c r="B307" s="212">
        <v>28</v>
      </c>
      <c r="C307" s="203" t="s">
        <v>1074</v>
      </c>
      <c r="D307" s="270" t="s">
        <v>830</v>
      </c>
      <c r="E307" s="271">
        <v>2012</v>
      </c>
      <c r="F307" s="272">
        <v>2014</v>
      </c>
      <c r="G307" s="290">
        <f t="shared" si="2"/>
        <v>2.5</v>
      </c>
      <c r="H307" s="273">
        <v>10</v>
      </c>
      <c r="I307" s="212">
        <v>2.5</v>
      </c>
      <c r="J307" s="212"/>
      <c r="K307" s="212"/>
      <c r="L307" s="212"/>
      <c r="M307" s="212"/>
      <c r="N307" s="212"/>
      <c r="O307" s="212"/>
      <c r="P307" s="212"/>
      <c r="Q307" s="212"/>
      <c r="R307" s="212"/>
      <c r="S307" s="212"/>
      <c r="T307" s="212"/>
      <c r="U307" s="212"/>
      <c r="V307" s="212"/>
      <c r="W307" s="214" t="s">
        <v>44</v>
      </c>
      <c r="X307" s="676"/>
      <c r="Y307" s="292"/>
      <c r="Z307" s="200"/>
      <c r="AA307" s="200"/>
      <c r="AB307" s="200"/>
      <c r="AC307" s="200"/>
    </row>
    <row r="308" spans="1:29" ht="12.75" customHeight="1">
      <c r="A308" s="200"/>
      <c r="B308" s="212">
        <v>29</v>
      </c>
      <c r="C308" s="203" t="s">
        <v>1074</v>
      </c>
      <c r="D308" s="270" t="s">
        <v>830</v>
      </c>
      <c r="E308" s="271">
        <v>2013</v>
      </c>
      <c r="F308" s="272">
        <v>2014</v>
      </c>
      <c r="G308" s="290">
        <f t="shared" si="2"/>
        <v>6</v>
      </c>
      <c r="H308" s="273">
        <v>24</v>
      </c>
      <c r="I308" s="212">
        <v>6</v>
      </c>
      <c r="J308" s="212"/>
      <c r="K308" s="212"/>
      <c r="L308" s="212"/>
      <c r="M308" s="212"/>
      <c r="N308" s="212"/>
      <c r="O308" s="212"/>
      <c r="P308" s="212"/>
      <c r="Q308" s="212"/>
      <c r="R308" s="212"/>
      <c r="S308" s="212"/>
      <c r="T308" s="212"/>
      <c r="U308" s="212"/>
      <c r="V308" s="212"/>
      <c r="W308" s="214"/>
      <c r="X308" s="676"/>
      <c r="Y308" s="292"/>
      <c r="Z308" s="200"/>
      <c r="AA308" s="200"/>
      <c r="AB308" s="200"/>
      <c r="AC308" s="200"/>
    </row>
    <row r="309" spans="1:29" ht="12.75" customHeight="1">
      <c r="A309" s="200"/>
      <c r="B309" s="212">
        <v>30</v>
      </c>
      <c r="C309" s="203" t="s">
        <v>1074</v>
      </c>
      <c r="D309" s="270" t="s">
        <v>944</v>
      </c>
      <c r="E309" s="271">
        <v>2008</v>
      </c>
      <c r="F309" s="272">
        <v>2011</v>
      </c>
      <c r="G309" s="290">
        <f t="shared" si="2"/>
        <v>11</v>
      </c>
      <c r="H309" s="273">
        <v>44</v>
      </c>
      <c r="I309" s="212">
        <v>11</v>
      </c>
      <c r="J309" s="212"/>
      <c r="K309" s="212"/>
      <c r="L309" s="212"/>
      <c r="M309" s="212"/>
      <c r="N309" s="212"/>
      <c r="O309" s="212"/>
      <c r="P309" s="212"/>
      <c r="Q309" s="212"/>
      <c r="R309" s="212"/>
      <c r="S309" s="212"/>
      <c r="T309" s="212"/>
      <c r="U309" s="212"/>
      <c r="V309" s="212"/>
      <c r="W309" s="214"/>
      <c r="X309" s="676"/>
      <c r="Y309" s="292"/>
      <c r="Z309" s="200"/>
      <c r="AA309" s="200"/>
      <c r="AB309" s="200"/>
      <c r="AC309" s="200"/>
    </row>
    <row r="310" spans="1:29" ht="12.75" customHeight="1">
      <c r="A310" s="200"/>
      <c r="B310" s="212">
        <v>31</v>
      </c>
      <c r="C310" s="203" t="s">
        <v>888</v>
      </c>
      <c r="D310" s="270" t="s">
        <v>1035</v>
      </c>
      <c r="E310" s="271">
        <v>2006</v>
      </c>
      <c r="F310" s="272">
        <v>2010</v>
      </c>
      <c r="G310" s="290">
        <f t="shared" si="2"/>
        <v>24</v>
      </c>
      <c r="H310" s="273"/>
      <c r="I310" s="212"/>
      <c r="J310" s="212"/>
      <c r="K310" s="212"/>
      <c r="L310" s="212">
        <v>12</v>
      </c>
      <c r="M310" s="212">
        <v>24</v>
      </c>
      <c r="N310" s="212"/>
      <c r="O310" s="212"/>
      <c r="P310" s="212"/>
      <c r="Q310" s="212"/>
      <c r="R310" s="212"/>
      <c r="S310" s="212"/>
      <c r="T310" s="212"/>
      <c r="U310" s="212"/>
      <c r="V310" s="212"/>
      <c r="W310" s="214" t="s">
        <v>44</v>
      </c>
      <c r="X310" s="676"/>
      <c r="Y310" s="292"/>
      <c r="Z310" s="200"/>
      <c r="AA310" s="200"/>
      <c r="AB310" s="200"/>
      <c r="AC310" s="200"/>
    </row>
    <row r="311" spans="1:29" ht="12.75" customHeight="1">
      <c r="A311" s="200"/>
      <c r="B311" s="212">
        <v>32</v>
      </c>
      <c r="C311" s="203" t="s">
        <v>888</v>
      </c>
      <c r="D311" s="270" t="s">
        <v>1035</v>
      </c>
      <c r="E311" s="271">
        <v>2011</v>
      </c>
      <c r="F311" s="272">
        <v>2014</v>
      </c>
      <c r="G311" s="290">
        <f t="shared" si="2"/>
        <v>16.5</v>
      </c>
      <c r="H311" s="273"/>
      <c r="I311" s="212"/>
      <c r="J311" s="212"/>
      <c r="K311" s="212"/>
      <c r="L311" s="212">
        <v>12</v>
      </c>
      <c r="M311" s="212">
        <v>16.5</v>
      </c>
      <c r="N311" s="212"/>
      <c r="O311" s="212"/>
      <c r="P311" s="212"/>
      <c r="Q311" s="212"/>
      <c r="R311" s="212"/>
      <c r="S311" s="212"/>
      <c r="T311" s="212"/>
      <c r="U311" s="212"/>
      <c r="V311" s="212"/>
      <c r="W311" s="214" t="s">
        <v>44</v>
      </c>
      <c r="X311" s="676"/>
      <c r="Y311" s="292"/>
      <c r="Z311" s="200"/>
      <c r="AA311" s="200"/>
      <c r="AB311" s="200"/>
      <c r="AC311" s="200"/>
    </row>
    <row r="312" spans="1:29" ht="12.75" customHeight="1">
      <c r="A312" s="200"/>
      <c r="B312" s="212">
        <v>33</v>
      </c>
      <c r="C312" s="203" t="s">
        <v>888</v>
      </c>
      <c r="D312" s="270" t="s">
        <v>1075</v>
      </c>
      <c r="E312" s="271">
        <v>2009</v>
      </c>
      <c r="F312" s="272">
        <v>2011</v>
      </c>
      <c r="G312" s="290">
        <f t="shared" si="2"/>
        <v>7.98</v>
      </c>
      <c r="H312" s="273"/>
      <c r="I312" s="212"/>
      <c r="J312" s="212">
        <v>64</v>
      </c>
      <c r="K312" s="212">
        <v>7.98</v>
      </c>
      <c r="L312" s="212"/>
      <c r="M312" s="212"/>
      <c r="N312" s="212"/>
      <c r="O312" s="212"/>
      <c r="P312" s="212"/>
      <c r="Q312" s="212"/>
      <c r="R312" s="212"/>
      <c r="S312" s="212"/>
      <c r="T312" s="212"/>
      <c r="U312" s="212"/>
      <c r="V312" s="212"/>
      <c r="W312" s="214" t="s">
        <v>44</v>
      </c>
      <c r="X312" s="676"/>
      <c r="Y312" s="292"/>
      <c r="Z312" s="200"/>
      <c r="AA312" s="200"/>
      <c r="AB312" s="200"/>
      <c r="AC312" s="200"/>
    </row>
    <row r="313" spans="1:29" ht="12.75" customHeight="1">
      <c r="A313" s="200"/>
      <c r="B313" s="212">
        <v>34</v>
      </c>
      <c r="C313" s="203" t="s">
        <v>529</v>
      </c>
      <c r="D313" s="270" t="s">
        <v>1076</v>
      </c>
      <c r="E313" s="271">
        <v>2011</v>
      </c>
      <c r="F313" s="272">
        <v>2013</v>
      </c>
      <c r="G313" s="290">
        <f t="shared" si="2"/>
        <v>1.5</v>
      </c>
      <c r="H313" s="273">
        <v>6</v>
      </c>
      <c r="I313" s="212">
        <v>1.5</v>
      </c>
      <c r="J313" s="212"/>
      <c r="K313" s="212"/>
      <c r="L313" s="212"/>
      <c r="M313" s="212"/>
      <c r="N313" s="212"/>
      <c r="O313" s="212"/>
      <c r="P313" s="212"/>
      <c r="Q313" s="212"/>
      <c r="R313" s="212"/>
      <c r="S313" s="212"/>
      <c r="T313" s="212"/>
      <c r="U313" s="212"/>
      <c r="V313" s="212"/>
      <c r="W313" s="214" t="s">
        <v>44</v>
      </c>
      <c r="X313" s="676"/>
      <c r="Y313" s="292"/>
      <c r="Z313" s="200"/>
      <c r="AA313" s="200"/>
      <c r="AB313" s="200"/>
      <c r="AC313" s="200"/>
    </row>
    <row r="314" spans="1:29" ht="12.75" customHeight="1">
      <c r="A314" s="200"/>
      <c r="B314" s="212">
        <v>35</v>
      </c>
      <c r="C314" s="203" t="s">
        <v>893</v>
      </c>
      <c r="D314" s="270" t="s">
        <v>1077</v>
      </c>
      <c r="E314" s="271">
        <v>2012</v>
      </c>
      <c r="F314" s="272">
        <v>2013</v>
      </c>
      <c r="G314" s="290">
        <f t="shared" si="2"/>
        <v>1</v>
      </c>
      <c r="H314" s="273">
        <v>4</v>
      </c>
      <c r="I314" s="212">
        <v>1</v>
      </c>
      <c r="J314" s="212"/>
      <c r="K314" s="212"/>
      <c r="L314" s="212"/>
      <c r="M314" s="212"/>
      <c r="N314" s="212"/>
      <c r="O314" s="212"/>
      <c r="P314" s="212"/>
      <c r="Q314" s="212"/>
      <c r="R314" s="212"/>
      <c r="S314" s="212"/>
      <c r="T314" s="212"/>
      <c r="U314" s="212"/>
      <c r="V314" s="212"/>
      <c r="W314" s="214" t="s">
        <v>44</v>
      </c>
      <c r="X314" s="676"/>
      <c r="Y314" s="292"/>
      <c r="Z314" s="200"/>
      <c r="AA314" s="200"/>
      <c r="AB314" s="200"/>
      <c r="AC314" s="200"/>
    </row>
    <row r="315" spans="1:29" ht="12.75" customHeight="1">
      <c r="A315" s="200"/>
      <c r="B315" s="212">
        <v>36</v>
      </c>
      <c r="C315" s="203" t="s">
        <v>529</v>
      </c>
      <c r="D315" s="270" t="s">
        <v>944</v>
      </c>
      <c r="E315" s="271">
        <v>2012</v>
      </c>
      <c r="F315" s="272"/>
      <c r="G315" s="290">
        <f t="shared" si="2"/>
        <v>3</v>
      </c>
      <c r="H315" s="273">
        <v>12</v>
      </c>
      <c r="I315" s="212">
        <v>3</v>
      </c>
      <c r="J315" s="212"/>
      <c r="K315" s="212"/>
      <c r="L315" s="212"/>
      <c r="M315" s="212"/>
      <c r="N315" s="212"/>
      <c r="O315" s="212"/>
      <c r="P315" s="212"/>
      <c r="Q315" s="212"/>
      <c r="R315" s="212"/>
      <c r="S315" s="212"/>
      <c r="T315" s="212"/>
      <c r="U315" s="212"/>
      <c r="V315" s="212"/>
      <c r="W315" s="214" t="s">
        <v>44</v>
      </c>
      <c r="X315" s="630"/>
      <c r="Y315" s="292"/>
      <c r="Z315" s="200"/>
      <c r="AA315" s="200"/>
      <c r="AB315" s="200"/>
      <c r="AC315" s="200"/>
    </row>
    <row r="316" spans="1:29" ht="12.75" customHeight="1">
      <c r="A316" s="200"/>
      <c r="B316" s="294"/>
      <c r="C316" s="294"/>
      <c r="D316" s="294"/>
      <c r="E316" s="672" t="s">
        <v>1078</v>
      </c>
      <c r="F316" s="644"/>
      <c r="G316" s="295">
        <f t="shared" ref="G316:U316" si="3">SUM(G280:G315)</f>
        <v>462.63</v>
      </c>
      <c r="H316" s="295">
        <f t="shared" si="3"/>
        <v>391</v>
      </c>
      <c r="I316" s="295">
        <f t="shared" si="3"/>
        <v>323</v>
      </c>
      <c r="J316" s="295">
        <f t="shared" si="3"/>
        <v>64</v>
      </c>
      <c r="K316" s="295">
        <f t="shared" si="3"/>
        <v>7.98</v>
      </c>
      <c r="L316" s="295">
        <f t="shared" si="3"/>
        <v>738</v>
      </c>
      <c r="M316" s="295">
        <f t="shared" si="3"/>
        <v>131.65</v>
      </c>
      <c r="N316" s="295">
        <f t="shared" si="3"/>
        <v>0</v>
      </c>
      <c r="O316" s="295">
        <f t="shared" si="3"/>
        <v>0</v>
      </c>
      <c r="P316" s="295">
        <f t="shared" si="3"/>
        <v>0</v>
      </c>
      <c r="Q316" s="295">
        <f t="shared" si="3"/>
        <v>0</v>
      </c>
      <c r="R316" s="295">
        <f t="shared" si="3"/>
        <v>0</v>
      </c>
      <c r="S316" s="295">
        <f t="shared" si="3"/>
        <v>0</v>
      </c>
      <c r="T316" s="295">
        <f t="shared" si="3"/>
        <v>0</v>
      </c>
      <c r="U316" s="295">
        <f t="shared" si="3"/>
        <v>0</v>
      </c>
      <c r="V316" s="296"/>
      <c r="W316" s="214"/>
      <c r="X316" s="296"/>
      <c r="Y316" s="296"/>
      <c r="Z316" s="666"/>
      <c r="AA316" s="638"/>
      <c r="AB316" s="638"/>
      <c r="AC316" s="297"/>
    </row>
    <row r="317" spans="1:29" ht="12.75" customHeight="1">
      <c r="A317" s="200"/>
      <c r="B317" s="667" t="s">
        <v>901</v>
      </c>
      <c r="C317" s="668"/>
      <c r="D317" s="668"/>
      <c r="E317" s="668"/>
      <c r="F317" s="668"/>
      <c r="G317" s="668"/>
      <c r="H317" s="668"/>
      <c r="I317" s="668"/>
      <c r="J317" s="668"/>
      <c r="K317" s="668"/>
      <c r="L317" s="668"/>
      <c r="M317" s="668"/>
      <c r="N317" s="668"/>
      <c r="O317" s="668"/>
      <c r="P317" s="668"/>
      <c r="Q317" s="669"/>
      <c r="R317" s="298"/>
      <c r="S317" s="200"/>
      <c r="T317" s="200"/>
      <c r="U317" s="200"/>
      <c r="V317" s="200"/>
      <c r="W317" s="214"/>
      <c r="X317" s="200"/>
      <c r="Y317" s="200"/>
      <c r="Z317" s="200"/>
      <c r="AA317" s="200"/>
      <c r="AB317" s="200"/>
      <c r="AC317" s="200"/>
    </row>
    <row r="318" spans="1:29" ht="12.75" customHeight="1">
      <c r="A318" s="200"/>
      <c r="B318" s="670"/>
      <c r="C318" s="512"/>
      <c r="D318" s="512"/>
      <c r="E318" s="512"/>
      <c r="F318" s="512"/>
      <c r="G318" s="512"/>
      <c r="H318" s="512"/>
      <c r="I318" s="512"/>
      <c r="J318" s="512"/>
      <c r="K318" s="512"/>
      <c r="L318" s="512"/>
      <c r="M318" s="512"/>
      <c r="N318" s="512"/>
      <c r="O318" s="512"/>
      <c r="P318" s="512"/>
      <c r="Q318" s="641"/>
      <c r="R318" s="297"/>
      <c r="S318" s="200"/>
      <c r="T318" s="200"/>
      <c r="U318" s="200"/>
      <c r="V318" s="200"/>
      <c r="W318" s="200"/>
      <c r="X318" s="200"/>
      <c r="Y318" s="200"/>
      <c r="Z318" s="200"/>
      <c r="AA318" s="200"/>
      <c r="AB318" s="200"/>
      <c r="AC318" s="200"/>
    </row>
    <row r="319" spans="1:29" ht="12.75" customHeight="1">
      <c r="A319" s="200"/>
      <c r="B319" s="671" t="s">
        <v>853</v>
      </c>
      <c r="C319" s="512"/>
      <c r="D319" s="512"/>
      <c r="E319" s="512"/>
      <c r="F319" s="512"/>
      <c r="G319" s="512"/>
      <c r="H319" s="512"/>
      <c r="I319" s="512"/>
      <c r="J319" s="512"/>
      <c r="K319" s="512"/>
      <c r="L319" s="512"/>
      <c r="M319" s="512"/>
      <c r="N319" s="512"/>
      <c r="O319" s="512"/>
      <c r="P319" s="512"/>
      <c r="Q319" s="641"/>
      <c r="R319" s="299"/>
      <c r="S319" s="200"/>
      <c r="T319" s="200"/>
      <c r="U319" s="200"/>
      <c r="V319" s="200"/>
      <c r="W319" s="200"/>
      <c r="X319" s="200"/>
      <c r="Y319" s="200"/>
      <c r="Z319" s="200"/>
      <c r="AA319" s="200"/>
      <c r="AB319" s="200"/>
      <c r="AC319" s="200"/>
    </row>
    <row r="320" spans="1:29" ht="12.75" customHeight="1">
      <c r="A320" s="200"/>
      <c r="B320" s="665" t="s">
        <v>854</v>
      </c>
      <c r="C320" s="643"/>
      <c r="D320" s="643"/>
      <c r="E320" s="643"/>
      <c r="F320" s="643"/>
      <c r="G320" s="643"/>
      <c r="H320" s="643"/>
      <c r="I320" s="643"/>
      <c r="J320" s="643"/>
      <c r="K320" s="643"/>
      <c r="L320" s="643"/>
      <c r="M320" s="643"/>
      <c r="N320" s="643"/>
      <c r="O320" s="643"/>
      <c r="P320" s="643"/>
      <c r="Q320" s="644"/>
      <c r="R320" s="299"/>
      <c r="S320" s="200"/>
      <c r="T320" s="200"/>
      <c r="U320" s="200"/>
      <c r="V320" s="200"/>
      <c r="W320" s="200"/>
      <c r="X320" s="200"/>
      <c r="Y320" s="200"/>
      <c r="Z320" s="200"/>
      <c r="AA320" s="200"/>
      <c r="AB320" s="200"/>
      <c r="AC320" s="200"/>
    </row>
    <row r="321" spans="1:29" ht="12.75" customHeight="1">
      <c r="A321" s="200"/>
      <c r="B321" s="200"/>
      <c r="C321" s="200"/>
      <c r="D321" s="233"/>
      <c r="E321" s="200"/>
      <c r="F321" s="200"/>
      <c r="G321" s="200"/>
      <c r="H321" s="234"/>
      <c r="I321" s="200"/>
      <c r="J321" s="200"/>
      <c r="K321" s="200"/>
      <c r="L321" s="200"/>
      <c r="M321" s="200"/>
      <c r="N321" s="200"/>
      <c r="O321" s="200"/>
      <c r="P321" s="200"/>
      <c r="Q321" s="200"/>
      <c r="R321" s="200"/>
      <c r="S321" s="200"/>
      <c r="T321" s="200"/>
      <c r="U321" s="200"/>
      <c r="V321" s="200"/>
      <c r="W321" s="200"/>
      <c r="X321" s="200"/>
      <c r="Y321" s="200"/>
      <c r="Z321" s="200"/>
      <c r="AA321" s="200"/>
      <c r="AB321" s="200"/>
      <c r="AC321" s="200"/>
    </row>
    <row r="322" spans="1:29" ht="12.75" customHeight="1">
      <c r="A322" s="200"/>
      <c r="B322" s="200"/>
      <c r="C322" s="200"/>
      <c r="D322" s="233"/>
      <c r="E322" s="200"/>
      <c r="F322" s="200"/>
      <c r="G322" s="200"/>
      <c r="H322" s="234"/>
      <c r="I322" s="200"/>
      <c r="J322" s="200"/>
      <c r="K322" s="200"/>
      <c r="L322" s="200"/>
      <c r="M322" s="200"/>
      <c r="N322" s="200"/>
      <c r="O322" s="200"/>
      <c r="P322" s="200"/>
      <c r="Q322" s="200"/>
      <c r="R322" s="200"/>
      <c r="S322" s="200"/>
      <c r="T322" s="200"/>
      <c r="U322" s="200"/>
      <c r="V322" s="200"/>
      <c r="W322" s="200"/>
      <c r="X322" s="200"/>
      <c r="Y322" s="200"/>
      <c r="Z322" s="200"/>
      <c r="AA322" s="200"/>
      <c r="AB322" s="200"/>
      <c r="AC322" s="200"/>
    </row>
    <row r="323" spans="1:29" ht="12.75" customHeight="1">
      <c r="A323" s="200"/>
      <c r="B323" s="200"/>
      <c r="C323" s="200"/>
      <c r="D323" s="233"/>
      <c r="E323" s="200"/>
      <c r="F323" s="200"/>
      <c r="G323" s="200"/>
      <c r="H323" s="234"/>
      <c r="I323" s="200"/>
      <c r="J323" s="200"/>
      <c r="K323" s="200"/>
      <c r="L323" s="200"/>
      <c r="M323" s="200"/>
      <c r="N323" s="200"/>
      <c r="O323" s="200"/>
      <c r="P323" s="200"/>
      <c r="Q323" s="200"/>
      <c r="R323" s="200"/>
      <c r="S323" s="200"/>
      <c r="T323" s="200"/>
      <c r="U323" s="200"/>
      <c r="V323" s="200"/>
      <c r="W323" s="200"/>
      <c r="X323" s="200"/>
      <c r="Y323" s="200"/>
      <c r="Z323" s="200"/>
      <c r="AA323" s="200"/>
      <c r="AB323" s="200"/>
      <c r="AC323" s="200"/>
    </row>
    <row r="324" spans="1:29" ht="12.75" customHeight="1">
      <c r="A324" s="200"/>
      <c r="B324" s="681" t="s">
        <v>60</v>
      </c>
      <c r="C324" s="684" t="s">
        <v>1079</v>
      </c>
      <c r="D324" s="685" t="s">
        <v>863</v>
      </c>
      <c r="E324" s="668"/>
      <c r="F324" s="668"/>
      <c r="G324" s="668"/>
      <c r="H324" s="668"/>
      <c r="I324" s="686"/>
      <c r="J324" s="687" t="s">
        <v>307</v>
      </c>
      <c r="K324" s="200"/>
      <c r="L324" s="200"/>
      <c r="M324" s="200"/>
      <c r="N324" s="200"/>
      <c r="O324" s="200"/>
      <c r="P324" s="200"/>
      <c r="Q324" s="200"/>
      <c r="R324" s="200"/>
      <c r="S324" s="200"/>
      <c r="T324" s="200"/>
      <c r="U324" s="200"/>
      <c r="V324" s="200"/>
      <c r="W324" s="200"/>
      <c r="X324" s="200"/>
      <c r="Y324" s="200"/>
      <c r="Z324" s="200"/>
      <c r="AA324" s="200"/>
      <c r="AB324" s="200"/>
      <c r="AC324" s="200"/>
    </row>
    <row r="325" spans="1:29" ht="12.75" customHeight="1">
      <c r="A325" s="200"/>
      <c r="B325" s="682"/>
      <c r="C325" s="524"/>
      <c r="D325" s="690" t="s">
        <v>1080</v>
      </c>
      <c r="E325" s="512"/>
      <c r="F325" s="512"/>
      <c r="G325" s="512"/>
      <c r="H325" s="512"/>
      <c r="I325" s="510"/>
      <c r="J325" s="688"/>
      <c r="K325" s="200"/>
      <c r="L325" s="200"/>
      <c r="M325" s="200"/>
      <c r="N325" s="200"/>
      <c r="O325" s="200"/>
      <c r="P325" s="200"/>
      <c r="Q325" s="200"/>
      <c r="R325" s="200"/>
      <c r="S325" s="200"/>
      <c r="T325" s="200"/>
      <c r="U325" s="200"/>
      <c r="V325" s="200"/>
      <c r="W325" s="200"/>
      <c r="X325" s="200"/>
      <c r="Y325" s="200"/>
      <c r="Z325" s="200"/>
      <c r="AA325" s="200"/>
      <c r="AB325" s="200"/>
      <c r="AC325" s="200"/>
    </row>
    <row r="326" spans="1:29" ht="12.75" customHeight="1">
      <c r="A326" s="200"/>
      <c r="B326" s="683"/>
      <c r="C326" s="525"/>
      <c r="D326" s="300" t="s">
        <v>911</v>
      </c>
      <c r="E326" s="301" t="s">
        <v>1081</v>
      </c>
      <c r="F326" s="301" t="s">
        <v>1082</v>
      </c>
      <c r="G326" s="301" t="s">
        <v>1083</v>
      </c>
      <c r="H326" s="301" t="s">
        <v>920</v>
      </c>
      <c r="I326" s="301" t="s">
        <v>1084</v>
      </c>
      <c r="J326" s="689"/>
      <c r="K326" s="200"/>
      <c r="L326" s="200"/>
      <c r="M326" s="200"/>
      <c r="N326" s="200"/>
      <c r="O326" s="200"/>
      <c r="P326" s="200"/>
      <c r="Q326" s="200"/>
      <c r="R326" s="200"/>
      <c r="S326" s="200"/>
      <c r="T326" s="200"/>
      <c r="U326" s="200"/>
      <c r="V326" s="200"/>
      <c r="W326" s="200"/>
      <c r="X326" s="200"/>
      <c r="Y326" s="200"/>
      <c r="Z326" s="200"/>
      <c r="AA326" s="200"/>
      <c r="AB326" s="200"/>
      <c r="AC326" s="200"/>
    </row>
    <row r="327" spans="1:29" ht="12.75" customHeight="1">
      <c r="A327" s="200"/>
      <c r="B327" s="302"/>
      <c r="C327" s="303"/>
      <c r="D327" s="259"/>
      <c r="E327" s="304"/>
      <c r="F327" s="304"/>
      <c r="G327" s="304"/>
      <c r="H327" s="304"/>
      <c r="I327" s="304"/>
      <c r="J327" s="274"/>
      <c r="K327" s="200"/>
      <c r="L327" s="200"/>
      <c r="M327" s="200"/>
      <c r="N327" s="200"/>
      <c r="O327" s="200"/>
      <c r="P327" s="200"/>
      <c r="Q327" s="200"/>
      <c r="R327" s="200"/>
      <c r="S327" s="200"/>
      <c r="T327" s="200"/>
      <c r="U327" s="200"/>
      <c r="V327" s="200"/>
      <c r="W327" s="200"/>
      <c r="X327" s="200"/>
      <c r="Y327" s="200"/>
      <c r="Z327" s="200"/>
      <c r="AA327" s="200"/>
      <c r="AB327" s="200"/>
      <c r="AC327" s="200"/>
    </row>
    <row r="328" spans="1:29" ht="12.75" customHeight="1">
      <c r="A328" s="200"/>
      <c r="B328" s="673" t="s">
        <v>901</v>
      </c>
      <c r="C328" s="668"/>
      <c r="D328" s="668"/>
      <c r="E328" s="668"/>
      <c r="F328" s="668"/>
      <c r="G328" s="668"/>
      <c r="H328" s="668"/>
      <c r="I328" s="668"/>
      <c r="J328" s="669"/>
      <c r="K328" s="200"/>
      <c r="L328" s="200"/>
      <c r="M328" s="200"/>
      <c r="N328" s="200"/>
      <c r="O328" s="200"/>
      <c r="P328" s="200"/>
      <c r="Q328" s="200"/>
      <c r="R328" s="200"/>
      <c r="S328" s="200"/>
      <c r="T328" s="200"/>
      <c r="U328" s="200"/>
      <c r="V328" s="200"/>
      <c r="W328" s="200"/>
      <c r="X328" s="200"/>
      <c r="Y328" s="200"/>
      <c r="Z328" s="200"/>
      <c r="AA328" s="200"/>
      <c r="AB328" s="200"/>
      <c r="AC328" s="200"/>
    </row>
    <row r="329" spans="1:29" ht="12.75" customHeight="1">
      <c r="A329" s="200"/>
      <c r="B329" s="674"/>
      <c r="C329" s="512"/>
      <c r="D329" s="512"/>
      <c r="E329" s="512"/>
      <c r="F329" s="512"/>
      <c r="G329" s="512"/>
      <c r="H329" s="512"/>
      <c r="I329" s="512"/>
      <c r="J329" s="641"/>
      <c r="K329" s="200"/>
      <c r="L329" s="200"/>
      <c r="M329" s="200"/>
      <c r="N329" s="200"/>
      <c r="O329" s="200"/>
      <c r="P329" s="200"/>
      <c r="Q329" s="200"/>
      <c r="R329" s="200"/>
      <c r="S329" s="200"/>
      <c r="T329" s="200"/>
      <c r="U329" s="200"/>
      <c r="V329" s="200"/>
      <c r="W329" s="200"/>
      <c r="X329" s="200"/>
      <c r="Y329" s="200"/>
      <c r="Z329" s="200"/>
      <c r="AA329" s="200"/>
      <c r="AB329" s="200"/>
      <c r="AC329" s="200"/>
    </row>
    <row r="330" spans="1:29" ht="12.75" customHeight="1">
      <c r="A330" s="200"/>
      <c r="B330" s="671" t="s">
        <v>853</v>
      </c>
      <c r="C330" s="512"/>
      <c r="D330" s="512"/>
      <c r="E330" s="512"/>
      <c r="F330" s="512"/>
      <c r="G330" s="512"/>
      <c r="H330" s="512"/>
      <c r="I330" s="512"/>
      <c r="J330" s="641"/>
      <c r="K330" s="200"/>
      <c r="L330" s="200"/>
      <c r="M330" s="200"/>
      <c r="N330" s="200"/>
      <c r="O330" s="200"/>
      <c r="P330" s="200"/>
      <c r="Q330" s="200"/>
      <c r="R330" s="200"/>
      <c r="S330" s="200"/>
      <c r="T330" s="200"/>
      <c r="U330" s="200"/>
      <c r="V330" s="200"/>
      <c r="W330" s="200"/>
      <c r="X330" s="200"/>
      <c r="Y330" s="200"/>
      <c r="Z330" s="200"/>
      <c r="AA330" s="200"/>
      <c r="AB330" s="200"/>
      <c r="AC330" s="200"/>
    </row>
    <row r="331" spans="1:29" ht="12.75" customHeight="1">
      <c r="A331" s="200"/>
      <c r="B331" s="665" t="s">
        <v>854</v>
      </c>
      <c r="C331" s="643"/>
      <c r="D331" s="643"/>
      <c r="E331" s="643"/>
      <c r="F331" s="643"/>
      <c r="G331" s="643"/>
      <c r="H331" s="643"/>
      <c r="I331" s="643"/>
      <c r="J331" s="644"/>
      <c r="K331" s="200"/>
      <c r="L331" s="200"/>
      <c r="M331" s="200"/>
      <c r="N331" s="200"/>
      <c r="O331" s="200"/>
      <c r="P331" s="200"/>
      <c r="Q331" s="200"/>
      <c r="R331" s="200"/>
      <c r="S331" s="200"/>
      <c r="T331" s="200"/>
      <c r="U331" s="200"/>
      <c r="V331" s="200"/>
      <c r="W331" s="200"/>
      <c r="X331" s="200"/>
      <c r="Y331" s="200"/>
      <c r="Z331" s="200"/>
      <c r="AA331" s="200"/>
      <c r="AB331" s="200"/>
      <c r="AC331" s="200"/>
    </row>
    <row r="332" spans="1:29" ht="12.75" customHeight="1">
      <c r="A332" s="200"/>
      <c r="B332" s="200"/>
      <c r="C332" s="200"/>
      <c r="D332" s="233"/>
      <c r="E332" s="200"/>
      <c r="F332" s="200"/>
      <c r="G332" s="200"/>
      <c r="H332" s="234"/>
      <c r="I332" s="200"/>
      <c r="J332" s="200"/>
      <c r="K332" s="200"/>
      <c r="L332" s="200"/>
      <c r="M332" s="200"/>
      <c r="N332" s="200"/>
      <c r="O332" s="200"/>
      <c r="P332" s="200"/>
      <c r="Q332" s="200"/>
      <c r="R332" s="200"/>
      <c r="S332" s="200"/>
      <c r="T332" s="200"/>
      <c r="U332" s="200"/>
      <c r="V332" s="200"/>
      <c r="W332" s="200"/>
      <c r="X332" s="200"/>
      <c r="Y332" s="200"/>
      <c r="Z332" s="200"/>
      <c r="AA332" s="200"/>
      <c r="AB332" s="200"/>
      <c r="AC332" s="200"/>
    </row>
    <row r="333" spans="1:29" ht="12.75" customHeight="1">
      <c r="A333" s="200"/>
      <c r="B333" s="200"/>
      <c r="C333" s="200"/>
      <c r="D333" s="233"/>
      <c r="E333" s="200"/>
      <c r="F333" s="200"/>
      <c r="G333" s="200"/>
      <c r="H333" s="234"/>
      <c r="I333" s="200"/>
      <c r="J333" s="200"/>
      <c r="K333" s="200"/>
      <c r="L333" s="200"/>
      <c r="M333" s="200"/>
      <c r="N333" s="200"/>
      <c r="O333" s="200"/>
      <c r="P333" s="200"/>
      <c r="Q333" s="200"/>
      <c r="R333" s="200"/>
      <c r="S333" s="200"/>
      <c r="T333" s="200"/>
      <c r="U333" s="200"/>
      <c r="V333" s="200"/>
      <c r="W333" s="200"/>
      <c r="X333" s="200"/>
      <c r="Y333" s="200"/>
      <c r="Z333" s="200"/>
      <c r="AA333" s="200"/>
      <c r="AB333" s="200"/>
      <c r="AC333" s="200"/>
    </row>
    <row r="334" spans="1:29" ht="12.75" customHeight="1">
      <c r="A334" s="200"/>
      <c r="B334" s="200"/>
      <c r="C334" s="200"/>
      <c r="D334" s="233"/>
      <c r="E334" s="200"/>
      <c r="F334" s="200"/>
      <c r="G334" s="200"/>
      <c r="H334" s="234"/>
      <c r="I334" s="200"/>
      <c r="J334" s="200"/>
      <c r="K334" s="200"/>
      <c r="L334" s="200"/>
      <c r="M334" s="200"/>
      <c r="N334" s="200"/>
      <c r="O334" s="200"/>
      <c r="P334" s="200"/>
      <c r="Q334" s="200"/>
      <c r="R334" s="200"/>
      <c r="S334" s="200"/>
      <c r="T334" s="200"/>
      <c r="U334" s="200"/>
      <c r="V334" s="200"/>
      <c r="W334" s="200"/>
      <c r="X334" s="200"/>
      <c r="Y334" s="200"/>
      <c r="Z334" s="200"/>
      <c r="AA334" s="200"/>
      <c r="AB334" s="200"/>
      <c r="AC334" s="200"/>
    </row>
    <row r="335" spans="1:29" ht="12.75" customHeight="1">
      <c r="A335" s="200"/>
      <c r="B335" s="200"/>
      <c r="C335" s="200"/>
      <c r="D335" s="233"/>
      <c r="E335" s="200"/>
      <c r="F335" s="200"/>
      <c r="G335" s="200"/>
      <c r="H335" s="234"/>
      <c r="I335" s="200"/>
      <c r="J335" s="200"/>
      <c r="K335" s="200"/>
      <c r="L335" s="200"/>
      <c r="M335" s="200"/>
      <c r="N335" s="200"/>
      <c r="O335" s="200"/>
      <c r="P335" s="200"/>
      <c r="Q335" s="200"/>
      <c r="R335" s="200"/>
      <c r="S335" s="200"/>
      <c r="T335" s="200"/>
      <c r="U335" s="200"/>
      <c r="V335" s="200"/>
      <c r="W335" s="200"/>
      <c r="X335" s="200"/>
      <c r="Y335" s="200"/>
      <c r="Z335" s="200"/>
      <c r="AA335" s="200"/>
      <c r="AB335" s="200"/>
      <c r="AC335" s="200"/>
    </row>
    <row r="336" spans="1:29" ht="12.75" customHeight="1">
      <c r="A336" s="200"/>
      <c r="B336" s="200"/>
      <c r="C336" s="200"/>
      <c r="D336" s="233"/>
      <c r="E336" s="200"/>
      <c r="F336" s="200"/>
      <c r="G336" s="200"/>
      <c r="H336" s="234"/>
      <c r="I336" s="200"/>
      <c r="J336" s="200"/>
      <c r="K336" s="200"/>
      <c r="L336" s="200"/>
      <c r="M336" s="200"/>
      <c r="N336" s="200"/>
      <c r="O336" s="200"/>
      <c r="P336" s="200"/>
      <c r="Q336" s="200"/>
      <c r="R336" s="200"/>
      <c r="S336" s="200"/>
      <c r="T336" s="200"/>
      <c r="U336" s="200"/>
      <c r="V336" s="200"/>
      <c r="W336" s="200"/>
      <c r="X336" s="200"/>
      <c r="Y336" s="200"/>
      <c r="Z336" s="200"/>
      <c r="AA336" s="200"/>
      <c r="AB336" s="200"/>
      <c r="AC336" s="200"/>
    </row>
    <row r="337" spans="1:29" ht="12.75" customHeight="1">
      <c r="A337" s="200"/>
      <c r="B337" s="200"/>
      <c r="C337" s="200"/>
      <c r="D337" s="233"/>
      <c r="E337" s="200"/>
      <c r="F337" s="200"/>
      <c r="G337" s="200"/>
      <c r="H337" s="234"/>
      <c r="I337" s="200"/>
      <c r="J337" s="200"/>
      <c r="K337" s="200"/>
      <c r="L337" s="200"/>
      <c r="M337" s="200"/>
      <c r="N337" s="200"/>
      <c r="O337" s="200"/>
      <c r="P337" s="200"/>
      <c r="Q337" s="200"/>
      <c r="R337" s="200"/>
      <c r="S337" s="200"/>
      <c r="T337" s="200"/>
      <c r="U337" s="200"/>
      <c r="V337" s="200"/>
      <c r="W337" s="200"/>
      <c r="X337" s="200"/>
      <c r="Y337" s="200"/>
      <c r="Z337" s="200"/>
      <c r="AA337" s="200"/>
      <c r="AB337" s="200"/>
      <c r="AC337" s="200"/>
    </row>
    <row r="338" spans="1:29" ht="12.75" customHeight="1">
      <c r="A338" s="200"/>
      <c r="B338" s="200"/>
      <c r="C338" s="200"/>
      <c r="D338" s="233"/>
      <c r="E338" s="200"/>
      <c r="F338" s="200"/>
      <c r="G338" s="200"/>
      <c r="H338" s="234"/>
      <c r="I338" s="200"/>
      <c r="J338" s="200"/>
      <c r="K338" s="200"/>
      <c r="L338" s="200"/>
      <c r="M338" s="200"/>
      <c r="N338" s="200"/>
      <c r="O338" s="200"/>
      <c r="P338" s="200"/>
      <c r="Q338" s="200"/>
      <c r="R338" s="200"/>
      <c r="S338" s="200"/>
      <c r="T338" s="200"/>
      <c r="U338" s="200"/>
      <c r="V338" s="200"/>
      <c r="W338" s="200"/>
      <c r="X338" s="200"/>
      <c r="Y338" s="200"/>
      <c r="Z338" s="200"/>
      <c r="AA338" s="200"/>
      <c r="AB338" s="200"/>
      <c r="AC338" s="200"/>
    </row>
    <row r="339" spans="1:29" ht="12.75" customHeight="1">
      <c r="A339" s="200"/>
      <c r="B339" s="200"/>
      <c r="C339" s="200"/>
      <c r="D339" s="233"/>
      <c r="E339" s="200"/>
      <c r="F339" s="200"/>
      <c r="G339" s="200"/>
      <c r="H339" s="234"/>
      <c r="I339" s="200"/>
      <c r="J339" s="200"/>
      <c r="K339" s="200"/>
      <c r="L339" s="200"/>
      <c r="M339" s="200"/>
      <c r="N339" s="200"/>
      <c r="O339" s="200"/>
      <c r="P339" s="200"/>
      <c r="Q339" s="200"/>
      <c r="R339" s="200"/>
      <c r="S339" s="200"/>
      <c r="T339" s="200"/>
      <c r="U339" s="200"/>
      <c r="V339" s="200"/>
      <c r="W339" s="200"/>
      <c r="X339" s="200"/>
      <c r="Y339" s="200"/>
      <c r="Z339" s="200"/>
      <c r="AA339" s="200"/>
      <c r="AB339" s="200"/>
      <c r="AC339" s="200"/>
    </row>
    <row r="340" spans="1:29" ht="12.75" customHeight="1">
      <c r="A340" s="200"/>
      <c r="B340" s="200"/>
      <c r="C340" s="200"/>
      <c r="D340" s="233"/>
      <c r="E340" s="200"/>
      <c r="F340" s="200"/>
      <c r="G340" s="200"/>
      <c r="H340" s="234"/>
      <c r="I340" s="200"/>
      <c r="J340" s="200"/>
      <c r="K340" s="200"/>
      <c r="L340" s="200"/>
      <c r="M340" s="200"/>
      <c r="N340" s="200"/>
      <c r="O340" s="200"/>
      <c r="P340" s="200"/>
      <c r="Q340" s="200"/>
      <c r="R340" s="200"/>
      <c r="S340" s="200"/>
      <c r="T340" s="200"/>
      <c r="U340" s="200"/>
      <c r="V340" s="200"/>
      <c r="W340" s="200"/>
      <c r="X340" s="200"/>
      <c r="Y340" s="200"/>
      <c r="Z340" s="200"/>
      <c r="AA340" s="200"/>
      <c r="AB340" s="200"/>
      <c r="AC340" s="200"/>
    </row>
    <row r="341" spans="1:29" ht="12.75" customHeight="1">
      <c r="A341" s="200"/>
      <c r="B341" s="200"/>
      <c r="C341" s="200"/>
      <c r="D341" s="233"/>
      <c r="E341" s="200"/>
      <c r="F341" s="200"/>
      <c r="G341" s="200"/>
      <c r="H341" s="234"/>
      <c r="I341" s="200"/>
      <c r="J341" s="200"/>
      <c r="K341" s="200"/>
      <c r="L341" s="200"/>
      <c r="M341" s="200"/>
      <c r="N341" s="200"/>
      <c r="O341" s="200"/>
      <c r="P341" s="200"/>
      <c r="Q341" s="200"/>
      <c r="R341" s="200"/>
      <c r="S341" s="200"/>
      <c r="T341" s="200"/>
      <c r="U341" s="200"/>
      <c r="V341" s="200"/>
      <c r="W341" s="200"/>
      <c r="X341" s="200"/>
      <c r="Y341" s="200"/>
      <c r="Z341" s="200"/>
      <c r="AA341" s="200"/>
      <c r="AB341" s="200"/>
      <c r="AC341" s="200"/>
    </row>
    <row r="342" spans="1:29" ht="12.75" customHeight="1">
      <c r="A342" s="200"/>
      <c r="B342" s="200"/>
      <c r="C342" s="200"/>
      <c r="D342" s="233"/>
      <c r="E342" s="200"/>
      <c r="F342" s="200"/>
      <c r="G342" s="200"/>
      <c r="H342" s="234"/>
      <c r="I342" s="200"/>
      <c r="J342" s="200"/>
      <c r="K342" s="200"/>
      <c r="L342" s="200"/>
      <c r="M342" s="200"/>
      <c r="N342" s="200"/>
      <c r="O342" s="200"/>
      <c r="P342" s="200"/>
      <c r="Q342" s="200"/>
      <c r="R342" s="200"/>
      <c r="S342" s="200"/>
      <c r="T342" s="200"/>
      <c r="U342" s="200"/>
      <c r="V342" s="200"/>
      <c r="W342" s="200"/>
      <c r="X342" s="200"/>
      <c r="Y342" s="200"/>
      <c r="Z342" s="200"/>
      <c r="AA342" s="200"/>
      <c r="AB342" s="200"/>
      <c r="AC342" s="200"/>
    </row>
    <row r="343" spans="1:29" ht="12.75" customHeight="1">
      <c r="A343" s="200"/>
      <c r="B343" s="200"/>
      <c r="C343" s="200"/>
      <c r="D343" s="233"/>
      <c r="E343" s="200"/>
      <c r="F343" s="200"/>
      <c r="G343" s="200"/>
      <c r="H343" s="234"/>
      <c r="I343" s="200"/>
      <c r="J343" s="200"/>
      <c r="K343" s="200"/>
      <c r="L343" s="200"/>
      <c r="M343" s="200"/>
      <c r="N343" s="200"/>
      <c r="O343" s="200"/>
      <c r="P343" s="200"/>
      <c r="Q343" s="200"/>
      <c r="R343" s="200"/>
      <c r="S343" s="200"/>
      <c r="T343" s="200"/>
      <c r="U343" s="200"/>
      <c r="V343" s="200"/>
      <c r="W343" s="200"/>
      <c r="X343" s="200"/>
      <c r="Y343" s="200"/>
      <c r="Z343" s="200"/>
      <c r="AA343" s="200"/>
      <c r="AB343" s="200"/>
      <c r="AC343" s="200"/>
    </row>
    <row r="344" spans="1:29" ht="12.75" customHeight="1">
      <c r="A344" s="200"/>
      <c r="B344" s="200"/>
      <c r="C344" s="200"/>
      <c r="D344" s="233"/>
      <c r="E344" s="200"/>
      <c r="F344" s="200"/>
      <c r="G344" s="200"/>
      <c r="H344" s="234"/>
      <c r="I344" s="200"/>
      <c r="J344" s="200"/>
      <c r="K344" s="200"/>
      <c r="L344" s="200"/>
      <c r="M344" s="200"/>
      <c r="N344" s="200"/>
      <c r="O344" s="200"/>
      <c r="P344" s="200"/>
      <c r="Q344" s="200"/>
      <c r="R344" s="200"/>
      <c r="S344" s="200"/>
      <c r="T344" s="200"/>
      <c r="U344" s="200"/>
      <c r="V344" s="200"/>
      <c r="W344" s="200"/>
      <c r="X344" s="200"/>
      <c r="Y344" s="200"/>
      <c r="Z344" s="200"/>
      <c r="AA344" s="200"/>
      <c r="AB344" s="200"/>
      <c r="AC344" s="200"/>
    </row>
    <row r="345" spans="1:29" ht="12.75" customHeight="1">
      <c r="A345" s="200"/>
      <c r="B345" s="200"/>
      <c r="C345" s="200"/>
      <c r="D345" s="233"/>
      <c r="E345" s="200"/>
      <c r="F345" s="200"/>
      <c r="G345" s="200"/>
      <c r="H345" s="234"/>
      <c r="I345" s="200"/>
      <c r="J345" s="200"/>
      <c r="K345" s="200"/>
      <c r="L345" s="200"/>
      <c r="M345" s="200"/>
      <c r="N345" s="200"/>
      <c r="O345" s="200"/>
      <c r="P345" s="200"/>
      <c r="Q345" s="200"/>
      <c r="R345" s="200"/>
      <c r="S345" s="200"/>
      <c r="T345" s="200"/>
      <c r="U345" s="200"/>
      <c r="V345" s="200"/>
      <c r="W345" s="200"/>
      <c r="X345" s="200"/>
      <c r="Y345" s="200"/>
      <c r="Z345" s="200"/>
      <c r="AA345" s="200"/>
      <c r="AB345" s="200"/>
      <c r="AC345" s="200"/>
    </row>
    <row r="346" spans="1:29" ht="12.75" customHeight="1">
      <c r="A346" s="200"/>
      <c r="B346" s="200"/>
      <c r="C346" s="200"/>
      <c r="D346" s="233"/>
      <c r="E346" s="200"/>
      <c r="F346" s="200"/>
      <c r="G346" s="200"/>
      <c r="H346" s="234"/>
      <c r="I346" s="200"/>
      <c r="J346" s="200"/>
      <c r="K346" s="200"/>
      <c r="L346" s="200"/>
      <c r="M346" s="200"/>
      <c r="N346" s="200"/>
      <c r="O346" s="200"/>
      <c r="P346" s="200"/>
      <c r="Q346" s="200"/>
      <c r="R346" s="200"/>
      <c r="S346" s="200"/>
      <c r="T346" s="200"/>
      <c r="U346" s="200"/>
      <c r="V346" s="200"/>
      <c r="W346" s="200"/>
      <c r="X346" s="200"/>
      <c r="Y346" s="200"/>
      <c r="Z346" s="200"/>
      <c r="AA346" s="200"/>
      <c r="AB346" s="200"/>
      <c r="AC346" s="200"/>
    </row>
    <row r="347" spans="1:29" ht="12.75" customHeight="1">
      <c r="A347" s="200"/>
      <c r="B347" s="200"/>
      <c r="C347" s="200"/>
      <c r="D347" s="233"/>
      <c r="E347" s="200"/>
      <c r="F347" s="200"/>
      <c r="G347" s="200"/>
      <c r="H347" s="234"/>
      <c r="I347" s="200"/>
      <c r="J347" s="200"/>
      <c r="K347" s="200"/>
      <c r="L347" s="200"/>
      <c r="M347" s="200"/>
      <c r="N347" s="200"/>
      <c r="O347" s="200"/>
      <c r="P347" s="200"/>
      <c r="Q347" s="200"/>
      <c r="R347" s="200"/>
      <c r="S347" s="200"/>
      <c r="T347" s="200"/>
      <c r="U347" s="200"/>
      <c r="V347" s="200"/>
      <c r="W347" s="200"/>
      <c r="X347" s="200"/>
      <c r="Y347" s="200"/>
      <c r="Z347" s="200"/>
      <c r="AA347" s="200"/>
      <c r="AB347" s="200"/>
      <c r="AC347" s="200"/>
    </row>
    <row r="348" spans="1:29" ht="12.75" customHeight="1">
      <c r="A348" s="305"/>
      <c r="B348" s="305"/>
      <c r="C348" s="305"/>
      <c r="D348" s="306"/>
      <c r="E348" s="305"/>
      <c r="F348" s="305"/>
      <c r="G348" s="305"/>
      <c r="H348" s="297"/>
      <c r="I348" s="305"/>
      <c r="J348" s="305"/>
      <c r="K348" s="305"/>
      <c r="L348" s="305"/>
      <c r="M348" s="305"/>
      <c r="N348" s="305"/>
      <c r="O348" s="305"/>
      <c r="P348" s="305"/>
      <c r="Q348" s="305"/>
      <c r="R348" s="305"/>
      <c r="S348" s="200"/>
      <c r="T348" s="200"/>
      <c r="U348" s="200"/>
      <c r="V348" s="200"/>
      <c r="W348" s="200"/>
      <c r="X348" s="200"/>
      <c r="Y348" s="200"/>
      <c r="Z348" s="200"/>
      <c r="AA348" s="200"/>
      <c r="AB348" s="200"/>
      <c r="AC348" s="200"/>
    </row>
  </sheetData>
  <mergeCells count="76">
    <mergeCell ref="B330:J330"/>
    <mergeCell ref="B331:J331"/>
    <mergeCell ref="B324:B326"/>
    <mergeCell ref="C324:C326"/>
    <mergeCell ref="D324:I324"/>
    <mergeCell ref="J324:J326"/>
    <mergeCell ref="D325:I325"/>
    <mergeCell ref="B277:X277"/>
    <mergeCell ref="B278:B279"/>
    <mergeCell ref="C278:C279"/>
    <mergeCell ref="D278:D279"/>
    <mergeCell ref="E278:F278"/>
    <mergeCell ref="X278:X279"/>
    <mergeCell ref="B272:Q272"/>
    <mergeCell ref="B271:Q271"/>
    <mergeCell ref="E269:F269"/>
    <mergeCell ref="B270:Q270"/>
    <mergeCell ref="B273:Q273"/>
    <mergeCell ref="B328:J328"/>
    <mergeCell ref="B329:J329"/>
    <mergeCell ref="G278:U278"/>
    <mergeCell ref="V278:W278"/>
    <mergeCell ref="X280:X315"/>
    <mergeCell ref="B320:Q320"/>
    <mergeCell ref="Z316:AB316"/>
    <mergeCell ref="B317:Q317"/>
    <mergeCell ref="B318:Q318"/>
    <mergeCell ref="B319:Q319"/>
    <mergeCell ref="E316:F316"/>
    <mergeCell ref="W86:W131"/>
    <mergeCell ref="V140:V143"/>
    <mergeCell ref="W140:W143"/>
    <mergeCell ref="V86:V131"/>
    <mergeCell ref="V144:V268"/>
    <mergeCell ref="W144:W268"/>
    <mergeCell ref="V132:V134"/>
    <mergeCell ref="W132:W134"/>
    <mergeCell ref="V135:V139"/>
    <mergeCell ref="W135:W139"/>
    <mergeCell ref="V44:V49"/>
    <mergeCell ref="V50:V60"/>
    <mergeCell ref="V69:V77"/>
    <mergeCell ref="W69:W77"/>
    <mergeCell ref="V78:V85"/>
    <mergeCell ref="W78:W85"/>
    <mergeCell ref="V61:V63"/>
    <mergeCell ref="W61:W63"/>
    <mergeCell ref="V64:V68"/>
    <mergeCell ref="W64:W68"/>
    <mergeCell ref="W44:W49"/>
    <mergeCell ref="W50:W60"/>
    <mergeCell ref="B1:K1"/>
    <mergeCell ref="B2:K2"/>
    <mergeCell ref="B3:C3"/>
    <mergeCell ref="D3:K3"/>
    <mergeCell ref="H5:I5"/>
    <mergeCell ref="B4:C4"/>
    <mergeCell ref="D4:K4"/>
    <mergeCell ref="B5:B6"/>
    <mergeCell ref="C5:C6"/>
    <mergeCell ref="D5:E5"/>
    <mergeCell ref="F5:G5"/>
    <mergeCell ref="J5:K5"/>
    <mergeCell ref="G42:U42"/>
    <mergeCell ref="V42:V43"/>
    <mergeCell ref="B33:K33"/>
    <mergeCell ref="B34:K35"/>
    <mergeCell ref="B36:K36"/>
    <mergeCell ref="B37:K37"/>
    <mergeCell ref="B41:X41"/>
    <mergeCell ref="B42:B43"/>
    <mergeCell ref="C42:C43"/>
    <mergeCell ref="W42:W43"/>
    <mergeCell ref="X42:X43"/>
    <mergeCell ref="D42:D43"/>
    <mergeCell ref="E42:F42"/>
  </mergeCells>
  <hyperlinks>
    <hyperlink ref="D4" r:id="rId1"/>
  </hyperlinks>
  <pageMargins left="0.48" right="0.45" top="0.5600000000000000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466"/>
  <sheetViews>
    <sheetView workbookViewId="0"/>
  </sheetViews>
  <sheetFormatPr baseColWidth="10" defaultColWidth="14.42578125" defaultRowHeight="15" customHeight="1"/>
  <cols>
    <col min="1" max="1" width="6.5703125" customWidth="1"/>
    <col min="2" max="2" width="44.7109375" customWidth="1"/>
    <col min="3" max="52" width="5.7109375" customWidth="1"/>
    <col min="53" max="53" width="3.7109375" customWidth="1"/>
    <col min="54" max="72" width="10.7109375" customWidth="1"/>
  </cols>
  <sheetData>
    <row r="1" spans="1:72" ht="15" customHeight="1">
      <c r="A1" s="709" t="s">
        <v>1085</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512"/>
      <c r="AD1" s="512"/>
      <c r="AE1" s="512"/>
      <c r="AF1" s="512"/>
      <c r="AG1" s="512"/>
      <c r="AH1" s="512"/>
      <c r="AI1" s="512"/>
      <c r="AJ1" s="512"/>
      <c r="AK1" s="512"/>
      <c r="AL1" s="512"/>
      <c r="AM1" s="512"/>
      <c r="AN1" s="512"/>
      <c r="AO1" s="512"/>
      <c r="AP1" s="512"/>
      <c r="AQ1" s="512"/>
      <c r="AR1" s="512"/>
      <c r="AS1" s="512"/>
      <c r="AT1" s="512"/>
      <c r="AU1" s="512"/>
      <c r="AV1" s="512"/>
      <c r="AW1" s="512"/>
      <c r="AX1" s="512"/>
      <c r="AY1" s="512"/>
      <c r="AZ1" s="512"/>
      <c r="BA1" s="595"/>
    </row>
    <row r="2" spans="1:72" ht="15" customHeight="1">
      <c r="A2" s="709" t="s">
        <v>1086</v>
      </c>
      <c r="B2" s="512"/>
      <c r="C2" s="512"/>
      <c r="D2" s="512"/>
      <c r="E2" s="512"/>
      <c r="F2" s="512"/>
      <c r="G2" s="512"/>
      <c r="H2" s="512"/>
      <c r="I2" s="512"/>
      <c r="J2" s="512"/>
      <c r="K2" s="512"/>
      <c r="L2" s="512"/>
      <c r="M2" s="512"/>
      <c r="N2" s="512"/>
      <c r="O2" s="512"/>
      <c r="P2" s="512"/>
      <c r="Q2" s="512"/>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95"/>
    </row>
    <row r="3" spans="1:72" ht="15" customHeight="1">
      <c r="A3" s="592" t="s">
        <v>284</v>
      </c>
      <c r="B3" s="510"/>
      <c r="C3" s="710" t="s">
        <v>285</v>
      </c>
      <c r="D3" s="512"/>
      <c r="E3" s="512"/>
      <c r="F3" s="512"/>
      <c r="G3" s="512"/>
      <c r="H3" s="512"/>
      <c r="I3" s="512"/>
      <c r="J3" s="512"/>
      <c r="K3" s="512"/>
      <c r="L3" s="512"/>
      <c r="M3" s="512"/>
      <c r="N3" s="512"/>
      <c r="O3" s="512"/>
      <c r="P3" s="512"/>
      <c r="Q3" s="512"/>
      <c r="R3" s="512"/>
      <c r="S3" s="512"/>
      <c r="T3" s="512"/>
      <c r="U3" s="512"/>
      <c r="V3" s="512"/>
      <c r="W3" s="512"/>
      <c r="X3" s="512"/>
      <c r="Y3" s="512"/>
      <c r="Z3" s="512"/>
      <c r="AA3" s="512"/>
      <c r="AB3" s="512"/>
      <c r="AC3" s="512"/>
      <c r="AD3" s="512"/>
      <c r="AE3" s="512"/>
      <c r="AF3" s="512"/>
      <c r="AG3" s="512"/>
      <c r="AH3" s="512"/>
      <c r="AI3" s="512"/>
      <c r="AJ3" s="512"/>
      <c r="AK3" s="512"/>
      <c r="AL3" s="512"/>
      <c r="AM3" s="512"/>
      <c r="AN3" s="512"/>
      <c r="AO3" s="512"/>
      <c r="AP3" s="512"/>
      <c r="AQ3" s="512"/>
      <c r="AR3" s="512"/>
      <c r="AS3" s="512"/>
      <c r="AT3" s="512"/>
      <c r="AU3" s="512"/>
      <c r="AV3" s="512"/>
      <c r="AW3" s="512"/>
      <c r="AX3" s="512"/>
      <c r="AY3" s="512"/>
      <c r="AZ3" s="512"/>
      <c r="BA3" s="512"/>
    </row>
    <row r="4" spans="1:72" ht="15" customHeight="1">
      <c r="A4" s="592" t="s">
        <v>286</v>
      </c>
      <c r="B4" s="510"/>
      <c r="C4" s="710" t="s">
        <v>287</v>
      </c>
      <c r="D4" s="512"/>
      <c r="E4" s="512"/>
      <c r="F4" s="512"/>
      <c r="G4" s="512"/>
      <c r="H4" s="512"/>
      <c r="I4" s="512"/>
      <c r="J4" s="512"/>
      <c r="K4" s="512"/>
      <c r="L4" s="512"/>
      <c r="M4" s="512"/>
      <c r="N4" s="512"/>
      <c r="O4" s="512"/>
      <c r="P4" s="512"/>
      <c r="Q4" s="512"/>
      <c r="R4" s="512"/>
      <c r="S4" s="512"/>
      <c r="T4" s="512"/>
      <c r="U4" s="512"/>
      <c r="V4" s="512"/>
      <c r="W4" s="512"/>
      <c r="X4" s="512"/>
      <c r="Y4" s="512"/>
      <c r="Z4" s="512"/>
      <c r="AA4" s="512"/>
      <c r="AB4" s="512"/>
      <c r="AC4" s="512"/>
      <c r="AD4" s="512"/>
      <c r="AE4" s="512"/>
      <c r="AF4" s="512"/>
      <c r="AG4" s="512"/>
      <c r="AH4" s="512"/>
      <c r="AI4" s="512"/>
      <c r="AJ4" s="512"/>
      <c r="AK4" s="512"/>
      <c r="AL4" s="512"/>
      <c r="AM4" s="512"/>
      <c r="AN4" s="512"/>
      <c r="AO4" s="512"/>
      <c r="AP4" s="512"/>
      <c r="AQ4" s="512"/>
      <c r="AR4" s="512"/>
      <c r="AS4" s="512"/>
      <c r="AT4" s="512"/>
      <c r="AU4" s="512"/>
      <c r="AV4" s="512"/>
      <c r="AW4" s="512"/>
      <c r="AX4" s="512"/>
      <c r="AY4" s="512"/>
      <c r="AZ4" s="512"/>
      <c r="BA4" s="512"/>
    </row>
    <row r="5" spans="1:72" ht="15" customHeight="1">
      <c r="A5" s="592" t="s">
        <v>288</v>
      </c>
      <c r="B5" s="510"/>
      <c r="C5" s="710" t="s">
        <v>1087</v>
      </c>
      <c r="D5" s="512"/>
      <c r="E5" s="512"/>
      <c r="F5" s="512"/>
      <c r="G5" s="512"/>
      <c r="H5" s="512"/>
      <c r="I5" s="512"/>
      <c r="J5" s="512"/>
      <c r="K5" s="512"/>
      <c r="L5" s="512"/>
      <c r="M5" s="512"/>
      <c r="N5" s="512"/>
      <c r="O5" s="512"/>
      <c r="P5" s="512"/>
      <c r="Q5" s="512"/>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row>
    <row r="6" spans="1:72" ht="15" customHeight="1">
      <c r="A6" s="575" t="s">
        <v>1088</v>
      </c>
      <c r="B6" s="575" t="s">
        <v>296</v>
      </c>
      <c r="C6" s="614" t="s">
        <v>299</v>
      </c>
      <c r="D6" s="508"/>
      <c r="E6" s="172"/>
      <c r="F6" s="172"/>
      <c r="G6" s="172"/>
      <c r="H6" s="172"/>
      <c r="I6" s="172"/>
      <c r="J6" s="172"/>
      <c r="K6" s="172"/>
      <c r="L6" s="172"/>
      <c r="M6" s="172"/>
      <c r="N6" s="172"/>
      <c r="O6" s="172"/>
      <c r="P6" s="172"/>
      <c r="Q6" s="172"/>
      <c r="R6" s="172"/>
      <c r="S6" s="172"/>
      <c r="T6" s="172"/>
      <c r="U6" s="172"/>
      <c r="V6" s="172"/>
      <c r="W6" s="172"/>
      <c r="X6" s="172"/>
    </row>
    <row r="7" spans="1:72">
      <c r="A7" s="525"/>
      <c r="B7" s="525"/>
      <c r="C7" s="154" t="s">
        <v>300</v>
      </c>
      <c r="D7" s="307" t="s">
        <v>301</v>
      </c>
      <c r="E7" s="172"/>
      <c r="F7" s="172"/>
      <c r="G7" s="172"/>
      <c r="H7" s="172"/>
      <c r="I7" s="172"/>
      <c r="J7" s="172"/>
      <c r="K7" s="172"/>
      <c r="L7" s="172"/>
      <c r="M7" s="172"/>
      <c r="N7" s="172"/>
      <c r="O7" s="172"/>
      <c r="P7" s="172"/>
      <c r="Q7" s="172"/>
      <c r="R7" s="172"/>
      <c r="S7" s="172"/>
      <c r="T7" s="172"/>
      <c r="U7" s="172"/>
      <c r="V7" s="172"/>
      <c r="W7" s="172"/>
      <c r="X7" s="172"/>
    </row>
    <row r="8" spans="1:72" ht="25.5">
      <c r="A8" s="560" t="s">
        <v>297</v>
      </c>
      <c r="B8" s="308" t="s">
        <v>1089</v>
      </c>
      <c r="C8" s="579">
        <v>1</v>
      </c>
      <c r="D8" s="590"/>
      <c r="E8" s="707"/>
      <c r="F8" s="516"/>
      <c r="G8" s="707"/>
      <c r="H8" s="516"/>
      <c r="I8" s="707"/>
      <c r="J8" s="516"/>
      <c r="K8" s="706"/>
      <c r="L8" s="516"/>
      <c r="M8" s="707"/>
      <c r="N8" s="516"/>
      <c r="O8" s="707"/>
      <c r="P8" s="516"/>
      <c r="Q8" s="707"/>
      <c r="R8" s="516"/>
      <c r="S8" s="707"/>
      <c r="T8" s="516"/>
      <c r="U8" s="707"/>
      <c r="V8" s="516"/>
      <c r="W8" s="707"/>
      <c r="X8" s="516"/>
      <c r="Y8" s="638"/>
      <c r="Z8" s="638"/>
      <c r="AA8" s="638"/>
      <c r="AB8" s="638"/>
      <c r="AC8" s="638"/>
      <c r="AD8" s="638"/>
      <c r="AE8" s="638"/>
      <c r="AF8" s="638"/>
      <c r="AG8" s="638"/>
      <c r="AH8" s="638"/>
      <c r="AI8" s="638"/>
      <c r="AJ8" s="638"/>
      <c r="AK8" s="638"/>
      <c r="AL8" s="638"/>
      <c r="AM8" s="638"/>
      <c r="AN8" s="638"/>
      <c r="AO8" s="638"/>
      <c r="AP8" s="638"/>
      <c r="AQ8" s="638"/>
      <c r="AR8" s="638"/>
      <c r="AS8" s="638"/>
      <c r="AT8" s="638"/>
      <c r="AU8" s="638"/>
      <c r="AV8" s="638"/>
      <c r="AW8" s="638"/>
      <c r="AX8" s="638"/>
      <c r="AY8" s="638"/>
      <c r="AZ8" s="638"/>
    </row>
    <row r="9" spans="1:72">
      <c r="A9" s="525"/>
      <c r="B9" s="77" t="s">
        <v>307</v>
      </c>
      <c r="C9" s="74" t="s">
        <v>1090</v>
      </c>
      <c r="D9" s="75"/>
      <c r="E9" s="75"/>
      <c r="F9" s="75"/>
      <c r="G9" s="75"/>
      <c r="H9" s="75"/>
      <c r="I9" s="75"/>
      <c r="J9" s="75"/>
      <c r="K9" s="309"/>
      <c r="L9" s="309"/>
      <c r="M9" s="75"/>
      <c r="N9" s="75"/>
      <c r="O9" s="75"/>
      <c r="P9" s="75"/>
      <c r="Q9" s="75"/>
      <c r="R9" s="75"/>
      <c r="S9" s="75"/>
      <c r="T9" s="75"/>
      <c r="U9" s="75"/>
      <c r="V9" s="75"/>
      <c r="W9" s="75"/>
      <c r="X9" s="75"/>
      <c r="Y9" s="638"/>
      <c r="Z9" s="638"/>
      <c r="AA9" s="638"/>
      <c r="AB9" s="638"/>
      <c r="AC9" s="638"/>
      <c r="AD9" s="638"/>
      <c r="AE9" s="638"/>
      <c r="AF9" s="638"/>
      <c r="AG9" s="638"/>
      <c r="AH9" s="638"/>
      <c r="AI9" s="638"/>
      <c r="AJ9" s="638"/>
      <c r="AK9" s="638"/>
      <c r="AL9" s="638"/>
      <c r="AM9" s="638"/>
      <c r="AN9" s="638"/>
      <c r="AO9" s="638"/>
      <c r="AP9" s="638"/>
      <c r="AQ9" s="638"/>
      <c r="AR9" s="638"/>
      <c r="AS9" s="638"/>
      <c r="AT9" s="638"/>
      <c r="AU9" s="638"/>
      <c r="AV9" s="638"/>
      <c r="AW9" s="638"/>
      <c r="AX9" s="638"/>
      <c r="AY9" s="638"/>
      <c r="AZ9" s="638"/>
    </row>
    <row r="10" spans="1:72">
      <c r="A10" s="560" t="s">
        <v>309</v>
      </c>
      <c r="B10" s="308" t="s">
        <v>1091</v>
      </c>
      <c r="C10" s="577">
        <v>0</v>
      </c>
      <c r="D10" s="578"/>
      <c r="E10" s="79"/>
      <c r="F10" s="80"/>
      <c r="G10" s="80"/>
      <c r="H10" s="80"/>
      <c r="I10" s="80"/>
      <c r="J10" s="80"/>
      <c r="K10" s="310"/>
      <c r="L10" s="310"/>
      <c r="M10" s="80"/>
      <c r="N10" s="80"/>
      <c r="O10" s="80"/>
      <c r="P10" s="80"/>
      <c r="Q10" s="80"/>
      <c r="R10" s="80"/>
      <c r="S10" s="80"/>
      <c r="T10" s="80"/>
      <c r="U10" s="80"/>
      <c r="V10" s="80"/>
      <c r="W10" s="80"/>
      <c r="X10" s="80"/>
    </row>
    <row r="11" spans="1:72">
      <c r="A11" s="525"/>
      <c r="B11" s="77" t="s">
        <v>307</v>
      </c>
      <c r="C11" s="74"/>
      <c r="D11" s="75"/>
      <c r="E11" s="75"/>
      <c r="F11" s="75"/>
      <c r="G11" s="75"/>
      <c r="H11" s="75"/>
      <c r="I11" s="75"/>
      <c r="J11" s="75"/>
      <c r="K11" s="309"/>
      <c r="L11" s="309"/>
      <c r="M11" s="75"/>
      <c r="N11" s="75"/>
      <c r="O11" s="75"/>
      <c r="P11" s="75"/>
      <c r="Q11" s="75"/>
      <c r="R11" s="75"/>
      <c r="S11" s="75"/>
      <c r="T11" s="75"/>
      <c r="U11" s="75"/>
      <c r="V11" s="75"/>
      <c r="W11" s="75"/>
      <c r="X11" s="75"/>
    </row>
    <row r="12" spans="1:72" ht="38.25">
      <c r="A12" s="560" t="s">
        <v>311</v>
      </c>
      <c r="B12" s="308" t="s">
        <v>1092</v>
      </c>
      <c r="C12" s="556">
        <v>0</v>
      </c>
      <c r="D12" s="510"/>
      <c r="E12" s="79"/>
      <c r="F12" s="80"/>
      <c r="G12" s="103"/>
      <c r="H12" s="103"/>
      <c r="I12" s="103"/>
      <c r="J12" s="103"/>
      <c r="K12" s="311"/>
      <c r="L12" s="311"/>
      <c r="M12" s="103"/>
      <c r="N12" s="103"/>
      <c r="O12" s="103"/>
      <c r="P12" s="103"/>
      <c r="Q12" s="103"/>
      <c r="R12" s="103"/>
      <c r="S12" s="103"/>
      <c r="T12" s="103"/>
      <c r="U12" s="103"/>
      <c r="V12" s="103"/>
      <c r="W12" s="103"/>
      <c r="X12" s="103"/>
    </row>
    <row r="13" spans="1:72">
      <c r="A13" s="525"/>
      <c r="B13" s="77" t="s">
        <v>307</v>
      </c>
      <c r="C13" s="74"/>
      <c r="D13" s="75"/>
      <c r="E13" s="75"/>
      <c r="F13" s="75"/>
      <c r="G13" s="75"/>
      <c r="H13" s="75"/>
      <c r="I13" s="75"/>
      <c r="J13" s="75"/>
      <c r="K13" s="309"/>
      <c r="L13" s="309"/>
      <c r="M13" s="75"/>
      <c r="N13" s="75"/>
      <c r="O13" s="75"/>
      <c r="P13" s="75"/>
      <c r="Q13" s="75"/>
      <c r="R13" s="75"/>
      <c r="S13" s="75"/>
      <c r="T13" s="75"/>
      <c r="U13" s="75"/>
      <c r="V13" s="75"/>
      <c r="W13" s="75"/>
      <c r="X13" s="75"/>
    </row>
    <row r="14" spans="1:72" ht="38.25">
      <c r="A14" s="560" t="s">
        <v>314</v>
      </c>
      <c r="B14" s="308" t="s">
        <v>1093</v>
      </c>
      <c r="C14" s="556">
        <v>0</v>
      </c>
      <c r="D14" s="510"/>
      <c r="E14" s="79"/>
      <c r="F14" s="80"/>
      <c r="G14" s="80"/>
      <c r="H14" s="80"/>
      <c r="I14" s="80"/>
      <c r="J14" s="80"/>
      <c r="K14" s="310"/>
      <c r="L14" s="31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156"/>
      <c r="BB14" s="130"/>
      <c r="BC14" s="130"/>
      <c r="BD14" s="130"/>
      <c r="BE14" s="130"/>
      <c r="BF14" s="130"/>
      <c r="BG14" s="130"/>
      <c r="BH14" s="130"/>
      <c r="BI14" s="130"/>
      <c r="BJ14" s="130"/>
      <c r="BK14" s="130"/>
      <c r="BL14" s="130"/>
      <c r="BM14" s="130"/>
      <c r="BN14" s="130"/>
      <c r="BO14" s="130"/>
      <c r="BP14" s="130"/>
      <c r="BQ14" s="130"/>
      <c r="BR14" s="130"/>
      <c r="BS14" s="130"/>
      <c r="BT14" s="130"/>
    </row>
    <row r="15" spans="1:72">
      <c r="A15" s="525"/>
      <c r="B15" s="77" t="s">
        <v>307</v>
      </c>
      <c r="C15" s="74"/>
      <c r="D15" s="75"/>
      <c r="E15" s="75"/>
      <c r="F15" s="75"/>
      <c r="G15" s="75"/>
      <c r="H15" s="75"/>
      <c r="I15" s="75"/>
      <c r="J15" s="75"/>
      <c r="K15" s="309"/>
      <c r="L15" s="309"/>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155"/>
      <c r="BB15" s="130"/>
      <c r="BC15" s="130"/>
      <c r="BD15" s="130"/>
      <c r="BE15" s="130"/>
      <c r="BF15" s="130"/>
      <c r="BG15" s="130"/>
      <c r="BH15" s="130"/>
      <c r="BI15" s="130"/>
      <c r="BJ15" s="130"/>
      <c r="BK15" s="130"/>
      <c r="BL15" s="130"/>
      <c r="BM15" s="130"/>
      <c r="BN15" s="130"/>
      <c r="BO15" s="130"/>
      <c r="BP15" s="130"/>
      <c r="BQ15" s="130"/>
      <c r="BR15" s="130"/>
      <c r="BS15" s="130"/>
      <c r="BT15" s="130"/>
    </row>
    <row r="16" spans="1:72" ht="38.25">
      <c r="A16" s="560" t="s">
        <v>345</v>
      </c>
      <c r="B16" s="308" t="s">
        <v>1094</v>
      </c>
      <c r="C16" s="556">
        <v>0</v>
      </c>
      <c r="D16" s="510"/>
      <c r="E16" s="707"/>
      <c r="F16" s="516"/>
      <c r="G16" s="707"/>
      <c r="H16" s="516"/>
      <c r="I16" s="707"/>
      <c r="J16" s="516"/>
      <c r="K16" s="706"/>
      <c r="L16" s="516"/>
      <c r="M16" s="707"/>
      <c r="N16" s="516"/>
      <c r="O16" s="707"/>
      <c r="P16" s="516"/>
      <c r="Q16" s="707"/>
      <c r="R16" s="516"/>
      <c r="S16" s="707"/>
      <c r="T16" s="516"/>
      <c r="U16" s="707"/>
      <c r="V16" s="516"/>
      <c r="W16" s="707"/>
      <c r="X16" s="516"/>
      <c r="Y16" s="707"/>
      <c r="Z16" s="516"/>
      <c r="AA16" s="707"/>
      <c r="AB16" s="516"/>
      <c r="AC16" s="707"/>
      <c r="AD16" s="516"/>
      <c r="AE16" s="707"/>
      <c r="AF16" s="516"/>
      <c r="AG16" s="707"/>
      <c r="AH16" s="516"/>
      <c r="AI16" s="707"/>
      <c r="AJ16" s="516"/>
      <c r="AK16" s="707"/>
      <c r="AL16" s="516"/>
      <c r="AM16" s="707"/>
      <c r="AN16" s="516"/>
      <c r="AO16" s="707"/>
      <c r="AP16" s="516"/>
      <c r="AQ16" s="707"/>
      <c r="AR16" s="516"/>
      <c r="AS16" s="707"/>
      <c r="AT16" s="516"/>
      <c r="AU16" s="707"/>
      <c r="AV16" s="516"/>
      <c r="AW16" s="707"/>
      <c r="AX16" s="516"/>
      <c r="AY16" s="707"/>
      <c r="AZ16" s="516"/>
      <c r="BA16" s="172"/>
      <c r="BB16" s="130"/>
      <c r="BC16" s="130"/>
      <c r="BD16" s="130"/>
      <c r="BE16" s="130"/>
      <c r="BF16" s="130"/>
      <c r="BG16" s="130"/>
      <c r="BH16" s="130"/>
      <c r="BI16" s="130"/>
      <c r="BJ16" s="130"/>
      <c r="BK16" s="130"/>
      <c r="BL16" s="130"/>
      <c r="BM16" s="130"/>
      <c r="BN16" s="130"/>
      <c r="BO16" s="130"/>
      <c r="BP16" s="130"/>
      <c r="BQ16" s="130"/>
      <c r="BR16" s="130"/>
      <c r="BS16" s="130"/>
      <c r="BT16" s="130"/>
    </row>
    <row r="17" spans="1:72">
      <c r="A17" s="525"/>
      <c r="B17" s="77" t="s">
        <v>307</v>
      </c>
      <c r="C17" s="74"/>
      <c r="D17" s="75"/>
      <c r="E17" s="75"/>
      <c r="F17" s="75"/>
      <c r="G17" s="75"/>
      <c r="H17" s="75"/>
      <c r="I17" s="75"/>
      <c r="J17" s="75"/>
      <c r="K17" s="309"/>
      <c r="L17" s="309"/>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155"/>
      <c r="BB17" s="130"/>
      <c r="BC17" s="130"/>
      <c r="BD17" s="130"/>
      <c r="BE17" s="130"/>
      <c r="BF17" s="130"/>
      <c r="BG17" s="130"/>
      <c r="BH17" s="130"/>
      <c r="BI17" s="130"/>
      <c r="BJ17" s="130"/>
      <c r="BK17" s="130"/>
      <c r="BL17" s="130"/>
      <c r="BM17" s="130"/>
      <c r="BN17" s="130"/>
      <c r="BO17" s="130"/>
      <c r="BP17" s="130"/>
      <c r="BQ17" s="130"/>
      <c r="BR17" s="130"/>
      <c r="BS17" s="130"/>
      <c r="BT17" s="130"/>
    </row>
    <row r="18" spans="1:72" ht="25.5">
      <c r="A18" s="560" t="s">
        <v>347</v>
      </c>
      <c r="B18" s="308" t="s">
        <v>1095</v>
      </c>
      <c r="C18" s="556">
        <v>0</v>
      </c>
      <c r="D18" s="510"/>
      <c r="E18" s="707"/>
      <c r="F18" s="516"/>
      <c r="G18" s="707"/>
      <c r="H18" s="516"/>
      <c r="I18" s="707"/>
      <c r="J18" s="516"/>
      <c r="K18" s="706"/>
      <c r="L18" s="516"/>
      <c r="M18" s="707"/>
      <c r="N18" s="516"/>
      <c r="O18" s="707"/>
      <c r="P18" s="516"/>
      <c r="Q18" s="707"/>
      <c r="R18" s="516"/>
      <c r="S18" s="707"/>
      <c r="T18" s="516"/>
      <c r="U18" s="707"/>
      <c r="V18" s="516"/>
      <c r="W18" s="707"/>
      <c r="X18" s="516"/>
      <c r="Y18" s="707"/>
      <c r="Z18" s="516"/>
      <c r="AA18" s="707"/>
      <c r="AB18" s="516"/>
      <c r="AC18" s="707"/>
      <c r="AD18" s="516"/>
      <c r="AE18" s="707"/>
      <c r="AF18" s="516"/>
      <c r="AG18" s="707"/>
      <c r="AH18" s="516"/>
      <c r="AI18" s="707"/>
      <c r="AJ18" s="516"/>
      <c r="AK18" s="707"/>
      <c r="AL18" s="516"/>
      <c r="AM18" s="707"/>
      <c r="AN18" s="516"/>
      <c r="AO18" s="707"/>
      <c r="AP18" s="516"/>
      <c r="AQ18" s="707"/>
      <c r="AR18" s="516"/>
      <c r="AS18" s="707"/>
      <c r="AT18" s="516"/>
      <c r="AU18" s="707"/>
      <c r="AV18" s="516"/>
      <c r="AW18" s="707"/>
      <c r="AX18" s="516"/>
      <c r="AY18" s="707"/>
      <c r="AZ18" s="516"/>
      <c r="BA18" s="172"/>
      <c r="BB18" s="130"/>
      <c r="BC18" s="130"/>
      <c r="BD18" s="130"/>
      <c r="BE18" s="130"/>
      <c r="BF18" s="130"/>
      <c r="BG18" s="130"/>
      <c r="BH18" s="130"/>
      <c r="BI18" s="130"/>
      <c r="BJ18" s="130"/>
      <c r="BK18" s="130"/>
      <c r="BL18" s="130"/>
      <c r="BM18" s="130"/>
      <c r="BN18" s="130"/>
      <c r="BO18" s="130"/>
      <c r="BP18" s="130"/>
      <c r="BQ18" s="130"/>
      <c r="BR18" s="130"/>
      <c r="BS18" s="130"/>
      <c r="BT18" s="130"/>
    </row>
    <row r="19" spans="1:72">
      <c r="A19" s="525"/>
      <c r="B19" s="135" t="s">
        <v>307</v>
      </c>
      <c r="C19" s="74"/>
      <c r="D19" s="75"/>
      <c r="E19" s="75"/>
      <c r="F19" s="75"/>
      <c r="G19" s="75"/>
      <c r="H19" s="75"/>
      <c r="I19" s="75"/>
      <c r="J19" s="75"/>
      <c r="K19" s="309"/>
      <c r="L19" s="309"/>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155"/>
      <c r="BB19" s="130"/>
      <c r="BC19" s="130"/>
      <c r="BD19" s="130"/>
      <c r="BE19" s="130"/>
      <c r="BF19" s="130"/>
      <c r="BG19" s="130"/>
      <c r="BH19" s="130"/>
      <c r="BI19" s="130"/>
      <c r="BJ19" s="130"/>
      <c r="BK19" s="130"/>
      <c r="BL19" s="130"/>
      <c r="BM19" s="130"/>
      <c r="BN19" s="130"/>
      <c r="BO19" s="130"/>
      <c r="BP19" s="130"/>
      <c r="BQ19" s="130"/>
      <c r="BR19" s="130"/>
      <c r="BS19" s="130"/>
      <c r="BT19" s="130"/>
    </row>
    <row r="20" spans="1:72" ht="48" customHeight="1">
      <c r="A20" s="312"/>
      <c r="B20" s="313" t="s">
        <v>1096</v>
      </c>
      <c r="C20" s="617" t="s">
        <v>529</v>
      </c>
      <c r="D20" s="510"/>
      <c r="E20" s="617" t="s">
        <v>530</v>
      </c>
      <c r="F20" s="510"/>
      <c r="G20" s="617" t="s">
        <v>531</v>
      </c>
      <c r="H20" s="510"/>
      <c r="I20" s="617" t="s">
        <v>532</v>
      </c>
      <c r="J20" s="510"/>
      <c r="K20" s="617" t="s">
        <v>533</v>
      </c>
      <c r="L20" s="510"/>
      <c r="M20" s="617" t="s">
        <v>534</v>
      </c>
      <c r="N20" s="510"/>
      <c r="O20" s="617" t="s">
        <v>535</v>
      </c>
      <c r="P20" s="510"/>
      <c r="Q20" s="617" t="s">
        <v>536</v>
      </c>
      <c r="R20" s="510"/>
      <c r="S20" s="617" t="s">
        <v>537</v>
      </c>
      <c r="T20" s="510"/>
      <c r="U20" s="617" t="s">
        <v>538</v>
      </c>
      <c r="V20" s="510"/>
      <c r="W20" s="617" t="s">
        <v>539</v>
      </c>
      <c r="X20" s="510"/>
      <c r="Y20" s="617" t="s">
        <v>540</v>
      </c>
      <c r="Z20" s="510"/>
      <c r="AA20" s="617" t="s">
        <v>541</v>
      </c>
      <c r="AB20" s="510"/>
      <c r="AC20" s="617" t="s">
        <v>542</v>
      </c>
      <c r="AD20" s="510"/>
      <c r="AE20" s="617" t="s">
        <v>543</v>
      </c>
      <c r="AF20" s="510"/>
      <c r="AG20" s="617" t="s">
        <v>544</v>
      </c>
      <c r="AH20" s="510"/>
      <c r="AI20" s="617" t="s">
        <v>545</v>
      </c>
      <c r="AJ20" s="510"/>
      <c r="AK20" s="617" t="s">
        <v>546</v>
      </c>
      <c r="AL20" s="510"/>
      <c r="AM20" s="617" t="s">
        <v>547</v>
      </c>
      <c r="AN20" s="510"/>
      <c r="AO20" s="617" t="s">
        <v>548</v>
      </c>
      <c r="AP20" s="510"/>
      <c r="AQ20" s="617" t="s">
        <v>549</v>
      </c>
      <c r="AR20" s="510"/>
      <c r="AS20" s="617" t="s">
        <v>550</v>
      </c>
      <c r="AT20" s="510"/>
      <c r="AU20" s="617" t="s">
        <v>551</v>
      </c>
      <c r="AV20" s="510"/>
      <c r="AW20" s="617" t="s">
        <v>552</v>
      </c>
      <c r="AX20" s="510"/>
      <c r="AY20" s="621" t="s">
        <v>553</v>
      </c>
      <c r="AZ20" s="510"/>
      <c r="BA20" s="130"/>
      <c r="BB20" s="130"/>
      <c r="BC20" s="130"/>
      <c r="BD20" s="130"/>
      <c r="BE20" s="130"/>
      <c r="BF20" s="130"/>
      <c r="BG20" s="130"/>
      <c r="BH20" s="130"/>
      <c r="BI20" s="130"/>
      <c r="BJ20" s="130"/>
      <c r="BK20" s="130"/>
      <c r="BL20" s="130"/>
      <c r="BM20" s="130"/>
      <c r="BN20" s="130"/>
      <c r="BO20" s="130"/>
      <c r="BP20" s="130"/>
      <c r="BQ20" s="130"/>
      <c r="BR20" s="130"/>
      <c r="BS20" s="130"/>
      <c r="BT20" s="130"/>
    </row>
    <row r="21" spans="1:72" ht="15" customHeight="1">
      <c r="A21" s="314"/>
      <c r="B21" s="90" t="s">
        <v>1097</v>
      </c>
      <c r="C21" s="613">
        <v>1</v>
      </c>
      <c r="D21" s="510"/>
      <c r="E21" s="613">
        <v>2</v>
      </c>
      <c r="F21" s="510"/>
      <c r="G21" s="613">
        <v>3</v>
      </c>
      <c r="H21" s="510"/>
      <c r="I21" s="613">
        <v>4</v>
      </c>
      <c r="J21" s="510"/>
      <c r="K21" s="613">
        <v>5</v>
      </c>
      <c r="L21" s="510"/>
      <c r="M21" s="613">
        <v>6</v>
      </c>
      <c r="N21" s="510"/>
      <c r="O21" s="613">
        <v>7</v>
      </c>
      <c r="P21" s="510"/>
      <c r="Q21" s="613">
        <v>8</v>
      </c>
      <c r="R21" s="510"/>
      <c r="S21" s="613">
        <v>9</v>
      </c>
      <c r="T21" s="510"/>
      <c r="U21" s="613">
        <v>10</v>
      </c>
      <c r="V21" s="510"/>
      <c r="W21" s="613">
        <v>11</v>
      </c>
      <c r="X21" s="510"/>
      <c r="Y21" s="613">
        <v>12</v>
      </c>
      <c r="Z21" s="510"/>
      <c r="AA21" s="613">
        <v>13</v>
      </c>
      <c r="AB21" s="510"/>
      <c r="AC21" s="613">
        <v>14</v>
      </c>
      <c r="AD21" s="510"/>
      <c r="AE21" s="613">
        <v>15</v>
      </c>
      <c r="AF21" s="510"/>
      <c r="AG21" s="613">
        <v>16</v>
      </c>
      <c r="AH21" s="510"/>
      <c r="AI21" s="613">
        <v>17</v>
      </c>
      <c r="AJ21" s="510"/>
      <c r="AK21" s="613">
        <v>18</v>
      </c>
      <c r="AL21" s="510"/>
      <c r="AM21" s="613">
        <v>19</v>
      </c>
      <c r="AN21" s="510"/>
      <c r="AO21" s="613">
        <v>20</v>
      </c>
      <c r="AP21" s="510"/>
      <c r="AQ21" s="613">
        <v>21</v>
      </c>
      <c r="AR21" s="510"/>
      <c r="AS21" s="613">
        <v>22</v>
      </c>
      <c r="AT21" s="510"/>
      <c r="AU21" s="613">
        <v>23</v>
      </c>
      <c r="AV21" s="510"/>
      <c r="AW21" s="613">
        <v>24</v>
      </c>
      <c r="AX21" s="510"/>
      <c r="AY21" s="613">
        <v>25</v>
      </c>
      <c r="AZ21" s="510"/>
      <c r="BA21" s="130"/>
      <c r="BB21" s="130"/>
      <c r="BC21" s="130"/>
      <c r="BD21" s="130"/>
      <c r="BE21" s="130"/>
      <c r="BF21" s="130"/>
      <c r="BG21" s="130"/>
      <c r="BH21" s="130"/>
      <c r="BI21" s="130"/>
      <c r="BJ21" s="130"/>
      <c r="BK21" s="130"/>
      <c r="BL21" s="130"/>
      <c r="BM21" s="130"/>
      <c r="BN21" s="130"/>
      <c r="BO21" s="130"/>
      <c r="BP21" s="130"/>
      <c r="BQ21" s="130"/>
      <c r="BR21" s="130"/>
      <c r="BS21" s="130"/>
      <c r="BT21" s="130"/>
    </row>
    <row r="22" spans="1:72" ht="15.75" customHeight="1">
      <c r="A22" s="315" t="s">
        <v>384</v>
      </c>
      <c r="B22" s="315" t="s">
        <v>1098</v>
      </c>
      <c r="C22" s="154" t="s">
        <v>300</v>
      </c>
      <c r="D22" s="154" t="s">
        <v>301</v>
      </c>
      <c r="E22" s="154" t="s">
        <v>300</v>
      </c>
      <c r="F22" s="154" t="s">
        <v>301</v>
      </c>
      <c r="G22" s="154" t="s">
        <v>300</v>
      </c>
      <c r="H22" s="154" t="s">
        <v>301</v>
      </c>
      <c r="I22" s="154" t="s">
        <v>300</v>
      </c>
      <c r="J22" s="154" t="s">
        <v>301</v>
      </c>
      <c r="K22" s="154" t="s">
        <v>300</v>
      </c>
      <c r="L22" s="154" t="s">
        <v>301</v>
      </c>
      <c r="M22" s="154" t="s">
        <v>300</v>
      </c>
      <c r="N22" s="154" t="s">
        <v>301</v>
      </c>
      <c r="O22" s="154" t="s">
        <v>300</v>
      </c>
      <c r="P22" s="154" t="s">
        <v>301</v>
      </c>
      <c r="Q22" s="154" t="s">
        <v>300</v>
      </c>
      <c r="R22" s="154" t="s">
        <v>301</v>
      </c>
      <c r="S22" s="154" t="s">
        <v>300</v>
      </c>
      <c r="T22" s="154" t="s">
        <v>301</v>
      </c>
      <c r="U22" s="154" t="s">
        <v>300</v>
      </c>
      <c r="V22" s="154" t="s">
        <v>301</v>
      </c>
      <c r="W22" s="154" t="s">
        <v>300</v>
      </c>
      <c r="X22" s="154" t="s">
        <v>301</v>
      </c>
      <c r="Y22" s="154" t="s">
        <v>300</v>
      </c>
      <c r="Z22" s="154" t="s">
        <v>301</v>
      </c>
      <c r="AA22" s="154" t="s">
        <v>300</v>
      </c>
      <c r="AB22" s="154" t="s">
        <v>301</v>
      </c>
      <c r="AC22" s="154" t="s">
        <v>300</v>
      </c>
      <c r="AD22" s="154" t="s">
        <v>301</v>
      </c>
      <c r="AE22" s="154" t="s">
        <v>300</v>
      </c>
      <c r="AF22" s="154" t="s">
        <v>301</v>
      </c>
      <c r="AG22" s="154" t="s">
        <v>300</v>
      </c>
      <c r="AH22" s="154" t="s">
        <v>301</v>
      </c>
      <c r="AI22" s="154" t="s">
        <v>300</v>
      </c>
      <c r="AJ22" s="154" t="s">
        <v>301</v>
      </c>
      <c r="AK22" s="154" t="s">
        <v>300</v>
      </c>
      <c r="AL22" s="154" t="s">
        <v>301</v>
      </c>
      <c r="AM22" s="154" t="s">
        <v>300</v>
      </c>
      <c r="AN22" s="154" t="s">
        <v>301</v>
      </c>
      <c r="AO22" s="154" t="s">
        <v>300</v>
      </c>
      <c r="AP22" s="154" t="s">
        <v>301</v>
      </c>
      <c r="AQ22" s="154" t="s">
        <v>300</v>
      </c>
      <c r="AR22" s="154" t="s">
        <v>301</v>
      </c>
      <c r="AS22" s="154" t="s">
        <v>300</v>
      </c>
      <c r="AT22" s="154" t="s">
        <v>301</v>
      </c>
      <c r="AU22" s="154" t="s">
        <v>300</v>
      </c>
      <c r="AV22" s="154" t="s">
        <v>301</v>
      </c>
      <c r="AW22" s="154" t="s">
        <v>300</v>
      </c>
      <c r="AX22" s="154" t="s">
        <v>301</v>
      </c>
      <c r="AY22" s="154" t="s">
        <v>300</v>
      </c>
      <c r="AZ22" s="154" t="s">
        <v>301</v>
      </c>
      <c r="BA22" s="130"/>
      <c r="BB22" s="130"/>
      <c r="BC22" s="130"/>
      <c r="BD22" s="130"/>
      <c r="BE22" s="130"/>
      <c r="BF22" s="130"/>
      <c r="BG22" s="130"/>
      <c r="BH22" s="130"/>
      <c r="BI22" s="130"/>
      <c r="BJ22" s="130"/>
      <c r="BK22" s="130"/>
      <c r="BL22" s="130"/>
      <c r="BM22" s="130"/>
      <c r="BN22" s="130"/>
      <c r="BO22" s="130"/>
      <c r="BP22" s="130"/>
      <c r="BQ22" s="130"/>
      <c r="BR22" s="130"/>
      <c r="BS22" s="130"/>
      <c r="BT22" s="130"/>
    </row>
    <row r="23" spans="1:72" ht="15.75" customHeight="1">
      <c r="A23" s="560" t="s">
        <v>387</v>
      </c>
      <c r="B23" s="316" t="s">
        <v>1099</v>
      </c>
      <c r="C23" s="556"/>
      <c r="D23" s="510"/>
      <c r="E23" s="556"/>
      <c r="F23" s="510"/>
      <c r="G23" s="556"/>
      <c r="H23" s="510"/>
      <c r="I23" s="556"/>
      <c r="J23" s="510"/>
      <c r="K23" s="556"/>
      <c r="L23" s="510"/>
      <c r="M23" s="556"/>
      <c r="N23" s="510"/>
      <c r="O23" s="556"/>
      <c r="P23" s="510"/>
      <c r="Q23" s="556"/>
      <c r="R23" s="510"/>
      <c r="S23" s="556"/>
      <c r="T23" s="510"/>
      <c r="U23" s="556"/>
      <c r="V23" s="510"/>
      <c r="W23" s="556"/>
      <c r="X23" s="510"/>
      <c r="Y23" s="556"/>
      <c r="Z23" s="510"/>
      <c r="AA23" s="556"/>
      <c r="AB23" s="510"/>
      <c r="AC23" s="556"/>
      <c r="AD23" s="510"/>
      <c r="AE23" s="556"/>
      <c r="AF23" s="510"/>
      <c r="AG23" s="556"/>
      <c r="AH23" s="510"/>
      <c r="AI23" s="556"/>
      <c r="AJ23" s="510"/>
      <c r="AK23" s="556"/>
      <c r="AL23" s="510"/>
      <c r="AM23" s="699"/>
      <c r="AN23" s="510"/>
      <c r="AO23" s="556"/>
      <c r="AP23" s="510"/>
      <c r="AQ23" s="556"/>
      <c r="AR23" s="510"/>
      <c r="AS23" s="556"/>
      <c r="AT23" s="510"/>
      <c r="AU23" s="556"/>
      <c r="AV23" s="510"/>
      <c r="AW23" s="556"/>
      <c r="AX23" s="510"/>
      <c r="AY23" s="556"/>
      <c r="AZ23" s="510"/>
      <c r="BA23" s="130"/>
      <c r="BB23" s="130"/>
      <c r="BC23" s="130"/>
      <c r="BD23" s="130"/>
      <c r="BE23" s="130"/>
      <c r="BF23" s="130"/>
      <c r="BG23" s="130"/>
      <c r="BH23" s="130"/>
      <c r="BI23" s="130"/>
      <c r="BJ23" s="130"/>
      <c r="BK23" s="130"/>
      <c r="BL23" s="130"/>
      <c r="BM23" s="130"/>
      <c r="BN23" s="130"/>
      <c r="BO23" s="130"/>
      <c r="BP23" s="130"/>
      <c r="BQ23" s="130"/>
      <c r="BR23" s="130"/>
      <c r="BS23" s="130"/>
      <c r="BT23" s="130"/>
    </row>
    <row r="24" spans="1:72" ht="15.75" customHeight="1">
      <c r="A24" s="524"/>
      <c r="B24" s="93" t="s">
        <v>1100</v>
      </c>
      <c r="C24" s="556">
        <v>1</v>
      </c>
      <c r="D24" s="510"/>
      <c r="E24" s="556">
        <v>1</v>
      </c>
      <c r="F24" s="510"/>
      <c r="G24" s="556">
        <v>1</v>
      </c>
      <c r="H24" s="510"/>
      <c r="I24" s="556">
        <v>0</v>
      </c>
      <c r="J24" s="510"/>
      <c r="K24" s="556">
        <v>1</v>
      </c>
      <c r="L24" s="510"/>
      <c r="M24" s="556">
        <v>1</v>
      </c>
      <c r="N24" s="510"/>
      <c r="O24" s="556">
        <v>1</v>
      </c>
      <c r="P24" s="510"/>
      <c r="Q24" s="556">
        <v>1</v>
      </c>
      <c r="R24" s="510"/>
      <c r="S24" s="556">
        <v>1</v>
      </c>
      <c r="T24" s="510"/>
      <c r="U24" s="556">
        <v>1</v>
      </c>
      <c r="V24" s="510"/>
      <c r="W24" s="556">
        <v>1</v>
      </c>
      <c r="X24" s="510"/>
      <c r="Y24" s="556">
        <v>1</v>
      </c>
      <c r="Z24" s="510"/>
      <c r="AA24" s="556">
        <v>1</v>
      </c>
      <c r="AB24" s="510"/>
      <c r="AC24" s="556">
        <v>1</v>
      </c>
      <c r="AD24" s="510"/>
      <c r="AE24" s="556">
        <v>1</v>
      </c>
      <c r="AF24" s="510"/>
      <c r="AG24" s="556">
        <v>1</v>
      </c>
      <c r="AH24" s="510"/>
      <c r="AI24" s="556">
        <v>1</v>
      </c>
      <c r="AJ24" s="510"/>
      <c r="AK24" s="556">
        <v>1</v>
      </c>
      <c r="AL24" s="510"/>
      <c r="AM24" s="556">
        <v>1</v>
      </c>
      <c r="AN24" s="510"/>
      <c r="AO24" s="556">
        <v>1</v>
      </c>
      <c r="AP24" s="510"/>
      <c r="AQ24" s="556">
        <v>1</v>
      </c>
      <c r="AR24" s="510"/>
      <c r="AS24" s="556">
        <v>1</v>
      </c>
      <c r="AT24" s="510"/>
      <c r="AU24" s="556">
        <v>1</v>
      </c>
      <c r="AV24" s="510"/>
      <c r="AW24" s="556">
        <v>1</v>
      </c>
      <c r="AX24" s="510"/>
      <c r="AY24" s="556">
        <v>1</v>
      </c>
      <c r="AZ24" s="510"/>
      <c r="BA24" s="130"/>
      <c r="BB24" s="130"/>
      <c r="BC24" s="130"/>
      <c r="BD24" s="130"/>
      <c r="BE24" s="130"/>
      <c r="BF24" s="130"/>
      <c r="BG24" s="130"/>
      <c r="BH24" s="130"/>
      <c r="BI24" s="130"/>
      <c r="BJ24" s="130"/>
      <c r="BK24" s="130"/>
      <c r="BL24" s="130"/>
      <c r="BM24" s="130"/>
      <c r="BN24" s="130"/>
      <c r="BO24" s="130"/>
      <c r="BP24" s="130"/>
      <c r="BQ24" s="130"/>
      <c r="BR24" s="130"/>
      <c r="BS24" s="130"/>
      <c r="BT24" s="130"/>
    </row>
    <row r="25" spans="1:72" ht="15.75" customHeight="1">
      <c r="A25" s="524"/>
      <c r="B25" s="93" t="s">
        <v>1101</v>
      </c>
      <c r="C25" s="556">
        <v>1</v>
      </c>
      <c r="D25" s="510"/>
      <c r="E25" s="556">
        <v>1</v>
      </c>
      <c r="F25" s="510"/>
      <c r="G25" s="556">
        <v>1</v>
      </c>
      <c r="H25" s="510"/>
      <c r="I25" s="556">
        <v>1</v>
      </c>
      <c r="J25" s="510"/>
      <c r="K25" s="556">
        <v>1</v>
      </c>
      <c r="L25" s="510"/>
      <c r="M25" s="556">
        <v>1</v>
      </c>
      <c r="N25" s="510"/>
      <c r="O25" s="556">
        <v>1</v>
      </c>
      <c r="P25" s="510"/>
      <c r="Q25" s="556">
        <v>1</v>
      </c>
      <c r="R25" s="510"/>
      <c r="S25" s="556">
        <v>1</v>
      </c>
      <c r="T25" s="510"/>
      <c r="U25" s="556">
        <v>1</v>
      </c>
      <c r="V25" s="510"/>
      <c r="W25" s="556">
        <v>1</v>
      </c>
      <c r="X25" s="510"/>
      <c r="Y25" s="556">
        <v>1</v>
      </c>
      <c r="Z25" s="510"/>
      <c r="AA25" s="556">
        <v>1</v>
      </c>
      <c r="AB25" s="510"/>
      <c r="AC25" s="556">
        <v>1</v>
      </c>
      <c r="AD25" s="510"/>
      <c r="AE25" s="556">
        <v>1</v>
      </c>
      <c r="AF25" s="510"/>
      <c r="AG25" s="556">
        <v>1</v>
      </c>
      <c r="AH25" s="510"/>
      <c r="AI25" s="556">
        <v>1</v>
      </c>
      <c r="AJ25" s="510"/>
      <c r="AK25" s="556">
        <v>1</v>
      </c>
      <c r="AL25" s="510"/>
      <c r="AM25" s="556">
        <v>1</v>
      </c>
      <c r="AN25" s="510"/>
      <c r="AO25" s="556">
        <v>1</v>
      </c>
      <c r="AP25" s="510"/>
      <c r="AQ25" s="556">
        <v>1</v>
      </c>
      <c r="AR25" s="510"/>
      <c r="AS25" s="556">
        <v>1</v>
      </c>
      <c r="AT25" s="510"/>
      <c r="AU25" s="556">
        <v>1</v>
      </c>
      <c r="AV25" s="510"/>
      <c r="AW25" s="556">
        <v>1</v>
      </c>
      <c r="AX25" s="510"/>
      <c r="AY25" s="556">
        <v>1</v>
      </c>
      <c r="AZ25" s="510"/>
      <c r="BA25" s="130"/>
      <c r="BB25" s="130"/>
      <c r="BC25" s="130"/>
      <c r="BD25" s="130"/>
      <c r="BE25" s="130"/>
      <c r="BF25" s="130"/>
      <c r="BG25" s="130"/>
      <c r="BH25" s="130"/>
      <c r="BI25" s="130"/>
      <c r="BJ25" s="130"/>
      <c r="BK25" s="130"/>
      <c r="BL25" s="130"/>
      <c r="BM25" s="130"/>
      <c r="BN25" s="130"/>
      <c r="BO25" s="130"/>
      <c r="BP25" s="130"/>
      <c r="BQ25" s="130"/>
      <c r="BR25" s="130"/>
      <c r="BS25" s="130"/>
      <c r="BT25" s="130"/>
    </row>
    <row r="26" spans="1:72" ht="15.75" customHeight="1">
      <c r="A26" s="524"/>
      <c r="B26" s="93" t="s">
        <v>1102</v>
      </c>
      <c r="C26" s="556">
        <v>0</v>
      </c>
      <c r="D26" s="510"/>
      <c r="E26" s="556">
        <v>0</v>
      </c>
      <c r="F26" s="510"/>
      <c r="G26" s="556">
        <v>0</v>
      </c>
      <c r="H26" s="510"/>
      <c r="I26" s="556">
        <v>0</v>
      </c>
      <c r="J26" s="510"/>
      <c r="K26" s="556">
        <v>1</v>
      </c>
      <c r="L26" s="510"/>
      <c r="M26" s="556">
        <v>1</v>
      </c>
      <c r="N26" s="510"/>
      <c r="O26" s="556">
        <v>0</v>
      </c>
      <c r="P26" s="510"/>
      <c r="Q26" s="556">
        <v>0</v>
      </c>
      <c r="R26" s="510"/>
      <c r="S26" s="556">
        <v>1</v>
      </c>
      <c r="T26" s="510"/>
      <c r="U26" s="556">
        <v>0</v>
      </c>
      <c r="V26" s="510"/>
      <c r="W26" s="556">
        <v>0</v>
      </c>
      <c r="X26" s="510"/>
      <c r="Y26" s="556">
        <v>1</v>
      </c>
      <c r="Z26" s="510"/>
      <c r="AA26" s="556">
        <v>0</v>
      </c>
      <c r="AB26" s="510"/>
      <c r="AC26" s="556">
        <v>0</v>
      </c>
      <c r="AD26" s="510"/>
      <c r="AE26" s="556">
        <v>1</v>
      </c>
      <c r="AF26" s="510"/>
      <c r="AG26" s="556">
        <v>1</v>
      </c>
      <c r="AH26" s="510"/>
      <c r="AI26" s="556">
        <v>1</v>
      </c>
      <c r="AJ26" s="510"/>
      <c r="AK26" s="556">
        <v>0</v>
      </c>
      <c r="AL26" s="510"/>
      <c r="AM26" s="556">
        <v>1</v>
      </c>
      <c r="AN26" s="510"/>
      <c r="AO26" s="556">
        <v>1</v>
      </c>
      <c r="AP26" s="510"/>
      <c r="AQ26" s="556">
        <v>1</v>
      </c>
      <c r="AR26" s="510"/>
      <c r="AS26" s="556">
        <v>0</v>
      </c>
      <c r="AT26" s="510"/>
      <c r="AU26" s="556">
        <v>0</v>
      </c>
      <c r="AV26" s="510"/>
      <c r="AW26" s="556">
        <v>0</v>
      </c>
      <c r="AX26" s="510"/>
      <c r="AY26" s="556">
        <v>1</v>
      </c>
      <c r="AZ26" s="510"/>
      <c r="BA26" s="130"/>
      <c r="BB26" s="130"/>
      <c r="BC26" s="130"/>
      <c r="BD26" s="130"/>
      <c r="BE26" s="130"/>
      <c r="BF26" s="130"/>
      <c r="BG26" s="130"/>
      <c r="BH26" s="130"/>
      <c r="BI26" s="130"/>
      <c r="BJ26" s="130"/>
      <c r="BK26" s="130"/>
      <c r="BL26" s="130"/>
      <c r="BM26" s="130"/>
      <c r="BN26" s="130"/>
      <c r="BO26" s="130"/>
      <c r="BP26" s="130"/>
      <c r="BQ26" s="130"/>
      <c r="BR26" s="130"/>
      <c r="BS26" s="130"/>
      <c r="BT26" s="130"/>
    </row>
    <row r="27" spans="1:72" ht="15.75" customHeight="1">
      <c r="A27" s="524"/>
      <c r="B27" s="93" t="s">
        <v>1103</v>
      </c>
      <c r="C27" s="556">
        <v>0</v>
      </c>
      <c r="D27" s="510"/>
      <c r="E27" s="556">
        <v>0</v>
      </c>
      <c r="F27" s="510"/>
      <c r="G27" s="556">
        <v>0</v>
      </c>
      <c r="H27" s="510"/>
      <c r="I27" s="556">
        <v>0</v>
      </c>
      <c r="J27" s="510"/>
      <c r="K27" s="556">
        <v>1</v>
      </c>
      <c r="L27" s="510"/>
      <c r="M27" s="556">
        <v>1</v>
      </c>
      <c r="N27" s="510"/>
      <c r="O27" s="556">
        <v>0</v>
      </c>
      <c r="P27" s="510"/>
      <c r="Q27" s="556">
        <v>0</v>
      </c>
      <c r="R27" s="510"/>
      <c r="S27" s="556">
        <v>1</v>
      </c>
      <c r="T27" s="510"/>
      <c r="U27" s="556">
        <v>0</v>
      </c>
      <c r="V27" s="510"/>
      <c r="W27" s="556">
        <v>0</v>
      </c>
      <c r="X27" s="510"/>
      <c r="Y27" s="556">
        <v>0</v>
      </c>
      <c r="Z27" s="510"/>
      <c r="AA27" s="556">
        <v>0</v>
      </c>
      <c r="AB27" s="510"/>
      <c r="AC27" s="556">
        <v>0</v>
      </c>
      <c r="AD27" s="510"/>
      <c r="AE27" s="556">
        <v>0</v>
      </c>
      <c r="AF27" s="510"/>
      <c r="AG27" s="556">
        <v>0</v>
      </c>
      <c r="AH27" s="510"/>
      <c r="AI27" s="556">
        <v>0</v>
      </c>
      <c r="AJ27" s="510"/>
      <c r="AK27" s="556">
        <v>1</v>
      </c>
      <c r="AL27" s="510"/>
      <c r="AM27" s="556">
        <v>0</v>
      </c>
      <c r="AN27" s="510"/>
      <c r="AO27" s="556">
        <v>0</v>
      </c>
      <c r="AP27" s="510"/>
      <c r="AQ27" s="556">
        <v>0</v>
      </c>
      <c r="AR27" s="510"/>
      <c r="AS27" s="556">
        <v>0</v>
      </c>
      <c r="AT27" s="510"/>
      <c r="AU27" s="556">
        <v>0</v>
      </c>
      <c r="AV27" s="510"/>
      <c r="AW27" s="556">
        <v>0</v>
      </c>
      <c r="AX27" s="510"/>
      <c r="AY27" s="556">
        <v>0</v>
      </c>
      <c r="AZ27" s="510"/>
      <c r="BA27" s="130"/>
      <c r="BB27" s="130"/>
      <c r="BC27" s="130"/>
      <c r="BD27" s="130"/>
      <c r="BE27" s="130"/>
      <c r="BF27" s="130"/>
      <c r="BG27" s="130"/>
      <c r="BH27" s="130"/>
      <c r="BI27" s="130"/>
      <c r="BJ27" s="130"/>
      <c r="BK27" s="130"/>
      <c r="BL27" s="130"/>
      <c r="BM27" s="130"/>
      <c r="BN27" s="130"/>
      <c r="BO27" s="130"/>
      <c r="BP27" s="130"/>
      <c r="BQ27" s="130"/>
      <c r="BR27" s="130"/>
      <c r="BS27" s="130"/>
      <c r="BT27" s="130"/>
    </row>
    <row r="28" spans="1:72" ht="15.75" customHeight="1">
      <c r="A28" s="524"/>
      <c r="B28" s="93" t="s">
        <v>1104</v>
      </c>
      <c r="C28" s="556">
        <v>0</v>
      </c>
      <c r="D28" s="510"/>
      <c r="E28" s="556">
        <v>1</v>
      </c>
      <c r="F28" s="510"/>
      <c r="G28" s="556">
        <v>0</v>
      </c>
      <c r="H28" s="510"/>
      <c r="I28" s="556">
        <v>0</v>
      </c>
      <c r="J28" s="510"/>
      <c r="K28" s="556">
        <v>1</v>
      </c>
      <c r="L28" s="510"/>
      <c r="M28" s="556">
        <v>1</v>
      </c>
      <c r="N28" s="510"/>
      <c r="O28" s="556">
        <v>0</v>
      </c>
      <c r="P28" s="510"/>
      <c r="Q28" s="556">
        <v>0</v>
      </c>
      <c r="R28" s="510"/>
      <c r="S28" s="556">
        <v>1</v>
      </c>
      <c r="T28" s="510"/>
      <c r="U28" s="556">
        <v>0</v>
      </c>
      <c r="V28" s="510"/>
      <c r="W28" s="556">
        <v>0</v>
      </c>
      <c r="X28" s="510"/>
      <c r="Y28" s="556">
        <v>0</v>
      </c>
      <c r="Z28" s="510"/>
      <c r="AA28" s="556">
        <v>0</v>
      </c>
      <c r="AB28" s="510"/>
      <c r="AC28" s="556">
        <v>0</v>
      </c>
      <c r="AD28" s="510"/>
      <c r="AE28" s="556">
        <v>0</v>
      </c>
      <c r="AF28" s="510"/>
      <c r="AG28" s="556">
        <v>0</v>
      </c>
      <c r="AH28" s="510"/>
      <c r="AI28" s="556">
        <v>0</v>
      </c>
      <c r="AJ28" s="510"/>
      <c r="AK28" s="556">
        <v>0</v>
      </c>
      <c r="AL28" s="510"/>
      <c r="AM28" s="556">
        <v>0</v>
      </c>
      <c r="AN28" s="510"/>
      <c r="AO28" s="556">
        <v>0</v>
      </c>
      <c r="AP28" s="510"/>
      <c r="AQ28" s="556">
        <v>0</v>
      </c>
      <c r="AR28" s="510"/>
      <c r="AS28" s="556">
        <v>0</v>
      </c>
      <c r="AT28" s="510"/>
      <c r="AU28" s="556">
        <v>0</v>
      </c>
      <c r="AV28" s="510"/>
      <c r="AW28" s="556">
        <v>0</v>
      </c>
      <c r="AX28" s="510"/>
      <c r="AY28" s="556">
        <v>0</v>
      </c>
      <c r="AZ28" s="510"/>
      <c r="BA28" s="130"/>
      <c r="BB28" s="130"/>
      <c r="BC28" s="130"/>
      <c r="BD28" s="130"/>
      <c r="BE28" s="130"/>
      <c r="BF28" s="130"/>
      <c r="BG28" s="130"/>
      <c r="BH28" s="130"/>
      <c r="BI28" s="130"/>
      <c r="BJ28" s="130"/>
      <c r="BK28" s="130"/>
      <c r="BL28" s="130"/>
      <c r="BM28" s="130"/>
      <c r="BN28" s="130"/>
      <c r="BO28" s="130"/>
      <c r="BP28" s="130"/>
      <c r="BQ28" s="130"/>
      <c r="BR28" s="130"/>
      <c r="BS28" s="130"/>
      <c r="BT28" s="130"/>
    </row>
    <row r="29" spans="1:72" ht="15.75" customHeight="1">
      <c r="A29" s="524"/>
      <c r="B29" s="93" t="s">
        <v>1105</v>
      </c>
      <c r="C29" s="556">
        <v>1</v>
      </c>
      <c r="D29" s="510"/>
      <c r="E29" s="556">
        <v>1</v>
      </c>
      <c r="F29" s="510"/>
      <c r="G29" s="556">
        <v>0</v>
      </c>
      <c r="H29" s="510"/>
      <c r="I29" s="556">
        <v>0</v>
      </c>
      <c r="J29" s="510"/>
      <c r="K29" s="556">
        <v>0</v>
      </c>
      <c r="L29" s="510"/>
      <c r="M29" s="556">
        <v>1</v>
      </c>
      <c r="N29" s="510"/>
      <c r="O29" s="556">
        <v>1</v>
      </c>
      <c r="P29" s="510"/>
      <c r="Q29" s="556">
        <v>1</v>
      </c>
      <c r="R29" s="510"/>
      <c r="S29" s="556">
        <v>0</v>
      </c>
      <c r="T29" s="510"/>
      <c r="U29" s="556">
        <v>0</v>
      </c>
      <c r="V29" s="510"/>
      <c r="W29" s="556">
        <v>1</v>
      </c>
      <c r="X29" s="510"/>
      <c r="Y29" s="556">
        <v>0</v>
      </c>
      <c r="Z29" s="510"/>
      <c r="AA29" s="556">
        <v>0</v>
      </c>
      <c r="AB29" s="510"/>
      <c r="AC29" s="556">
        <v>0</v>
      </c>
      <c r="AD29" s="510"/>
      <c r="AE29" s="556">
        <v>0</v>
      </c>
      <c r="AF29" s="510"/>
      <c r="AG29" s="556">
        <v>0</v>
      </c>
      <c r="AH29" s="510"/>
      <c r="AI29" s="556">
        <v>0</v>
      </c>
      <c r="AJ29" s="510"/>
      <c r="AK29" s="556">
        <v>1</v>
      </c>
      <c r="AL29" s="510"/>
      <c r="AM29" s="556">
        <v>1</v>
      </c>
      <c r="AN29" s="510"/>
      <c r="AO29" s="556">
        <v>1</v>
      </c>
      <c r="AP29" s="510"/>
      <c r="AQ29" s="556">
        <v>1</v>
      </c>
      <c r="AR29" s="510"/>
      <c r="AS29" s="556">
        <v>1</v>
      </c>
      <c r="AT29" s="510"/>
      <c r="AU29" s="556">
        <v>1</v>
      </c>
      <c r="AV29" s="510"/>
      <c r="AW29" s="556">
        <v>1</v>
      </c>
      <c r="AX29" s="510"/>
      <c r="AY29" s="556">
        <v>1</v>
      </c>
      <c r="AZ29" s="510"/>
      <c r="BA29" s="130"/>
      <c r="BB29" s="130"/>
      <c r="BC29" s="130"/>
      <c r="BD29" s="130"/>
      <c r="BE29" s="130"/>
      <c r="BF29" s="130"/>
      <c r="BG29" s="130"/>
      <c r="BH29" s="130"/>
      <c r="BI29" s="130"/>
      <c r="BJ29" s="130"/>
      <c r="BK29" s="130"/>
      <c r="BL29" s="130"/>
      <c r="BM29" s="130"/>
      <c r="BN29" s="130"/>
      <c r="BO29" s="130"/>
      <c r="BP29" s="130"/>
      <c r="BQ29" s="130"/>
      <c r="BR29" s="130"/>
      <c r="BS29" s="130"/>
      <c r="BT29" s="130"/>
    </row>
    <row r="30" spans="1:72" ht="15.75" customHeight="1">
      <c r="A30" s="524"/>
      <c r="B30" s="93" t="s">
        <v>1106</v>
      </c>
      <c r="C30" s="556">
        <v>0</v>
      </c>
      <c r="D30" s="510"/>
      <c r="E30" s="556">
        <v>0</v>
      </c>
      <c r="F30" s="510"/>
      <c r="G30" s="556">
        <v>0</v>
      </c>
      <c r="H30" s="510"/>
      <c r="I30" s="556">
        <v>0</v>
      </c>
      <c r="J30" s="510"/>
      <c r="K30" s="556">
        <v>0</v>
      </c>
      <c r="L30" s="510"/>
      <c r="M30" s="556">
        <v>0</v>
      </c>
      <c r="N30" s="510"/>
      <c r="O30" s="556">
        <v>0</v>
      </c>
      <c r="P30" s="510"/>
      <c r="Q30" s="556">
        <v>0</v>
      </c>
      <c r="R30" s="510"/>
      <c r="S30" s="556">
        <v>0</v>
      </c>
      <c r="T30" s="510"/>
      <c r="U30" s="556">
        <v>0</v>
      </c>
      <c r="V30" s="510"/>
      <c r="W30" s="556">
        <v>0</v>
      </c>
      <c r="X30" s="510"/>
      <c r="Y30" s="556">
        <v>0</v>
      </c>
      <c r="Z30" s="510"/>
      <c r="AA30" s="556">
        <v>0</v>
      </c>
      <c r="AB30" s="510"/>
      <c r="AC30" s="556">
        <v>0</v>
      </c>
      <c r="AD30" s="510"/>
      <c r="AE30" s="556">
        <v>0</v>
      </c>
      <c r="AF30" s="510"/>
      <c r="AG30" s="556">
        <v>0</v>
      </c>
      <c r="AH30" s="510"/>
      <c r="AI30" s="556">
        <v>0</v>
      </c>
      <c r="AJ30" s="510"/>
      <c r="AK30" s="556">
        <v>0</v>
      </c>
      <c r="AL30" s="510"/>
      <c r="AM30" s="556">
        <v>0</v>
      </c>
      <c r="AN30" s="510"/>
      <c r="AO30" s="556">
        <v>0</v>
      </c>
      <c r="AP30" s="510"/>
      <c r="AQ30" s="556">
        <v>0</v>
      </c>
      <c r="AR30" s="510"/>
      <c r="AS30" s="556">
        <v>0</v>
      </c>
      <c r="AT30" s="510"/>
      <c r="AU30" s="556">
        <v>0</v>
      </c>
      <c r="AV30" s="510"/>
      <c r="AW30" s="556">
        <v>0</v>
      </c>
      <c r="AX30" s="510"/>
      <c r="AY30" s="556">
        <v>0</v>
      </c>
      <c r="AZ30" s="510"/>
      <c r="BA30" s="130"/>
      <c r="BB30" s="130"/>
      <c r="BC30" s="130"/>
      <c r="BD30" s="130"/>
      <c r="BE30" s="130"/>
      <c r="BF30" s="130"/>
      <c r="BG30" s="130"/>
      <c r="BH30" s="130"/>
      <c r="BI30" s="130"/>
      <c r="BJ30" s="130"/>
      <c r="BK30" s="130"/>
      <c r="BL30" s="130"/>
      <c r="BM30" s="130"/>
      <c r="BN30" s="130"/>
      <c r="BO30" s="130"/>
      <c r="BP30" s="130"/>
      <c r="BQ30" s="130"/>
      <c r="BR30" s="130"/>
      <c r="BS30" s="130"/>
      <c r="BT30" s="130"/>
    </row>
    <row r="31" spans="1:72" ht="62.25" customHeight="1">
      <c r="A31" s="525"/>
      <c r="B31" s="135" t="s">
        <v>307</v>
      </c>
      <c r="C31" s="553" t="s">
        <v>1107</v>
      </c>
      <c r="D31" s="510"/>
      <c r="E31" s="553" t="s">
        <v>1108</v>
      </c>
      <c r="F31" s="510"/>
      <c r="G31" s="553"/>
      <c r="H31" s="510"/>
      <c r="I31" s="553"/>
      <c r="J31" s="510"/>
      <c r="K31" s="553" t="s">
        <v>1109</v>
      </c>
      <c r="L31" s="510"/>
      <c r="M31" s="553" t="s">
        <v>1110</v>
      </c>
      <c r="N31" s="510"/>
      <c r="O31" s="553" t="s">
        <v>1111</v>
      </c>
      <c r="P31" s="510"/>
      <c r="Q31" s="553" t="s">
        <v>1112</v>
      </c>
      <c r="R31" s="510"/>
      <c r="S31" s="553"/>
      <c r="T31" s="510"/>
      <c r="U31" s="553"/>
      <c r="V31" s="510"/>
      <c r="W31" s="553" t="s">
        <v>1113</v>
      </c>
      <c r="X31" s="510"/>
      <c r="Y31" s="553"/>
      <c r="Z31" s="510"/>
      <c r="AA31" s="553"/>
      <c r="AB31" s="510"/>
      <c r="AC31" s="553"/>
      <c r="AD31" s="510"/>
      <c r="AE31" s="553"/>
      <c r="AF31" s="510"/>
      <c r="AG31" s="553"/>
      <c r="AH31" s="510"/>
      <c r="AI31" s="553"/>
      <c r="AJ31" s="510"/>
      <c r="AK31" s="553"/>
      <c r="AL31" s="510"/>
      <c r="AM31" s="553"/>
      <c r="AN31" s="510"/>
      <c r="AO31" s="553"/>
      <c r="AP31" s="510"/>
      <c r="AQ31" s="553"/>
      <c r="AR31" s="510"/>
      <c r="AS31" s="553"/>
      <c r="AT31" s="510"/>
      <c r="AU31" s="553"/>
      <c r="AV31" s="510"/>
      <c r="AW31" s="553" t="s">
        <v>1114</v>
      </c>
      <c r="AX31" s="510"/>
      <c r="AY31" s="559" t="s">
        <v>1115</v>
      </c>
      <c r="AZ31" s="510"/>
      <c r="BA31" s="130"/>
      <c r="BB31" s="130"/>
      <c r="BC31" s="130"/>
      <c r="BD31" s="130"/>
      <c r="BE31" s="130"/>
      <c r="BF31" s="130"/>
      <c r="BG31" s="130"/>
      <c r="BH31" s="130"/>
      <c r="BI31" s="130"/>
      <c r="BJ31" s="130"/>
      <c r="BK31" s="130"/>
      <c r="BL31" s="130"/>
      <c r="BM31" s="130"/>
      <c r="BN31" s="130"/>
      <c r="BO31" s="130"/>
      <c r="BP31" s="130"/>
      <c r="BQ31" s="130"/>
      <c r="BR31" s="130"/>
      <c r="BS31" s="130"/>
      <c r="BT31" s="130"/>
    </row>
    <row r="32" spans="1:72" ht="15.75" customHeight="1">
      <c r="A32" s="317" t="s">
        <v>389</v>
      </c>
      <c r="B32" s="316" t="s">
        <v>1116</v>
      </c>
      <c r="C32" s="699"/>
      <c r="D32" s="510"/>
      <c r="E32" s="699"/>
      <c r="F32" s="510"/>
      <c r="G32" s="699"/>
      <c r="H32" s="510"/>
      <c r="I32" s="699"/>
      <c r="J32" s="510"/>
      <c r="K32" s="699"/>
      <c r="L32" s="510"/>
      <c r="M32" s="699"/>
      <c r="N32" s="510"/>
      <c r="O32" s="699"/>
      <c r="P32" s="510"/>
      <c r="Q32" s="699"/>
      <c r="R32" s="510"/>
      <c r="S32" s="699"/>
      <c r="T32" s="510"/>
      <c r="U32" s="699"/>
      <c r="V32" s="510"/>
      <c r="W32" s="699"/>
      <c r="X32" s="510"/>
      <c r="Y32" s="699"/>
      <c r="Z32" s="510"/>
      <c r="AA32" s="699"/>
      <c r="AB32" s="510"/>
      <c r="AC32" s="699"/>
      <c r="AD32" s="510"/>
      <c r="AE32" s="699"/>
      <c r="AF32" s="510"/>
      <c r="AG32" s="699"/>
      <c r="AH32" s="510"/>
      <c r="AI32" s="699"/>
      <c r="AJ32" s="510"/>
      <c r="AK32" s="699"/>
      <c r="AL32" s="510"/>
      <c r="AM32" s="699"/>
      <c r="AN32" s="510"/>
      <c r="AO32" s="699"/>
      <c r="AP32" s="510"/>
      <c r="AQ32" s="699"/>
      <c r="AR32" s="510"/>
      <c r="AS32" s="699"/>
      <c r="AT32" s="510"/>
      <c r="AU32" s="699"/>
      <c r="AV32" s="510"/>
      <c r="AW32" s="699"/>
      <c r="AX32" s="510"/>
      <c r="AY32" s="699"/>
      <c r="AZ32" s="510"/>
      <c r="BA32" s="130"/>
      <c r="BB32" s="130"/>
      <c r="BC32" s="130"/>
      <c r="BD32" s="130"/>
      <c r="BE32" s="130"/>
      <c r="BF32" s="130"/>
      <c r="BG32" s="130"/>
      <c r="BH32" s="130"/>
      <c r="BI32" s="130"/>
      <c r="BJ32" s="130"/>
      <c r="BK32" s="130"/>
      <c r="BL32" s="130"/>
      <c r="BM32" s="130"/>
      <c r="BN32" s="130"/>
      <c r="BO32" s="130"/>
      <c r="BP32" s="130"/>
      <c r="BQ32" s="130"/>
      <c r="BR32" s="130"/>
      <c r="BS32" s="130"/>
      <c r="BT32" s="130"/>
    </row>
    <row r="33" spans="1:72" ht="15.75" customHeight="1">
      <c r="A33" s="560" t="s">
        <v>1117</v>
      </c>
      <c r="B33" s="316" t="s">
        <v>1118</v>
      </c>
      <c r="C33" s="556"/>
      <c r="D33" s="510"/>
      <c r="E33" s="556"/>
      <c r="F33" s="510"/>
      <c r="G33" s="556"/>
      <c r="H33" s="510"/>
      <c r="I33" s="556"/>
      <c r="J33" s="510"/>
      <c r="K33" s="556"/>
      <c r="L33" s="510"/>
      <c r="M33" s="556"/>
      <c r="N33" s="510"/>
      <c r="O33" s="556"/>
      <c r="P33" s="510"/>
      <c r="Q33" s="556"/>
      <c r="R33" s="510"/>
      <c r="S33" s="556"/>
      <c r="T33" s="510"/>
      <c r="U33" s="556"/>
      <c r="V33" s="510"/>
      <c r="W33" s="556"/>
      <c r="X33" s="510"/>
      <c r="Y33" s="556"/>
      <c r="Z33" s="510"/>
      <c r="AA33" s="556"/>
      <c r="AB33" s="510"/>
      <c r="AC33" s="556"/>
      <c r="AD33" s="510"/>
      <c r="AE33" s="556"/>
      <c r="AF33" s="510"/>
      <c r="AG33" s="556"/>
      <c r="AH33" s="510"/>
      <c r="AI33" s="556"/>
      <c r="AJ33" s="510"/>
      <c r="AK33" s="556"/>
      <c r="AL33" s="510"/>
      <c r="AM33" s="699"/>
      <c r="AN33" s="510"/>
      <c r="AO33" s="556"/>
      <c r="AP33" s="510"/>
      <c r="AQ33" s="556"/>
      <c r="AR33" s="510"/>
      <c r="AS33" s="556"/>
      <c r="AT33" s="510"/>
      <c r="AU33" s="556"/>
      <c r="AV33" s="510"/>
      <c r="AW33" s="556"/>
      <c r="AX33" s="510"/>
      <c r="AY33" s="556"/>
      <c r="AZ33" s="510"/>
      <c r="BA33" s="130"/>
      <c r="BB33" s="130"/>
      <c r="BC33" s="130"/>
      <c r="BD33" s="130"/>
      <c r="BE33" s="130"/>
      <c r="BF33" s="130"/>
      <c r="BG33" s="130"/>
      <c r="BH33" s="130"/>
      <c r="BI33" s="130"/>
      <c r="BJ33" s="130"/>
      <c r="BK33" s="130"/>
      <c r="BL33" s="130"/>
      <c r="BM33" s="130"/>
      <c r="BN33" s="130"/>
      <c r="BO33" s="130"/>
      <c r="BP33" s="130"/>
      <c r="BQ33" s="130"/>
      <c r="BR33" s="130"/>
      <c r="BS33" s="130"/>
      <c r="BT33" s="130"/>
    </row>
    <row r="34" spans="1:72" ht="15.75" customHeight="1">
      <c r="A34" s="524"/>
      <c r="B34" s="93" t="s">
        <v>1119</v>
      </c>
      <c r="C34" s="556">
        <v>1</v>
      </c>
      <c r="D34" s="510"/>
      <c r="E34" s="556">
        <v>1</v>
      </c>
      <c r="F34" s="510"/>
      <c r="G34" s="556">
        <v>1</v>
      </c>
      <c r="H34" s="510"/>
      <c r="I34" s="556">
        <v>1</v>
      </c>
      <c r="J34" s="510"/>
      <c r="K34" s="556">
        <v>1</v>
      </c>
      <c r="L34" s="510"/>
      <c r="M34" s="556">
        <v>1</v>
      </c>
      <c r="N34" s="510"/>
      <c r="O34" s="556">
        <v>1</v>
      </c>
      <c r="P34" s="510"/>
      <c r="Q34" s="556">
        <v>1</v>
      </c>
      <c r="R34" s="510"/>
      <c r="S34" s="556">
        <v>1</v>
      </c>
      <c r="T34" s="510"/>
      <c r="U34" s="556">
        <v>1</v>
      </c>
      <c r="V34" s="510"/>
      <c r="W34" s="556">
        <v>1</v>
      </c>
      <c r="X34" s="510"/>
      <c r="Y34" s="556">
        <v>1</v>
      </c>
      <c r="Z34" s="510"/>
      <c r="AA34" s="556">
        <v>1</v>
      </c>
      <c r="AB34" s="510"/>
      <c r="AC34" s="556">
        <v>1</v>
      </c>
      <c r="AD34" s="510"/>
      <c r="AE34" s="556">
        <v>1</v>
      </c>
      <c r="AF34" s="510"/>
      <c r="AG34" s="556">
        <v>1</v>
      </c>
      <c r="AH34" s="510"/>
      <c r="AI34" s="556">
        <v>1</v>
      </c>
      <c r="AJ34" s="510"/>
      <c r="AK34" s="556">
        <v>1</v>
      </c>
      <c r="AL34" s="510"/>
      <c r="AM34" s="556">
        <v>1</v>
      </c>
      <c r="AN34" s="510"/>
      <c r="AO34" s="556">
        <v>1</v>
      </c>
      <c r="AP34" s="510"/>
      <c r="AQ34" s="556">
        <v>1</v>
      </c>
      <c r="AR34" s="510"/>
      <c r="AS34" s="556">
        <v>1</v>
      </c>
      <c r="AT34" s="510"/>
      <c r="AU34" s="556">
        <v>1</v>
      </c>
      <c r="AV34" s="510"/>
      <c r="AW34" s="556">
        <v>1</v>
      </c>
      <c r="AX34" s="510"/>
      <c r="AY34" s="556">
        <v>1</v>
      </c>
      <c r="AZ34" s="510"/>
      <c r="BA34" s="130"/>
      <c r="BB34" s="130"/>
      <c r="BC34" s="130"/>
      <c r="BD34" s="130"/>
      <c r="BE34" s="130"/>
      <c r="BF34" s="130"/>
      <c r="BG34" s="130"/>
      <c r="BH34" s="130"/>
      <c r="BI34" s="130"/>
      <c r="BJ34" s="130"/>
      <c r="BK34" s="130"/>
      <c r="BL34" s="130"/>
      <c r="BM34" s="130"/>
      <c r="BN34" s="130"/>
      <c r="BO34" s="130"/>
      <c r="BP34" s="130"/>
      <c r="BQ34" s="130"/>
      <c r="BR34" s="130"/>
      <c r="BS34" s="130"/>
      <c r="BT34" s="130"/>
    </row>
    <row r="35" spans="1:72" ht="15.75" customHeight="1">
      <c r="A35" s="524"/>
      <c r="B35" s="93" t="s">
        <v>1120</v>
      </c>
      <c r="C35" s="556">
        <v>0</v>
      </c>
      <c r="D35" s="510"/>
      <c r="E35" s="556">
        <v>0</v>
      </c>
      <c r="F35" s="510"/>
      <c r="G35" s="556">
        <v>0</v>
      </c>
      <c r="H35" s="510"/>
      <c r="I35" s="556">
        <v>0</v>
      </c>
      <c r="J35" s="510"/>
      <c r="K35" s="556">
        <v>0</v>
      </c>
      <c r="L35" s="510"/>
      <c r="M35" s="556">
        <v>0</v>
      </c>
      <c r="N35" s="510"/>
      <c r="O35" s="556">
        <v>0</v>
      </c>
      <c r="P35" s="510"/>
      <c r="Q35" s="556">
        <v>0</v>
      </c>
      <c r="R35" s="510"/>
      <c r="S35" s="556">
        <v>0</v>
      </c>
      <c r="T35" s="510"/>
      <c r="U35" s="556">
        <v>0</v>
      </c>
      <c r="V35" s="510"/>
      <c r="W35" s="556">
        <v>0</v>
      </c>
      <c r="X35" s="510"/>
      <c r="Y35" s="556">
        <v>0</v>
      </c>
      <c r="Z35" s="510"/>
      <c r="AA35" s="556">
        <v>0</v>
      </c>
      <c r="AB35" s="510"/>
      <c r="AC35" s="556">
        <v>0</v>
      </c>
      <c r="AD35" s="510"/>
      <c r="AE35" s="556">
        <v>0</v>
      </c>
      <c r="AF35" s="510"/>
      <c r="AG35" s="556">
        <v>0</v>
      </c>
      <c r="AH35" s="510"/>
      <c r="AI35" s="556">
        <v>0</v>
      </c>
      <c r="AJ35" s="510"/>
      <c r="AK35" s="556">
        <v>0</v>
      </c>
      <c r="AL35" s="510"/>
      <c r="AM35" s="556">
        <v>0</v>
      </c>
      <c r="AN35" s="510"/>
      <c r="AO35" s="556">
        <v>0</v>
      </c>
      <c r="AP35" s="510"/>
      <c r="AQ35" s="556">
        <v>0</v>
      </c>
      <c r="AR35" s="510"/>
      <c r="AS35" s="556">
        <v>0</v>
      </c>
      <c r="AT35" s="510"/>
      <c r="AU35" s="556">
        <v>0</v>
      </c>
      <c r="AV35" s="510"/>
      <c r="AW35" s="556">
        <v>0</v>
      </c>
      <c r="AX35" s="510"/>
      <c r="AY35" s="556">
        <v>0</v>
      </c>
      <c r="AZ35" s="510"/>
      <c r="BA35" s="130"/>
      <c r="BB35" s="130"/>
      <c r="BC35" s="130"/>
      <c r="BD35" s="130"/>
      <c r="BE35" s="130"/>
      <c r="BF35" s="130"/>
      <c r="BG35" s="130"/>
      <c r="BH35" s="130"/>
      <c r="BI35" s="130"/>
      <c r="BJ35" s="130"/>
      <c r="BK35" s="130"/>
      <c r="BL35" s="130"/>
      <c r="BM35" s="130"/>
      <c r="BN35" s="130"/>
      <c r="BO35" s="130"/>
      <c r="BP35" s="130"/>
      <c r="BQ35" s="130"/>
      <c r="BR35" s="130"/>
      <c r="BS35" s="130"/>
      <c r="BT35" s="130"/>
    </row>
    <row r="36" spans="1:72" ht="15.75" customHeight="1">
      <c r="A36" s="524"/>
      <c r="B36" s="93" t="s">
        <v>1121</v>
      </c>
      <c r="C36" s="556">
        <v>0</v>
      </c>
      <c r="D36" s="510"/>
      <c r="E36" s="556">
        <v>1</v>
      </c>
      <c r="F36" s="510"/>
      <c r="G36" s="556">
        <v>0</v>
      </c>
      <c r="H36" s="510"/>
      <c r="I36" s="556">
        <v>0</v>
      </c>
      <c r="J36" s="510"/>
      <c r="K36" s="556">
        <v>0</v>
      </c>
      <c r="L36" s="510"/>
      <c r="M36" s="556">
        <v>0</v>
      </c>
      <c r="N36" s="510"/>
      <c r="O36" s="556">
        <v>0</v>
      </c>
      <c r="P36" s="510"/>
      <c r="Q36" s="556">
        <v>0</v>
      </c>
      <c r="R36" s="510"/>
      <c r="S36" s="556">
        <v>0</v>
      </c>
      <c r="T36" s="510"/>
      <c r="U36" s="556">
        <v>0</v>
      </c>
      <c r="V36" s="510"/>
      <c r="W36" s="556">
        <v>0</v>
      </c>
      <c r="X36" s="510"/>
      <c r="Y36" s="556">
        <v>0</v>
      </c>
      <c r="Z36" s="510"/>
      <c r="AA36" s="556">
        <v>0</v>
      </c>
      <c r="AB36" s="510"/>
      <c r="AC36" s="556">
        <v>0</v>
      </c>
      <c r="AD36" s="510"/>
      <c r="AE36" s="556">
        <v>0</v>
      </c>
      <c r="AF36" s="510"/>
      <c r="AG36" s="556">
        <v>0</v>
      </c>
      <c r="AH36" s="510"/>
      <c r="AI36" s="556">
        <v>0</v>
      </c>
      <c r="AJ36" s="510"/>
      <c r="AK36" s="556">
        <v>0</v>
      </c>
      <c r="AL36" s="510"/>
      <c r="AM36" s="556">
        <v>0</v>
      </c>
      <c r="AN36" s="510"/>
      <c r="AO36" s="556">
        <v>0</v>
      </c>
      <c r="AP36" s="510"/>
      <c r="AQ36" s="556">
        <v>0</v>
      </c>
      <c r="AR36" s="510"/>
      <c r="AS36" s="556">
        <v>0</v>
      </c>
      <c r="AT36" s="510"/>
      <c r="AU36" s="556">
        <v>0</v>
      </c>
      <c r="AV36" s="510"/>
      <c r="AW36" s="556">
        <v>0</v>
      </c>
      <c r="AX36" s="510"/>
      <c r="AY36" s="556">
        <v>0</v>
      </c>
      <c r="AZ36" s="510"/>
      <c r="BA36" s="130"/>
      <c r="BB36" s="130"/>
      <c r="BC36" s="130"/>
      <c r="BD36" s="130"/>
      <c r="BE36" s="130"/>
      <c r="BF36" s="130"/>
      <c r="BG36" s="130"/>
      <c r="BH36" s="130"/>
      <c r="BI36" s="130"/>
      <c r="BJ36" s="130"/>
      <c r="BK36" s="130"/>
      <c r="BL36" s="130"/>
      <c r="BM36" s="130"/>
      <c r="BN36" s="130"/>
      <c r="BO36" s="130"/>
      <c r="BP36" s="130"/>
      <c r="BQ36" s="130"/>
      <c r="BR36" s="130"/>
      <c r="BS36" s="130"/>
      <c r="BT36" s="130"/>
    </row>
    <row r="37" spans="1:72" ht="15.75" customHeight="1">
      <c r="A37" s="524"/>
      <c r="B37" s="93" t="s">
        <v>1122</v>
      </c>
      <c r="C37" s="556">
        <v>0</v>
      </c>
      <c r="D37" s="510"/>
      <c r="E37" s="556">
        <v>0</v>
      </c>
      <c r="F37" s="510"/>
      <c r="G37" s="556">
        <v>0</v>
      </c>
      <c r="H37" s="510"/>
      <c r="I37" s="556">
        <v>0</v>
      </c>
      <c r="J37" s="510"/>
      <c r="K37" s="556">
        <v>0</v>
      </c>
      <c r="L37" s="510"/>
      <c r="M37" s="556">
        <v>0</v>
      </c>
      <c r="N37" s="510"/>
      <c r="O37" s="556">
        <v>0</v>
      </c>
      <c r="P37" s="510"/>
      <c r="Q37" s="556">
        <v>0</v>
      </c>
      <c r="R37" s="510"/>
      <c r="S37" s="556">
        <v>0</v>
      </c>
      <c r="T37" s="510"/>
      <c r="U37" s="556">
        <v>0</v>
      </c>
      <c r="V37" s="510"/>
      <c r="W37" s="556">
        <v>0</v>
      </c>
      <c r="X37" s="510"/>
      <c r="Y37" s="556">
        <v>0</v>
      </c>
      <c r="Z37" s="510"/>
      <c r="AA37" s="556">
        <v>0</v>
      </c>
      <c r="AB37" s="510"/>
      <c r="AC37" s="556">
        <v>0</v>
      </c>
      <c r="AD37" s="510"/>
      <c r="AE37" s="556">
        <v>0</v>
      </c>
      <c r="AF37" s="510"/>
      <c r="AG37" s="556">
        <v>0</v>
      </c>
      <c r="AH37" s="510"/>
      <c r="AI37" s="556">
        <v>0</v>
      </c>
      <c r="AJ37" s="510"/>
      <c r="AK37" s="556">
        <v>0</v>
      </c>
      <c r="AL37" s="510"/>
      <c r="AM37" s="556">
        <v>0</v>
      </c>
      <c r="AN37" s="510"/>
      <c r="AO37" s="556">
        <v>0</v>
      </c>
      <c r="AP37" s="510"/>
      <c r="AQ37" s="556">
        <v>0</v>
      </c>
      <c r="AR37" s="510"/>
      <c r="AS37" s="556">
        <v>0</v>
      </c>
      <c r="AT37" s="510"/>
      <c r="AU37" s="556">
        <v>0</v>
      </c>
      <c r="AV37" s="510"/>
      <c r="AW37" s="556">
        <v>0</v>
      </c>
      <c r="AX37" s="510"/>
      <c r="AY37" s="556">
        <v>1</v>
      </c>
      <c r="AZ37" s="510"/>
      <c r="BA37" s="130"/>
      <c r="BB37" s="130"/>
      <c r="BC37" s="130"/>
      <c r="BD37" s="130"/>
      <c r="BE37" s="130"/>
      <c r="BF37" s="130"/>
      <c r="BG37" s="130"/>
      <c r="BH37" s="130"/>
      <c r="BI37" s="130"/>
      <c r="BJ37" s="130"/>
      <c r="BK37" s="130"/>
      <c r="BL37" s="130"/>
      <c r="BM37" s="130"/>
      <c r="BN37" s="130"/>
      <c r="BO37" s="130"/>
      <c r="BP37" s="130"/>
      <c r="BQ37" s="130"/>
      <c r="BR37" s="130"/>
      <c r="BS37" s="130"/>
      <c r="BT37" s="130"/>
    </row>
    <row r="38" spans="1:72" ht="15.75" customHeight="1">
      <c r="A38" s="524"/>
      <c r="B38" s="93" t="s">
        <v>500</v>
      </c>
      <c r="C38" s="556"/>
      <c r="D38" s="510"/>
      <c r="E38" s="556"/>
      <c r="F38" s="510"/>
      <c r="G38" s="556"/>
      <c r="H38" s="510"/>
      <c r="I38" s="556"/>
      <c r="J38" s="510"/>
      <c r="K38" s="556"/>
      <c r="L38" s="510"/>
      <c r="M38" s="556"/>
      <c r="N38" s="510"/>
      <c r="O38" s="556"/>
      <c r="P38" s="510"/>
      <c r="Q38" s="556"/>
      <c r="R38" s="510"/>
      <c r="S38" s="556"/>
      <c r="T38" s="510"/>
      <c r="U38" s="556"/>
      <c r="V38" s="510"/>
      <c r="W38" s="556"/>
      <c r="X38" s="510"/>
      <c r="Y38" s="556"/>
      <c r="Z38" s="510"/>
      <c r="AA38" s="556"/>
      <c r="AB38" s="510"/>
      <c r="AC38" s="556"/>
      <c r="AD38" s="510"/>
      <c r="AE38" s="556"/>
      <c r="AF38" s="510"/>
      <c r="AG38" s="556"/>
      <c r="AH38" s="510"/>
      <c r="AI38" s="556"/>
      <c r="AJ38" s="510"/>
      <c r="AK38" s="556"/>
      <c r="AL38" s="510"/>
      <c r="AM38" s="556"/>
      <c r="AN38" s="510"/>
      <c r="AO38" s="556"/>
      <c r="AP38" s="510"/>
      <c r="AQ38" s="556"/>
      <c r="AR38" s="510"/>
      <c r="AS38" s="556"/>
      <c r="AT38" s="510"/>
      <c r="AU38" s="556"/>
      <c r="AV38" s="510"/>
      <c r="AW38" s="556"/>
      <c r="AX38" s="510"/>
      <c r="AY38" s="556"/>
      <c r="AZ38" s="510"/>
      <c r="BA38" s="130"/>
      <c r="BB38" s="130"/>
      <c r="BC38" s="130"/>
      <c r="BD38" s="130"/>
      <c r="BE38" s="130"/>
      <c r="BF38" s="130"/>
      <c r="BG38" s="130"/>
      <c r="BH38" s="130"/>
      <c r="BI38" s="130"/>
      <c r="BJ38" s="130"/>
      <c r="BK38" s="130"/>
      <c r="BL38" s="130"/>
      <c r="BM38" s="130"/>
      <c r="BN38" s="130"/>
      <c r="BO38" s="130"/>
      <c r="BP38" s="130"/>
      <c r="BQ38" s="130"/>
      <c r="BR38" s="130"/>
      <c r="BS38" s="130"/>
      <c r="BT38" s="130"/>
    </row>
    <row r="39" spans="1:72" ht="15.75" customHeight="1">
      <c r="A39" s="524"/>
      <c r="B39" s="138" t="s">
        <v>721</v>
      </c>
      <c r="C39" s="554"/>
      <c r="D39" s="510"/>
      <c r="E39" s="554"/>
      <c r="F39" s="510"/>
      <c r="G39" s="554"/>
      <c r="H39" s="510"/>
      <c r="I39" s="554"/>
      <c r="J39" s="510"/>
      <c r="K39" s="554"/>
      <c r="L39" s="510"/>
      <c r="M39" s="554"/>
      <c r="N39" s="510"/>
      <c r="O39" s="554"/>
      <c r="P39" s="510"/>
      <c r="Q39" s="554"/>
      <c r="R39" s="510"/>
      <c r="S39" s="554"/>
      <c r="T39" s="510"/>
      <c r="U39" s="554"/>
      <c r="V39" s="510"/>
      <c r="W39" s="554"/>
      <c r="X39" s="510"/>
      <c r="Y39" s="554"/>
      <c r="Z39" s="510"/>
      <c r="AA39" s="554"/>
      <c r="AB39" s="510"/>
      <c r="AC39" s="554"/>
      <c r="AD39" s="510"/>
      <c r="AE39" s="554"/>
      <c r="AF39" s="510"/>
      <c r="AG39" s="554"/>
      <c r="AH39" s="510"/>
      <c r="AI39" s="554"/>
      <c r="AJ39" s="510"/>
      <c r="AK39" s="554"/>
      <c r="AL39" s="510"/>
      <c r="AM39" s="554"/>
      <c r="AN39" s="510"/>
      <c r="AO39" s="554"/>
      <c r="AP39" s="510"/>
      <c r="AQ39" s="554"/>
      <c r="AR39" s="510"/>
      <c r="AS39" s="554"/>
      <c r="AT39" s="510"/>
      <c r="AU39" s="554"/>
      <c r="AV39" s="510"/>
      <c r="AW39" s="554"/>
      <c r="AX39" s="510"/>
      <c r="AY39" s="554"/>
      <c r="AZ39" s="510"/>
      <c r="BA39" s="130"/>
      <c r="BB39" s="130"/>
      <c r="BC39" s="130"/>
      <c r="BD39" s="130"/>
      <c r="BE39" s="130"/>
      <c r="BF39" s="130"/>
      <c r="BG39" s="130"/>
      <c r="BH39" s="130"/>
      <c r="BI39" s="130"/>
      <c r="BJ39" s="130"/>
      <c r="BK39" s="130"/>
      <c r="BL39" s="130"/>
      <c r="BM39" s="130"/>
      <c r="BN39" s="130"/>
      <c r="BO39" s="130"/>
      <c r="BP39" s="130"/>
      <c r="BQ39" s="130"/>
      <c r="BR39" s="130"/>
      <c r="BS39" s="130"/>
      <c r="BT39" s="130"/>
    </row>
    <row r="40" spans="1:72" ht="15.75" customHeight="1">
      <c r="A40" s="525"/>
      <c r="B40" s="135" t="s">
        <v>307</v>
      </c>
      <c r="C40" s="553"/>
      <c r="D40" s="510"/>
      <c r="E40" s="553"/>
      <c r="F40" s="510"/>
      <c r="G40" s="553"/>
      <c r="H40" s="510"/>
      <c r="I40" s="553"/>
      <c r="J40" s="510"/>
      <c r="K40" s="553"/>
      <c r="L40" s="510"/>
      <c r="M40" s="553"/>
      <c r="N40" s="510"/>
      <c r="O40" s="553"/>
      <c r="P40" s="510"/>
      <c r="Q40" s="553"/>
      <c r="R40" s="510"/>
      <c r="S40" s="553"/>
      <c r="T40" s="510"/>
      <c r="U40" s="553"/>
      <c r="V40" s="510"/>
      <c r="W40" s="553"/>
      <c r="X40" s="510"/>
      <c r="Y40" s="553"/>
      <c r="Z40" s="510"/>
      <c r="AA40" s="553"/>
      <c r="AB40" s="510"/>
      <c r="AC40" s="553"/>
      <c r="AD40" s="510"/>
      <c r="AE40" s="553"/>
      <c r="AF40" s="510"/>
      <c r="AG40" s="553"/>
      <c r="AH40" s="510"/>
      <c r="AI40" s="553"/>
      <c r="AJ40" s="510"/>
      <c r="AK40" s="553"/>
      <c r="AL40" s="510"/>
      <c r="AM40" s="553"/>
      <c r="AN40" s="510"/>
      <c r="AO40" s="553"/>
      <c r="AP40" s="510"/>
      <c r="AQ40" s="553"/>
      <c r="AR40" s="510"/>
      <c r="AS40" s="553"/>
      <c r="AT40" s="510"/>
      <c r="AU40" s="553"/>
      <c r="AV40" s="510"/>
      <c r="AW40" s="553"/>
      <c r="AX40" s="510"/>
      <c r="AY40" s="553" t="s">
        <v>1123</v>
      </c>
      <c r="AZ40" s="510"/>
      <c r="BA40" s="130"/>
      <c r="BB40" s="130"/>
      <c r="BC40" s="130"/>
      <c r="BD40" s="130"/>
      <c r="BE40" s="130"/>
      <c r="BF40" s="130"/>
      <c r="BG40" s="130"/>
      <c r="BH40" s="130"/>
      <c r="BI40" s="130"/>
      <c r="BJ40" s="130"/>
      <c r="BK40" s="130"/>
      <c r="BL40" s="130"/>
      <c r="BM40" s="130"/>
      <c r="BN40" s="130"/>
      <c r="BO40" s="130"/>
      <c r="BP40" s="130"/>
      <c r="BQ40" s="130"/>
      <c r="BR40" s="130"/>
      <c r="BS40" s="130"/>
      <c r="BT40" s="130"/>
    </row>
    <row r="41" spans="1:72" ht="15.75" customHeight="1">
      <c r="A41" s="560" t="s">
        <v>1124</v>
      </c>
      <c r="B41" s="316" t="s">
        <v>1125</v>
      </c>
      <c r="C41" s="699"/>
      <c r="D41" s="510"/>
      <c r="E41" s="699"/>
      <c r="F41" s="510"/>
      <c r="G41" s="699"/>
      <c r="H41" s="510"/>
      <c r="I41" s="699"/>
      <c r="J41" s="510"/>
      <c r="K41" s="699"/>
      <c r="L41" s="510"/>
      <c r="M41" s="699"/>
      <c r="N41" s="510"/>
      <c r="O41" s="699"/>
      <c r="P41" s="510"/>
      <c r="Q41" s="699"/>
      <c r="R41" s="510"/>
      <c r="S41" s="699"/>
      <c r="T41" s="510"/>
      <c r="U41" s="699"/>
      <c r="V41" s="510"/>
      <c r="W41" s="699"/>
      <c r="X41" s="510"/>
      <c r="Y41" s="699"/>
      <c r="Z41" s="510"/>
      <c r="AA41" s="699"/>
      <c r="AB41" s="510"/>
      <c r="AC41" s="699"/>
      <c r="AD41" s="510"/>
      <c r="AE41" s="699"/>
      <c r="AF41" s="510"/>
      <c r="AG41" s="699"/>
      <c r="AH41" s="510"/>
      <c r="AI41" s="699"/>
      <c r="AJ41" s="510"/>
      <c r="AK41" s="699"/>
      <c r="AL41" s="510"/>
      <c r="AM41" s="699"/>
      <c r="AN41" s="510"/>
      <c r="AO41" s="699"/>
      <c r="AP41" s="510"/>
      <c r="AQ41" s="699"/>
      <c r="AR41" s="510"/>
      <c r="AS41" s="699"/>
      <c r="AT41" s="510"/>
      <c r="AU41" s="699"/>
      <c r="AV41" s="510"/>
      <c r="AW41" s="699"/>
      <c r="AX41" s="510"/>
      <c r="AY41" s="699"/>
      <c r="AZ41" s="510"/>
      <c r="BA41" s="130"/>
      <c r="BB41" s="130"/>
      <c r="BC41" s="130"/>
      <c r="BD41" s="130"/>
      <c r="BE41" s="130"/>
      <c r="BF41" s="130"/>
      <c r="BG41" s="130"/>
      <c r="BH41" s="130"/>
      <c r="BI41" s="130"/>
      <c r="BJ41" s="130"/>
      <c r="BK41" s="130"/>
      <c r="BL41" s="130"/>
      <c r="BM41" s="130"/>
      <c r="BN41" s="130"/>
      <c r="BO41" s="130"/>
      <c r="BP41" s="130"/>
      <c r="BQ41" s="130"/>
      <c r="BR41" s="130"/>
      <c r="BS41" s="130"/>
      <c r="BT41" s="130"/>
    </row>
    <row r="42" spans="1:72" ht="15.75" customHeight="1">
      <c r="A42" s="524"/>
      <c r="B42" s="93" t="s">
        <v>1126</v>
      </c>
      <c r="C42" s="556">
        <v>1</v>
      </c>
      <c r="D42" s="510"/>
      <c r="E42" s="556">
        <v>1</v>
      </c>
      <c r="F42" s="510"/>
      <c r="G42" s="556">
        <v>1</v>
      </c>
      <c r="H42" s="510"/>
      <c r="I42" s="556">
        <v>1</v>
      </c>
      <c r="J42" s="510"/>
      <c r="K42" s="556">
        <v>1</v>
      </c>
      <c r="L42" s="510"/>
      <c r="M42" s="556">
        <v>1</v>
      </c>
      <c r="N42" s="510"/>
      <c r="O42" s="556">
        <v>1</v>
      </c>
      <c r="P42" s="510"/>
      <c r="Q42" s="556">
        <v>1</v>
      </c>
      <c r="R42" s="510"/>
      <c r="S42" s="556">
        <v>1</v>
      </c>
      <c r="T42" s="510"/>
      <c r="U42" s="556">
        <v>1</v>
      </c>
      <c r="V42" s="510"/>
      <c r="W42" s="556">
        <v>1</v>
      </c>
      <c r="X42" s="510"/>
      <c r="Y42" s="556">
        <v>1</v>
      </c>
      <c r="Z42" s="510"/>
      <c r="AA42" s="556">
        <v>1</v>
      </c>
      <c r="AB42" s="510"/>
      <c r="AC42" s="556">
        <v>1</v>
      </c>
      <c r="AD42" s="510"/>
      <c r="AE42" s="556">
        <v>1</v>
      </c>
      <c r="AF42" s="510"/>
      <c r="AG42" s="556">
        <v>1</v>
      </c>
      <c r="AH42" s="510"/>
      <c r="AI42" s="556">
        <v>1</v>
      </c>
      <c r="AJ42" s="510"/>
      <c r="AK42" s="556">
        <v>1</v>
      </c>
      <c r="AL42" s="510"/>
      <c r="AM42" s="556">
        <v>1</v>
      </c>
      <c r="AN42" s="510"/>
      <c r="AO42" s="556">
        <v>1</v>
      </c>
      <c r="AP42" s="510"/>
      <c r="AQ42" s="556">
        <v>1</v>
      </c>
      <c r="AR42" s="510"/>
      <c r="AS42" s="556">
        <v>1</v>
      </c>
      <c r="AT42" s="510"/>
      <c r="AU42" s="556">
        <v>1</v>
      </c>
      <c r="AV42" s="510"/>
      <c r="AW42" s="556">
        <v>1</v>
      </c>
      <c r="AX42" s="510"/>
      <c r="AY42" s="556">
        <v>1</v>
      </c>
      <c r="AZ42" s="510"/>
      <c r="BA42" s="130"/>
      <c r="BB42" s="130"/>
      <c r="BC42" s="130"/>
      <c r="BD42" s="130"/>
      <c r="BE42" s="130"/>
      <c r="BF42" s="130"/>
      <c r="BG42" s="130"/>
      <c r="BH42" s="130"/>
      <c r="BI42" s="130"/>
      <c r="BJ42" s="130"/>
      <c r="BK42" s="130"/>
      <c r="BL42" s="130"/>
      <c r="BM42" s="130"/>
      <c r="BN42" s="130"/>
      <c r="BO42" s="130"/>
      <c r="BP42" s="130"/>
      <c r="BQ42" s="130"/>
      <c r="BR42" s="130"/>
      <c r="BS42" s="130"/>
      <c r="BT42" s="130"/>
    </row>
    <row r="43" spans="1:72" ht="15.75" customHeight="1">
      <c r="A43" s="524"/>
      <c r="B43" s="93" t="s">
        <v>1127</v>
      </c>
      <c r="C43" s="556"/>
      <c r="D43" s="510"/>
      <c r="E43" s="556"/>
      <c r="F43" s="510"/>
      <c r="G43" s="556"/>
      <c r="H43" s="510"/>
      <c r="I43" s="556"/>
      <c r="J43" s="510"/>
      <c r="K43" s="556"/>
      <c r="L43" s="510"/>
      <c r="M43" s="556"/>
      <c r="N43" s="510"/>
      <c r="O43" s="556"/>
      <c r="P43" s="510"/>
      <c r="Q43" s="556"/>
      <c r="R43" s="510"/>
      <c r="S43" s="556"/>
      <c r="T43" s="510"/>
      <c r="U43" s="556"/>
      <c r="V43" s="510"/>
      <c r="W43" s="556"/>
      <c r="X43" s="510"/>
      <c r="Y43" s="556"/>
      <c r="Z43" s="510"/>
      <c r="AA43" s="556"/>
      <c r="AB43" s="510"/>
      <c r="AC43" s="556"/>
      <c r="AD43" s="510"/>
      <c r="AE43" s="556"/>
      <c r="AF43" s="510"/>
      <c r="AG43" s="556"/>
      <c r="AH43" s="510"/>
      <c r="AI43" s="556"/>
      <c r="AJ43" s="510"/>
      <c r="AK43" s="556"/>
      <c r="AL43" s="510"/>
      <c r="AM43" s="556"/>
      <c r="AN43" s="510"/>
      <c r="AO43" s="556"/>
      <c r="AP43" s="510"/>
      <c r="AQ43" s="556"/>
      <c r="AR43" s="510"/>
      <c r="AS43" s="556"/>
      <c r="AT43" s="510"/>
      <c r="AU43" s="556"/>
      <c r="AV43" s="510"/>
      <c r="AW43" s="556"/>
      <c r="AX43" s="510"/>
      <c r="AY43" s="556"/>
      <c r="AZ43" s="510"/>
      <c r="BA43" s="130"/>
      <c r="BB43" s="130"/>
      <c r="BC43" s="130"/>
      <c r="BD43" s="130"/>
      <c r="BE43" s="130"/>
      <c r="BF43" s="130"/>
      <c r="BG43" s="130"/>
      <c r="BH43" s="130"/>
      <c r="BI43" s="130"/>
      <c r="BJ43" s="130"/>
      <c r="BK43" s="130"/>
      <c r="BL43" s="130"/>
      <c r="BM43" s="130"/>
      <c r="BN43" s="130"/>
      <c r="BO43" s="130"/>
      <c r="BP43" s="130"/>
      <c r="BQ43" s="130"/>
      <c r="BR43" s="130"/>
      <c r="BS43" s="130"/>
      <c r="BT43" s="130"/>
    </row>
    <row r="44" spans="1:72" ht="15.75" customHeight="1">
      <c r="A44" s="524"/>
      <c r="B44" s="93" t="s">
        <v>500</v>
      </c>
      <c r="C44" s="556"/>
      <c r="D44" s="510"/>
      <c r="E44" s="556"/>
      <c r="F44" s="510"/>
      <c r="G44" s="556"/>
      <c r="H44" s="510"/>
      <c r="I44" s="556"/>
      <c r="J44" s="510"/>
      <c r="K44" s="556"/>
      <c r="L44" s="510"/>
      <c r="M44" s="556"/>
      <c r="N44" s="510"/>
      <c r="O44" s="556"/>
      <c r="P44" s="510"/>
      <c r="Q44" s="556"/>
      <c r="R44" s="510"/>
      <c r="S44" s="556"/>
      <c r="T44" s="510"/>
      <c r="U44" s="556"/>
      <c r="V44" s="510"/>
      <c r="W44" s="556"/>
      <c r="X44" s="510"/>
      <c r="Y44" s="556"/>
      <c r="Z44" s="510"/>
      <c r="AA44" s="556"/>
      <c r="AB44" s="510"/>
      <c r="AC44" s="556"/>
      <c r="AD44" s="510"/>
      <c r="AE44" s="556"/>
      <c r="AF44" s="510"/>
      <c r="AG44" s="556"/>
      <c r="AH44" s="510"/>
      <c r="AI44" s="556"/>
      <c r="AJ44" s="510"/>
      <c r="AK44" s="556"/>
      <c r="AL44" s="510"/>
      <c r="AM44" s="556"/>
      <c r="AN44" s="510"/>
      <c r="AO44" s="556"/>
      <c r="AP44" s="510"/>
      <c r="AQ44" s="556"/>
      <c r="AR44" s="510"/>
      <c r="AS44" s="556"/>
      <c r="AT44" s="510"/>
      <c r="AU44" s="556"/>
      <c r="AV44" s="510"/>
      <c r="AW44" s="556"/>
      <c r="AX44" s="510"/>
      <c r="AY44" s="556"/>
      <c r="AZ44" s="510"/>
      <c r="BA44" s="130"/>
      <c r="BB44" s="130"/>
      <c r="BC44" s="130"/>
      <c r="BD44" s="130"/>
      <c r="BE44" s="130"/>
      <c r="BF44" s="130"/>
      <c r="BG44" s="130"/>
      <c r="BH44" s="130"/>
      <c r="BI44" s="130"/>
      <c r="BJ44" s="130"/>
      <c r="BK44" s="130"/>
      <c r="BL44" s="130"/>
      <c r="BM44" s="130"/>
      <c r="BN44" s="130"/>
      <c r="BO44" s="130"/>
      <c r="BP44" s="130"/>
      <c r="BQ44" s="130"/>
      <c r="BR44" s="130"/>
      <c r="BS44" s="130"/>
      <c r="BT44" s="130"/>
    </row>
    <row r="45" spans="1:72" ht="15.75" customHeight="1">
      <c r="A45" s="524"/>
      <c r="B45" s="138" t="s">
        <v>721</v>
      </c>
      <c r="C45" s="554"/>
      <c r="D45" s="510"/>
      <c r="E45" s="554"/>
      <c r="F45" s="510"/>
      <c r="G45" s="554"/>
      <c r="H45" s="510"/>
      <c r="I45" s="554"/>
      <c r="J45" s="510"/>
      <c r="K45" s="554"/>
      <c r="L45" s="510"/>
      <c r="M45" s="554"/>
      <c r="N45" s="510"/>
      <c r="O45" s="554"/>
      <c r="P45" s="510"/>
      <c r="Q45" s="554"/>
      <c r="R45" s="510"/>
      <c r="S45" s="554"/>
      <c r="T45" s="510"/>
      <c r="U45" s="554"/>
      <c r="V45" s="510"/>
      <c r="W45" s="554"/>
      <c r="X45" s="510"/>
      <c r="Y45" s="554"/>
      <c r="Z45" s="510"/>
      <c r="AA45" s="554"/>
      <c r="AB45" s="510"/>
      <c r="AC45" s="554"/>
      <c r="AD45" s="510"/>
      <c r="AE45" s="554"/>
      <c r="AF45" s="510"/>
      <c r="AG45" s="554"/>
      <c r="AH45" s="510"/>
      <c r="AI45" s="554"/>
      <c r="AJ45" s="510"/>
      <c r="AK45" s="554"/>
      <c r="AL45" s="510"/>
      <c r="AM45" s="554"/>
      <c r="AN45" s="510"/>
      <c r="AO45" s="554"/>
      <c r="AP45" s="510"/>
      <c r="AQ45" s="554"/>
      <c r="AR45" s="510"/>
      <c r="AS45" s="554"/>
      <c r="AT45" s="510"/>
      <c r="AU45" s="554"/>
      <c r="AV45" s="510"/>
      <c r="AW45" s="554"/>
      <c r="AX45" s="510"/>
      <c r="AY45" s="554"/>
      <c r="AZ45" s="510"/>
      <c r="BA45" s="130"/>
      <c r="BB45" s="130"/>
      <c r="BC45" s="130"/>
      <c r="BD45" s="130"/>
      <c r="BE45" s="130"/>
      <c r="BF45" s="130"/>
      <c r="BG45" s="130"/>
      <c r="BH45" s="130"/>
      <c r="BI45" s="130"/>
      <c r="BJ45" s="130"/>
      <c r="BK45" s="130"/>
      <c r="BL45" s="130"/>
      <c r="BM45" s="130"/>
      <c r="BN45" s="130"/>
      <c r="BO45" s="130"/>
      <c r="BP45" s="130"/>
      <c r="BQ45" s="130"/>
      <c r="BR45" s="130"/>
      <c r="BS45" s="130"/>
      <c r="BT45" s="130"/>
    </row>
    <row r="46" spans="1:72" ht="15.75" customHeight="1">
      <c r="A46" s="525"/>
      <c r="B46" s="135" t="s">
        <v>307</v>
      </c>
      <c r="C46" s="553"/>
      <c r="D46" s="510"/>
      <c r="E46" s="553"/>
      <c r="F46" s="510"/>
      <c r="G46" s="553"/>
      <c r="H46" s="510"/>
      <c r="I46" s="553"/>
      <c r="J46" s="510"/>
      <c r="K46" s="553"/>
      <c r="L46" s="510"/>
      <c r="M46" s="553"/>
      <c r="N46" s="510"/>
      <c r="O46" s="553"/>
      <c r="P46" s="510"/>
      <c r="Q46" s="553"/>
      <c r="R46" s="510"/>
      <c r="S46" s="553"/>
      <c r="T46" s="510"/>
      <c r="U46" s="553"/>
      <c r="V46" s="510"/>
      <c r="W46" s="553"/>
      <c r="X46" s="510"/>
      <c r="Y46" s="553"/>
      <c r="Z46" s="510"/>
      <c r="AA46" s="553"/>
      <c r="AB46" s="510"/>
      <c r="AC46" s="553"/>
      <c r="AD46" s="510"/>
      <c r="AE46" s="553"/>
      <c r="AF46" s="510"/>
      <c r="AG46" s="553"/>
      <c r="AH46" s="510"/>
      <c r="AI46" s="553"/>
      <c r="AJ46" s="510"/>
      <c r="AK46" s="553"/>
      <c r="AL46" s="510"/>
      <c r="AM46" s="553"/>
      <c r="AN46" s="510"/>
      <c r="AO46" s="553"/>
      <c r="AP46" s="510"/>
      <c r="AQ46" s="553"/>
      <c r="AR46" s="510"/>
      <c r="AS46" s="553"/>
      <c r="AT46" s="510"/>
      <c r="AU46" s="553"/>
      <c r="AV46" s="510"/>
      <c r="AW46" s="553"/>
      <c r="AX46" s="510"/>
      <c r="AY46" s="553"/>
      <c r="AZ46" s="510"/>
      <c r="BA46" s="130"/>
      <c r="BB46" s="130"/>
      <c r="BC46" s="130"/>
      <c r="BD46" s="130"/>
      <c r="BE46" s="130"/>
      <c r="BF46" s="130"/>
      <c r="BG46" s="130"/>
      <c r="BH46" s="130"/>
      <c r="BI46" s="130"/>
      <c r="BJ46" s="130"/>
      <c r="BK46" s="130"/>
      <c r="BL46" s="130"/>
      <c r="BM46" s="130"/>
      <c r="BN46" s="130"/>
      <c r="BO46" s="130"/>
      <c r="BP46" s="130"/>
      <c r="BQ46" s="130"/>
      <c r="BR46" s="130"/>
      <c r="BS46" s="130"/>
      <c r="BT46" s="130"/>
    </row>
    <row r="47" spans="1:72" ht="15.75" customHeight="1">
      <c r="A47" s="560" t="s">
        <v>392</v>
      </c>
      <c r="B47" s="86" t="s">
        <v>1128</v>
      </c>
      <c r="C47" s="556">
        <v>0</v>
      </c>
      <c r="D47" s="510"/>
      <c r="E47" s="556">
        <v>0</v>
      </c>
      <c r="F47" s="510"/>
      <c r="G47" s="556">
        <v>0</v>
      </c>
      <c r="H47" s="510"/>
      <c r="I47" s="556">
        <v>0</v>
      </c>
      <c r="J47" s="510"/>
      <c r="K47" s="556">
        <v>0</v>
      </c>
      <c r="L47" s="510"/>
      <c r="M47" s="556">
        <v>0</v>
      </c>
      <c r="N47" s="510"/>
      <c r="O47" s="556">
        <v>0</v>
      </c>
      <c r="P47" s="510"/>
      <c r="Q47" s="556">
        <v>0</v>
      </c>
      <c r="R47" s="510"/>
      <c r="S47" s="556">
        <v>0</v>
      </c>
      <c r="T47" s="510"/>
      <c r="U47" s="556">
        <v>0</v>
      </c>
      <c r="V47" s="510"/>
      <c r="W47" s="556">
        <v>0</v>
      </c>
      <c r="X47" s="510"/>
      <c r="Y47" s="556">
        <v>0</v>
      </c>
      <c r="Z47" s="510"/>
      <c r="AA47" s="556">
        <v>0</v>
      </c>
      <c r="AB47" s="510"/>
      <c r="AC47" s="556">
        <v>0</v>
      </c>
      <c r="AD47" s="510"/>
      <c r="AE47" s="556">
        <v>0</v>
      </c>
      <c r="AF47" s="510"/>
      <c r="AG47" s="556">
        <v>0</v>
      </c>
      <c r="AH47" s="510"/>
      <c r="AI47" s="556">
        <v>0</v>
      </c>
      <c r="AJ47" s="510"/>
      <c r="AK47" s="556">
        <v>0</v>
      </c>
      <c r="AL47" s="510"/>
      <c r="AM47" s="556">
        <v>0</v>
      </c>
      <c r="AN47" s="510"/>
      <c r="AO47" s="556">
        <v>0</v>
      </c>
      <c r="AP47" s="510"/>
      <c r="AQ47" s="556">
        <v>0</v>
      </c>
      <c r="AR47" s="510"/>
      <c r="AS47" s="556">
        <v>0</v>
      </c>
      <c r="AT47" s="510"/>
      <c r="AU47" s="556">
        <v>0</v>
      </c>
      <c r="AV47" s="510"/>
      <c r="AW47" s="556">
        <v>0</v>
      </c>
      <c r="AX47" s="510"/>
      <c r="AY47" s="556">
        <v>0</v>
      </c>
      <c r="AZ47" s="510"/>
      <c r="BA47" s="130"/>
      <c r="BB47" s="130"/>
      <c r="BC47" s="130"/>
      <c r="BD47" s="130"/>
      <c r="BE47" s="130"/>
      <c r="BF47" s="130"/>
      <c r="BG47" s="130"/>
      <c r="BH47" s="130"/>
      <c r="BI47" s="130"/>
      <c r="BJ47" s="130"/>
      <c r="BK47" s="130"/>
      <c r="BL47" s="130"/>
      <c r="BM47" s="130"/>
      <c r="BN47" s="130"/>
      <c r="BO47" s="130"/>
      <c r="BP47" s="130"/>
      <c r="BQ47" s="130"/>
      <c r="BR47" s="130"/>
      <c r="BS47" s="130"/>
      <c r="BT47" s="130"/>
    </row>
    <row r="48" spans="1:72" ht="15" customHeight="1">
      <c r="A48" s="524"/>
      <c r="B48" s="138" t="s">
        <v>1129</v>
      </c>
      <c r="C48" s="554"/>
      <c r="D48" s="510"/>
      <c r="E48" s="554"/>
      <c r="F48" s="510"/>
      <c r="G48" s="554"/>
      <c r="H48" s="510"/>
      <c r="I48" s="554"/>
      <c r="J48" s="510"/>
      <c r="K48" s="554"/>
      <c r="L48" s="510"/>
      <c r="M48" s="554"/>
      <c r="N48" s="510"/>
      <c r="O48" s="554"/>
      <c r="P48" s="510"/>
      <c r="Q48" s="554"/>
      <c r="R48" s="510"/>
      <c r="S48" s="554"/>
      <c r="T48" s="510"/>
      <c r="U48" s="554"/>
      <c r="V48" s="510"/>
      <c r="W48" s="554"/>
      <c r="X48" s="510"/>
      <c r="Y48" s="554"/>
      <c r="Z48" s="510"/>
      <c r="AA48" s="554"/>
      <c r="AB48" s="510"/>
      <c r="AC48" s="554"/>
      <c r="AD48" s="510"/>
      <c r="AE48" s="554"/>
      <c r="AF48" s="510"/>
      <c r="AG48" s="554"/>
      <c r="AH48" s="510"/>
      <c r="AI48" s="554"/>
      <c r="AJ48" s="510"/>
      <c r="AK48" s="554"/>
      <c r="AL48" s="510"/>
      <c r="AM48" s="554"/>
      <c r="AN48" s="510"/>
      <c r="AO48" s="554"/>
      <c r="AP48" s="510"/>
      <c r="AQ48" s="554"/>
      <c r="AR48" s="510"/>
      <c r="AS48" s="554"/>
      <c r="AT48" s="510"/>
      <c r="AU48" s="554"/>
      <c r="AV48" s="510"/>
      <c r="AW48" s="554"/>
      <c r="AX48" s="510"/>
      <c r="AY48" s="554"/>
      <c r="AZ48" s="510"/>
      <c r="BA48" s="130"/>
      <c r="BB48" s="130"/>
      <c r="BC48" s="130"/>
      <c r="BD48" s="130"/>
      <c r="BE48" s="130"/>
      <c r="BF48" s="130"/>
      <c r="BG48" s="130"/>
      <c r="BH48" s="130"/>
      <c r="BI48" s="130"/>
      <c r="BJ48" s="130"/>
      <c r="BK48" s="130"/>
      <c r="BL48" s="130"/>
      <c r="BM48" s="130"/>
      <c r="BN48" s="130"/>
      <c r="BO48" s="130"/>
      <c r="BP48" s="130"/>
      <c r="BQ48" s="130"/>
      <c r="BR48" s="130"/>
      <c r="BS48" s="130"/>
      <c r="BT48" s="130"/>
    </row>
    <row r="49" spans="1:72" ht="15.75" customHeight="1">
      <c r="A49" s="525"/>
      <c r="B49" s="135" t="s">
        <v>307</v>
      </c>
      <c r="C49" s="553"/>
      <c r="D49" s="510"/>
      <c r="E49" s="553"/>
      <c r="F49" s="510"/>
      <c r="G49" s="553"/>
      <c r="H49" s="510"/>
      <c r="I49" s="553"/>
      <c r="J49" s="510"/>
      <c r="K49" s="553"/>
      <c r="L49" s="510"/>
      <c r="M49" s="553"/>
      <c r="N49" s="510"/>
      <c r="O49" s="553"/>
      <c r="P49" s="510"/>
      <c r="Q49" s="553"/>
      <c r="R49" s="510"/>
      <c r="S49" s="553"/>
      <c r="T49" s="510"/>
      <c r="U49" s="553"/>
      <c r="V49" s="510"/>
      <c r="W49" s="553"/>
      <c r="X49" s="510"/>
      <c r="Y49" s="553"/>
      <c r="Z49" s="510"/>
      <c r="AA49" s="553"/>
      <c r="AB49" s="510"/>
      <c r="AC49" s="553"/>
      <c r="AD49" s="510"/>
      <c r="AE49" s="553"/>
      <c r="AF49" s="510"/>
      <c r="AG49" s="553"/>
      <c r="AH49" s="510"/>
      <c r="AI49" s="553"/>
      <c r="AJ49" s="510"/>
      <c r="AK49" s="553"/>
      <c r="AL49" s="510"/>
      <c r="AM49" s="553"/>
      <c r="AN49" s="510"/>
      <c r="AO49" s="553"/>
      <c r="AP49" s="510"/>
      <c r="AQ49" s="553"/>
      <c r="AR49" s="510"/>
      <c r="AS49" s="553"/>
      <c r="AT49" s="510"/>
      <c r="AU49" s="553"/>
      <c r="AV49" s="510"/>
      <c r="AW49" s="553"/>
      <c r="AX49" s="510"/>
      <c r="AY49" s="553"/>
      <c r="AZ49" s="510"/>
      <c r="BA49" s="130"/>
      <c r="BB49" s="130"/>
      <c r="BC49" s="130"/>
      <c r="BD49" s="130"/>
      <c r="BE49" s="130"/>
      <c r="BF49" s="130"/>
      <c r="BG49" s="130"/>
      <c r="BH49" s="130"/>
      <c r="BI49" s="130"/>
      <c r="BJ49" s="130"/>
      <c r="BK49" s="130"/>
      <c r="BL49" s="130"/>
      <c r="BM49" s="130"/>
      <c r="BN49" s="130"/>
      <c r="BO49" s="130"/>
      <c r="BP49" s="130"/>
      <c r="BQ49" s="130"/>
      <c r="BR49" s="130"/>
      <c r="BS49" s="130"/>
      <c r="BT49" s="130"/>
    </row>
    <row r="50" spans="1:72" ht="15" customHeight="1">
      <c r="A50" s="612" t="s">
        <v>1130</v>
      </c>
      <c r="B50" s="708" t="s">
        <v>1131</v>
      </c>
      <c r="C50" s="613">
        <v>1</v>
      </c>
      <c r="D50" s="510"/>
      <c r="E50" s="613">
        <v>2</v>
      </c>
      <c r="F50" s="510"/>
      <c r="G50" s="613">
        <v>3</v>
      </c>
      <c r="H50" s="510"/>
      <c r="I50" s="613">
        <v>4</v>
      </c>
      <c r="J50" s="510"/>
      <c r="K50" s="613">
        <v>5</v>
      </c>
      <c r="L50" s="510"/>
      <c r="M50" s="613">
        <v>6</v>
      </c>
      <c r="N50" s="510"/>
      <c r="O50" s="613">
        <v>7</v>
      </c>
      <c r="P50" s="510"/>
      <c r="Q50" s="613">
        <v>8</v>
      </c>
      <c r="R50" s="510"/>
      <c r="S50" s="613">
        <v>9</v>
      </c>
      <c r="T50" s="510"/>
      <c r="U50" s="613">
        <v>10</v>
      </c>
      <c r="V50" s="510"/>
      <c r="W50" s="613">
        <v>11</v>
      </c>
      <c r="X50" s="510"/>
      <c r="Y50" s="613">
        <v>12</v>
      </c>
      <c r="Z50" s="510"/>
      <c r="AA50" s="613">
        <v>13</v>
      </c>
      <c r="AB50" s="510"/>
      <c r="AC50" s="613">
        <v>14</v>
      </c>
      <c r="AD50" s="510"/>
      <c r="AE50" s="613">
        <v>15</v>
      </c>
      <c r="AF50" s="510"/>
      <c r="AG50" s="613">
        <v>16</v>
      </c>
      <c r="AH50" s="510"/>
      <c r="AI50" s="613">
        <v>17</v>
      </c>
      <c r="AJ50" s="510"/>
      <c r="AK50" s="613">
        <v>18</v>
      </c>
      <c r="AL50" s="510"/>
      <c r="AM50" s="613">
        <v>19</v>
      </c>
      <c r="AN50" s="510"/>
      <c r="AO50" s="613">
        <v>20</v>
      </c>
      <c r="AP50" s="510"/>
      <c r="AQ50" s="613">
        <v>21</v>
      </c>
      <c r="AR50" s="510"/>
      <c r="AS50" s="613">
        <v>22</v>
      </c>
      <c r="AT50" s="510"/>
      <c r="AU50" s="613">
        <v>23</v>
      </c>
      <c r="AV50" s="510"/>
      <c r="AW50" s="613">
        <v>24</v>
      </c>
      <c r="AX50" s="510"/>
      <c r="AY50" s="613">
        <v>25</v>
      </c>
      <c r="AZ50" s="510"/>
      <c r="BA50" s="130"/>
      <c r="BB50" s="130"/>
      <c r="BC50" s="130"/>
      <c r="BD50" s="130"/>
      <c r="BE50" s="130"/>
      <c r="BF50" s="130"/>
      <c r="BG50" s="130"/>
      <c r="BH50" s="130"/>
      <c r="BI50" s="130"/>
      <c r="BJ50" s="130"/>
      <c r="BK50" s="130"/>
      <c r="BL50" s="130"/>
      <c r="BM50" s="130"/>
      <c r="BN50" s="130"/>
      <c r="BO50" s="130"/>
      <c r="BP50" s="130"/>
      <c r="BQ50" s="130"/>
      <c r="BR50" s="130"/>
      <c r="BS50" s="130"/>
      <c r="BT50" s="130"/>
    </row>
    <row r="51" spans="1:72" ht="15.75" customHeight="1">
      <c r="A51" s="525"/>
      <c r="B51" s="525"/>
      <c r="C51" s="154" t="s">
        <v>300</v>
      </c>
      <c r="D51" s="154" t="s">
        <v>301</v>
      </c>
      <c r="E51" s="154" t="s">
        <v>300</v>
      </c>
      <c r="F51" s="154" t="s">
        <v>301</v>
      </c>
      <c r="G51" s="154" t="s">
        <v>300</v>
      </c>
      <c r="H51" s="154" t="s">
        <v>301</v>
      </c>
      <c r="I51" s="154" t="s">
        <v>300</v>
      </c>
      <c r="J51" s="154" t="s">
        <v>301</v>
      </c>
      <c r="K51" s="154" t="s">
        <v>300</v>
      </c>
      <c r="L51" s="154" t="s">
        <v>301</v>
      </c>
      <c r="M51" s="154" t="s">
        <v>300</v>
      </c>
      <c r="N51" s="154" t="s">
        <v>301</v>
      </c>
      <c r="O51" s="154" t="s">
        <v>300</v>
      </c>
      <c r="P51" s="154" t="s">
        <v>301</v>
      </c>
      <c r="Q51" s="154" t="s">
        <v>300</v>
      </c>
      <c r="R51" s="154" t="s">
        <v>301</v>
      </c>
      <c r="S51" s="154" t="s">
        <v>300</v>
      </c>
      <c r="T51" s="154" t="s">
        <v>301</v>
      </c>
      <c r="U51" s="154" t="s">
        <v>300</v>
      </c>
      <c r="V51" s="154" t="s">
        <v>301</v>
      </c>
      <c r="W51" s="154" t="s">
        <v>300</v>
      </c>
      <c r="X51" s="154" t="s">
        <v>301</v>
      </c>
      <c r="Y51" s="154" t="s">
        <v>300</v>
      </c>
      <c r="Z51" s="154" t="s">
        <v>301</v>
      </c>
      <c r="AA51" s="154" t="s">
        <v>300</v>
      </c>
      <c r="AB51" s="154" t="s">
        <v>301</v>
      </c>
      <c r="AC51" s="154" t="s">
        <v>300</v>
      </c>
      <c r="AD51" s="154" t="s">
        <v>301</v>
      </c>
      <c r="AE51" s="154" t="s">
        <v>300</v>
      </c>
      <c r="AF51" s="154" t="s">
        <v>301</v>
      </c>
      <c r="AG51" s="154" t="s">
        <v>300</v>
      </c>
      <c r="AH51" s="154" t="s">
        <v>301</v>
      </c>
      <c r="AI51" s="154" t="s">
        <v>300</v>
      </c>
      <c r="AJ51" s="154" t="s">
        <v>301</v>
      </c>
      <c r="AK51" s="154" t="s">
        <v>300</v>
      </c>
      <c r="AL51" s="154" t="s">
        <v>301</v>
      </c>
      <c r="AM51" s="154" t="s">
        <v>300</v>
      </c>
      <c r="AN51" s="154" t="s">
        <v>301</v>
      </c>
      <c r="AO51" s="154" t="s">
        <v>300</v>
      </c>
      <c r="AP51" s="154" t="s">
        <v>301</v>
      </c>
      <c r="AQ51" s="154" t="s">
        <v>300</v>
      </c>
      <c r="AR51" s="154" t="s">
        <v>301</v>
      </c>
      <c r="AS51" s="154" t="s">
        <v>300</v>
      </c>
      <c r="AT51" s="154" t="s">
        <v>301</v>
      </c>
      <c r="AU51" s="154" t="s">
        <v>300</v>
      </c>
      <c r="AV51" s="154" t="s">
        <v>301</v>
      </c>
      <c r="AW51" s="154" t="s">
        <v>300</v>
      </c>
      <c r="AX51" s="154" t="s">
        <v>301</v>
      </c>
      <c r="AY51" s="154" t="s">
        <v>300</v>
      </c>
      <c r="AZ51" s="154" t="s">
        <v>301</v>
      </c>
      <c r="BA51" s="130"/>
      <c r="BB51" s="130"/>
      <c r="BC51" s="130"/>
      <c r="BD51" s="130"/>
      <c r="BE51" s="130"/>
      <c r="BF51" s="130"/>
      <c r="BG51" s="130"/>
      <c r="BH51" s="130"/>
      <c r="BI51" s="130"/>
      <c r="BJ51" s="130"/>
      <c r="BK51" s="130"/>
      <c r="BL51" s="130"/>
      <c r="BM51" s="130"/>
      <c r="BN51" s="130"/>
      <c r="BO51" s="130"/>
      <c r="BP51" s="130"/>
      <c r="BQ51" s="130"/>
      <c r="BR51" s="130"/>
      <c r="BS51" s="130"/>
      <c r="BT51" s="130"/>
    </row>
    <row r="52" spans="1:72" ht="15.75" customHeight="1">
      <c r="A52" s="560" t="s">
        <v>423</v>
      </c>
      <c r="B52" s="86" t="s">
        <v>1132</v>
      </c>
      <c r="C52" s="556">
        <v>1</v>
      </c>
      <c r="D52" s="510"/>
      <c r="E52" s="556">
        <v>1</v>
      </c>
      <c r="F52" s="510"/>
      <c r="G52" s="556">
        <v>1</v>
      </c>
      <c r="H52" s="510"/>
      <c r="I52" s="556">
        <v>1</v>
      </c>
      <c r="J52" s="510"/>
      <c r="K52" s="556">
        <v>1</v>
      </c>
      <c r="L52" s="510"/>
      <c r="M52" s="556">
        <v>1</v>
      </c>
      <c r="N52" s="510"/>
      <c r="O52" s="556">
        <v>1</v>
      </c>
      <c r="P52" s="510"/>
      <c r="Q52" s="556">
        <v>1</v>
      </c>
      <c r="R52" s="510"/>
      <c r="S52" s="556">
        <v>1</v>
      </c>
      <c r="T52" s="510"/>
      <c r="U52" s="556">
        <v>1</v>
      </c>
      <c r="V52" s="510"/>
      <c r="W52" s="556">
        <v>1</v>
      </c>
      <c r="X52" s="510"/>
      <c r="Y52" s="556">
        <v>1</v>
      </c>
      <c r="Z52" s="510"/>
      <c r="AA52" s="556">
        <v>1</v>
      </c>
      <c r="AB52" s="510"/>
      <c r="AC52" s="556">
        <v>1</v>
      </c>
      <c r="AD52" s="510"/>
      <c r="AE52" s="556">
        <v>1</v>
      </c>
      <c r="AF52" s="510"/>
      <c r="AG52" s="556">
        <v>1</v>
      </c>
      <c r="AH52" s="510"/>
      <c r="AI52" s="556">
        <v>1</v>
      </c>
      <c r="AJ52" s="510"/>
      <c r="AK52" s="556">
        <v>1</v>
      </c>
      <c r="AL52" s="510"/>
      <c r="AM52" s="556">
        <v>1</v>
      </c>
      <c r="AN52" s="510"/>
      <c r="AO52" s="556">
        <v>1</v>
      </c>
      <c r="AP52" s="510"/>
      <c r="AQ52" s="556">
        <v>1</v>
      </c>
      <c r="AR52" s="510"/>
      <c r="AS52" s="556">
        <v>1</v>
      </c>
      <c r="AT52" s="510"/>
      <c r="AU52" s="556">
        <v>1</v>
      </c>
      <c r="AV52" s="510"/>
      <c r="AW52" s="556">
        <v>1</v>
      </c>
      <c r="AX52" s="510"/>
      <c r="AY52" s="556">
        <v>1</v>
      </c>
      <c r="AZ52" s="510"/>
      <c r="BA52" s="130"/>
      <c r="BB52" s="130"/>
      <c r="BC52" s="130"/>
      <c r="BD52" s="130"/>
      <c r="BE52" s="130"/>
      <c r="BF52" s="130"/>
      <c r="BG52" s="130"/>
      <c r="BH52" s="130"/>
      <c r="BI52" s="130"/>
      <c r="BJ52" s="130"/>
      <c r="BK52" s="130"/>
      <c r="BL52" s="130"/>
      <c r="BM52" s="130"/>
      <c r="BN52" s="130"/>
      <c r="BO52" s="130"/>
      <c r="BP52" s="130"/>
      <c r="BQ52" s="130"/>
      <c r="BR52" s="130"/>
      <c r="BS52" s="130"/>
      <c r="BT52" s="130"/>
    </row>
    <row r="53" spans="1:72" ht="15" customHeight="1">
      <c r="A53" s="524"/>
      <c r="B53" s="138" t="s">
        <v>721</v>
      </c>
      <c r="C53" s="554"/>
      <c r="D53" s="510"/>
      <c r="E53" s="554"/>
      <c r="F53" s="510"/>
      <c r="G53" s="554"/>
      <c r="H53" s="510"/>
      <c r="I53" s="554"/>
      <c r="J53" s="510"/>
      <c r="K53" s="554"/>
      <c r="L53" s="510"/>
      <c r="M53" s="554"/>
      <c r="N53" s="510"/>
      <c r="O53" s="554"/>
      <c r="P53" s="510"/>
      <c r="Q53" s="554"/>
      <c r="R53" s="510"/>
      <c r="S53" s="554"/>
      <c r="T53" s="510"/>
      <c r="U53" s="554"/>
      <c r="V53" s="510"/>
      <c r="W53" s="554"/>
      <c r="X53" s="510"/>
      <c r="Y53" s="554"/>
      <c r="Z53" s="510"/>
      <c r="AA53" s="554"/>
      <c r="AB53" s="510"/>
      <c r="AC53" s="554"/>
      <c r="AD53" s="510"/>
      <c r="AE53" s="554"/>
      <c r="AF53" s="510"/>
      <c r="AG53" s="554"/>
      <c r="AH53" s="510"/>
      <c r="AI53" s="554"/>
      <c r="AJ53" s="510"/>
      <c r="AK53" s="554"/>
      <c r="AL53" s="510"/>
      <c r="AM53" s="554"/>
      <c r="AN53" s="510"/>
      <c r="AO53" s="554"/>
      <c r="AP53" s="510"/>
      <c r="AQ53" s="554"/>
      <c r="AR53" s="510"/>
      <c r="AS53" s="554"/>
      <c r="AT53" s="510"/>
      <c r="AU53" s="554"/>
      <c r="AV53" s="510"/>
      <c r="AW53" s="554"/>
      <c r="AX53" s="510"/>
      <c r="AY53" s="554"/>
      <c r="AZ53" s="510"/>
      <c r="BA53" s="130"/>
      <c r="BB53" s="130"/>
      <c r="BC53" s="130"/>
      <c r="BD53" s="130"/>
      <c r="BE53" s="130"/>
      <c r="BF53" s="130"/>
      <c r="BG53" s="130"/>
      <c r="BH53" s="130"/>
      <c r="BI53" s="130"/>
      <c r="BJ53" s="130"/>
      <c r="BK53" s="130"/>
      <c r="BL53" s="130"/>
      <c r="BM53" s="130"/>
      <c r="BN53" s="130"/>
      <c r="BO53" s="130"/>
      <c r="BP53" s="130"/>
      <c r="BQ53" s="130"/>
      <c r="BR53" s="130"/>
      <c r="BS53" s="130"/>
      <c r="BT53" s="130"/>
    </row>
    <row r="54" spans="1:72" ht="15.75" customHeight="1">
      <c r="A54" s="525"/>
      <c r="B54" s="135" t="s">
        <v>307</v>
      </c>
      <c r="C54" s="553"/>
      <c r="D54" s="510"/>
      <c r="E54" s="553"/>
      <c r="F54" s="510"/>
      <c r="G54" s="553"/>
      <c r="H54" s="510"/>
      <c r="I54" s="553"/>
      <c r="J54" s="510"/>
      <c r="K54" s="553"/>
      <c r="L54" s="510"/>
      <c r="M54" s="553"/>
      <c r="N54" s="510"/>
      <c r="O54" s="553"/>
      <c r="P54" s="510"/>
      <c r="Q54" s="553"/>
      <c r="R54" s="510"/>
      <c r="S54" s="553"/>
      <c r="T54" s="510"/>
      <c r="U54" s="553"/>
      <c r="V54" s="510"/>
      <c r="W54" s="553"/>
      <c r="X54" s="510"/>
      <c r="Y54" s="553"/>
      <c r="Z54" s="510"/>
      <c r="AA54" s="553"/>
      <c r="AB54" s="510"/>
      <c r="AC54" s="553"/>
      <c r="AD54" s="510"/>
      <c r="AE54" s="553"/>
      <c r="AF54" s="510"/>
      <c r="AG54" s="553"/>
      <c r="AH54" s="510"/>
      <c r="AI54" s="553"/>
      <c r="AJ54" s="510"/>
      <c r="AK54" s="553"/>
      <c r="AL54" s="510"/>
      <c r="AM54" s="553"/>
      <c r="AN54" s="510"/>
      <c r="AO54" s="553"/>
      <c r="AP54" s="510"/>
      <c r="AQ54" s="553"/>
      <c r="AR54" s="510"/>
      <c r="AS54" s="553"/>
      <c r="AT54" s="510"/>
      <c r="AU54" s="553"/>
      <c r="AV54" s="510"/>
      <c r="AW54" s="553"/>
      <c r="AX54" s="510"/>
      <c r="AY54" s="553"/>
      <c r="AZ54" s="510"/>
      <c r="BA54" s="130"/>
      <c r="BB54" s="130"/>
      <c r="BC54" s="130"/>
      <c r="BD54" s="130"/>
      <c r="BE54" s="130"/>
      <c r="BF54" s="130"/>
      <c r="BG54" s="130"/>
      <c r="BH54" s="130"/>
      <c r="BI54" s="130"/>
      <c r="BJ54" s="130"/>
      <c r="BK54" s="130"/>
      <c r="BL54" s="130"/>
      <c r="BM54" s="130"/>
      <c r="BN54" s="130"/>
      <c r="BO54" s="130"/>
      <c r="BP54" s="130"/>
      <c r="BQ54" s="130"/>
      <c r="BR54" s="130"/>
      <c r="BS54" s="130"/>
      <c r="BT54" s="130"/>
    </row>
    <row r="55" spans="1:72" ht="15.75" customHeight="1">
      <c r="A55" s="560" t="s">
        <v>426</v>
      </c>
      <c r="B55" s="318" t="s">
        <v>1133</v>
      </c>
      <c r="C55" s="556"/>
      <c r="D55" s="510"/>
      <c r="E55" s="556"/>
      <c r="F55" s="510"/>
      <c r="G55" s="556"/>
      <c r="H55" s="510"/>
      <c r="I55" s="556"/>
      <c r="J55" s="510"/>
      <c r="K55" s="556"/>
      <c r="L55" s="510"/>
      <c r="M55" s="556"/>
      <c r="N55" s="510"/>
      <c r="O55" s="556"/>
      <c r="P55" s="510"/>
      <c r="Q55" s="556"/>
      <c r="R55" s="510"/>
      <c r="S55" s="556"/>
      <c r="T55" s="510"/>
      <c r="U55" s="556"/>
      <c r="V55" s="510"/>
      <c r="W55" s="556"/>
      <c r="X55" s="510"/>
      <c r="Y55" s="556"/>
      <c r="Z55" s="510"/>
      <c r="AA55" s="556"/>
      <c r="AB55" s="510"/>
      <c r="AC55" s="556"/>
      <c r="AD55" s="510"/>
      <c r="AE55" s="556"/>
      <c r="AF55" s="510"/>
      <c r="AG55" s="556"/>
      <c r="AH55" s="510"/>
      <c r="AI55" s="556"/>
      <c r="AJ55" s="510"/>
      <c r="AK55" s="556"/>
      <c r="AL55" s="510"/>
      <c r="AM55" s="556"/>
      <c r="AN55" s="510"/>
      <c r="AO55" s="556"/>
      <c r="AP55" s="510"/>
      <c r="AQ55" s="556"/>
      <c r="AR55" s="510"/>
      <c r="AS55" s="556"/>
      <c r="AT55" s="510"/>
      <c r="AU55" s="556"/>
      <c r="AV55" s="510"/>
      <c r="AW55" s="556"/>
      <c r="AX55" s="510"/>
      <c r="AY55" s="556"/>
      <c r="AZ55" s="510"/>
      <c r="BA55" s="130"/>
      <c r="BB55" s="130"/>
      <c r="BC55" s="130"/>
      <c r="BD55" s="130"/>
      <c r="BE55" s="130"/>
      <c r="BF55" s="130"/>
      <c r="BG55" s="130"/>
      <c r="BH55" s="130"/>
      <c r="BI55" s="130"/>
      <c r="BJ55" s="130"/>
      <c r="BK55" s="130"/>
      <c r="BL55" s="130"/>
      <c r="BM55" s="130"/>
      <c r="BN55" s="130"/>
      <c r="BO55" s="130"/>
      <c r="BP55" s="130"/>
      <c r="BQ55" s="130"/>
      <c r="BR55" s="130"/>
      <c r="BS55" s="130"/>
      <c r="BT55" s="130"/>
    </row>
    <row r="56" spans="1:72" ht="15.75" customHeight="1">
      <c r="A56" s="524"/>
      <c r="B56" s="86" t="s">
        <v>1134</v>
      </c>
      <c r="C56" s="556">
        <v>1</v>
      </c>
      <c r="D56" s="510"/>
      <c r="E56" s="556">
        <v>1</v>
      </c>
      <c r="F56" s="510"/>
      <c r="G56" s="556">
        <v>1</v>
      </c>
      <c r="H56" s="510"/>
      <c r="I56" s="556">
        <v>1</v>
      </c>
      <c r="J56" s="510"/>
      <c r="K56" s="556">
        <v>1</v>
      </c>
      <c r="L56" s="510"/>
      <c r="M56" s="556">
        <v>1</v>
      </c>
      <c r="N56" s="510"/>
      <c r="O56" s="556">
        <v>1</v>
      </c>
      <c r="P56" s="510"/>
      <c r="Q56" s="556">
        <v>1</v>
      </c>
      <c r="R56" s="510"/>
      <c r="S56" s="556">
        <v>1</v>
      </c>
      <c r="T56" s="510"/>
      <c r="U56" s="556">
        <v>1</v>
      </c>
      <c r="V56" s="510"/>
      <c r="W56" s="556">
        <v>1</v>
      </c>
      <c r="X56" s="510"/>
      <c r="Y56" s="556">
        <v>1</v>
      </c>
      <c r="Z56" s="510"/>
      <c r="AA56" s="556">
        <v>1</v>
      </c>
      <c r="AB56" s="510"/>
      <c r="AC56" s="556">
        <v>1</v>
      </c>
      <c r="AD56" s="510"/>
      <c r="AE56" s="556">
        <v>1</v>
      </c>
      <c r="AF56" s="510"/>
      <c r="AG56" s="556">
        <v>1</v>
      </c>
      <c r="AH56" s="510"/>
      <c r="AI56" s="556">
        <v>1</v>
      </c>
      <c r="AJ56" s="510"/>
      <c r="AK56" s="556">
        <v>1</v>
      </c>
      <c r="AL56" s="510"/>
      <c r="AM56" s="556">
        <v>1</v>
      </c>
      <c r="AN56" s="510"/>
      <c r="AO56" s="556">
        <v>1</v>
      </c>
      <c r="AP56" s="510"/>
      <c r="AQ56" s="556">
        <v>1</v>
      </c>
      <c r="AR56" s="510"/>
      <c r="AS56" s="556">
        <v>1</v>
      </c>
      <c r="AT56" s="510"/>
      <c r="AU56" s="556">
        <v>1</v>
      </c>
      <c r="AV56" s="510"/>
      <c r="AW56" s="556">
        <v>1</v>
      </c>
      <c r="AX56" s="510"/>
      <c r="AY56" s="556">
        <v>1</v>
      </c>
      <c r="AZ56" s="510"/>
      <c r="BA56" s="130"/>
      <c r="BB56" s="130"/>
      <c r="BC56" s="130"/>
      <c r="BD56" s="130"/>
      <c r="BE56" s="130"/>
      <c r="BF56" s="130"/>
      <c r="BG56" s="130"/>
      <c r="BH56" s="130"/>
      <c r="BI56" s="130"/>
      <c r="BJ56" s="130"/>
      <c r="BK56" s="130"/>
      <c r="BL56" s="130"/>
      <c r="BM56" s="130"/>
      <c r="BN56" s="130"/>
      <c r="BO56" s="130"/>
      <c r="BP56" s="130"/>
      <c r="BQ56" s="130"/>
      <c r="BR56" s="130"/>
      <c r="BS56" s="130"/>
      <c r="BT56" s="130"/>
    </row>
    <row r="57" spans="1:72" ht="15.75" customHeight="1">
      <c r="A57" s="524"/>
      <c r="B57" s="86" t="s">
        <v>1135</v>
      </c>
      <c r="C57" s="556">
        <v>1</v>
      </c>
      <c r="D57" s="510"/>
      <c r="E57" s="556">
        <v>1</v>
      </c>
      <c r="F57" s="510"/>
      <c r="G57" s="556">
        <v>1</v>
      </c>
      <c r="H57" s="510"/>
      <c r="I57" s="556">
        <v>1</v>
      </c>
      <c r="J57" s="510"/>
      <c r="K57" s="556">
        <v>1</v>
      </c>
      <c r="L57" s="510"/>
      <c r="M57" s="556">
        <v>1</v>
      </c>
      <c r="N57" s="510"/>
      <c r="O57" s="556">
        <v>1</v>
      </c>
      <c r="P57" s="510"/>
      <c r="Q57" s="556">
        <v>1</v>
      </c>
      <c r="R57" s="510"/>
      <c r="S57" s="556">
        <v>1</v>
      </c>
      <c r="T57" s="510"/>
      <c r="U57" s="556">
        <v>1</v>
      </c>
      <c r="V57" s="510"/>
      <c r="W57" s="556">
        <v>1</v>
      </c>
      <c r="X57" s="510"/>
      <c r="Y57" s="556">
        <v>1</v>
      </c>
      <c r="Z57" s="510"/>
      <c r="AA57" s="556">
        <v>1</v>
      </c>
      <c r="AB57" s="510"/>
      <c r="AC57" s="556">
        <v>1</v>
      </c>
      <c r="AD57" s="510"/>
      <c r="AE57" s="556">
        <v>1</v>
      </c>
      <c r="AF57" s="510"/>
      <c r="AG57" s="556">
        <v>1</v>
      </c>
      <c r="AH57" s="510"/>
      <c r="AI57" s="556">
        <v>1</v>
      </c>
      <c r="AJ57" s="510"/>
      <c r="AK57" s="556">
        <v>1</v>
      </c>
      <c r="AL57" s="510"/>
      <c r="AM57" s="556">
        <v>1</v>
      </c>
      <c r="AN57" s="510"/>
      <c r="AO57" s="556">
        <v>1</v>
      </c>
      <c r="AP57" s="510"/>
      <c r="AQ57" s="556">
        <v>1</v>
      </c>
      <c r="AR57" s="510"/>
      <c r="AS57" s="556">
        <v>1</v>
      </c>
      <c r="AT57" s="510"/>
      <c r="AU57" s="556">
        <v>1</v>
      </c>
      <c r="AV57" s="510"/>
      <c r="AW57" s="556">
        <v>1</v>
      </c>
      <c r="AX57" s="510"/>
      <c r="AY57" s="556">
        <v>1</v>
      </c>
      <c r="AZ57" s="510"/>
      <c r="BA57" s="130"/>
      <c r="BB57" s="130"/>
      <c r="BC57" s="130"/>
      <c r="BD57" s="130"/>
      <c r="BE57" s="130"/>
      <c r="BF57" s="130"/>
      <c r="BG57" s="130"/>
      <c r="BH57" s="130"/>
      <c r="BI57" s="130"/>
      <c r="BJ57" s="130"/>
      <c r="BK57" s="130"/>
      <c r="BL57" s="130"/>
      <c r="BM57" s="130"/>
      <c r="BN57" s="130"/>
      <c r="BO57" s="130"/>
      <c r="BP57" s="130"/>
      <c r="BQ57" s="130"/>
      <c r="BR57" s="130"/>
      <c r="BS57" s="130"/>
      <c r="BT57" s="130"/>
    </row>
    <row r="58" spans="1:72" ht="15.75" customHeight="1">
      <c r="A58" s="524"/>
      <c r="B58" s="86" t="s">
        <v>1136</v>
      </c>
      <c r="C58" s="556">
        <v>0</v>
      </c>
      <c r="D58" s="510"/>
      <c r="E58" s="556">
        <v>0</v>
      </c>
      <c r="F58" s="510"/>
      <c r="G58" s="556">
        <v>0</v>
      </c>
      <c r="H58" s="510"/>
      <c r="I58" s="556">
        <v>0</v>
      </c>
      <c r="J58" s="510"/>
      <c r="K58" s="556">
        <v>0</v>
      </c>
      <c r="L58" s="510"/>
      <c r="M58" s="556">
        <v>0</v>
      </c>
      <c r="N58" s="510"/>
      <c r="O58" s="556">
        <v>0</v>
      </c>
      <c r="P58" s="510"/>
      <c r="Q58" s="556">
        <v>0</v>
      </c>
      <c r="R58" s="510"/>
      <c r="S58" s="556">
        <v>0</v>
      </c>
      <c r="T58" s="510"/>
      <c r="U58" s="556">
        <v>0</v>
      </c>
      <c r="V58" s="510"/>
      <c r="W58" s="556">
        <v>0</v>
      </c>
      <c r="X58" s="510"/>
      <c r="Y58" s="556">
        <v>0</v>
      </c>
      <c r="Z58" s="510"/>
      <c r="AA58" s="556">
        <v>0</v>
      </c>
      <c r="AB58" s="510"/>
      <c r="AC58" s="556">
        <v>0</v>
      </c>
      <c r="AD58" s="510"/>
      <c r="AE58" s="556">
        <v>0</v>
      </c>
      <c r="AF58" s="510"/>
      <c r="AG58" s="556">
        <v>0</v>
      </c>
      <c r="AH58" s="510"/>
      <c r="AI58" s="556">
        <v>0</v>
      </c>
      <c r="AJ58" s="510"/>
      <c r="AK58" s="556">
        <v>0</v>
      </c>
      <c r="AL58" s="510"/>
      <c r="AM58" s="556">
        <v>0</v>
      </c>
      <c r="AN58" s="510"/>
      <c r="AO58" s="556">
        <v>0</v>
      </c>
      <c r="AP58" s="510"/>
      <c r="AQ58" s="556">
        <v>0</v>
      </c>
      <c r="AR58" s="510"/>
      <c r="AS58" s="556">
        <v>0</v>
      </c>
      <c r="AT58" s="510"/>
      <c r="AU58" s="556">
        <v>0</v>
      </c>
      <c r="AV58" s="510"/>
      <c r="AW58" s="556">
        <v>0</v>
      </c>
      <c r="AX58" s="510"/>
      <c r="AY58" s="556">
        <v>0</v>
      </c>
      <c r="AZ58" s="510"/>
      <c r="BA58" s="130"/>
      <c r="BB58" s="130"/>
      <c r="BC58" s="130"/>
      <c r="BD58" s="130"/>
      <c r="BE58" s="130"/>
      <c r="BF58" s="130"/>
      <c r="BG58" s="130"/>
      <c r="BH58" s="130"/>
      <c r="BI58" s="130"/>
      <c r="BJ58" s="130"/>
      <c r="BK58" s="130"/>
      <c r="BL58" s="130"/>
      <c r="BM58" s="130"/>
      <c r="BN58" s="130"/>
      <c r="BO58" s="130"/>
      <c r="BP58" s="130"/>
      <c r="BQ58" s="130"/>
      <c r="BR58" s="130"/>
      <c r="BS58" s="130"/>
      <c r="BT58" s="130"/>
    </row>
    <row r="59" spans="1:72" ht="15.75" customHeight="1">
      <c r="A59" s="524"/>
      <c r="B59" s="86" t="s">
        <v>1137</v>
      </c>
      <c r="C59" s="556">
        <v>0</v>
      </c>
      <c r="D59" s="510"/>
      <c r="E59" s="556">
        <v>0</v>
      </c>
      <c r="F59" s="510"/>
      <c r="G59" s="556">
        <v>0</v>
      </c>
      <c r="H59" s="510"/>
      <c r="I59" s="556">
        <v>0</v>
      </c>
      <c r="J59" s="510"/>
      <c r="K59" s="556">
        <v>0</v>
      </c>
      <c r="L59" s="510"/>
      <c r="M59" s="556">
        <v>0</v>
      </c>
      <c r="N59" s="510"/>
      <c r="O59" s="556">
        <v>0</v>
      </c>
      <c r="P59" s="510"/>
      <c r="Q59" s="556">
        <v>0</v>
      </c>
      <c r="R59" s="510"/>
      <c r="S59" s="556">
        <v>0</v>
      </c>
      <c r="T59" s="510"/>
      <c r="U59" s="556">
        <v>0</v>
      </c>
      <c r="V59" s="510"/>
      <c r="W59" s="556">
        <v>0</v>
      </c>
      <c r="X59" s="510"/>
      <c r="Y59" s="556">
        <v>0</v>
      </c>
      <c r="Z59" s="510"/>
      <c r="AA59" s="556">
        <v>0</v>
      </c>
      <c r="AB59" s="510"/>
      <c r="AC59" s="556">
        <v>0</v>
      </c>
      <c r="AD59" s="510"/>
      <c r="AE59" s="556">
        <v>0</v>
      </c>
      <c r="AF59" s="510"/>
      <c r="AG59" s="556">
        <v>0</v>
      </c>
      <c r="AH59" s="510"/>
      <c r="AI59" s="556">
        <v>0</v>
      </c>
      <c r="AJ59" s="510"/>
      <c r="AK59" s="556">
        <v>0</v>
      </c>
      <c r="AL59" s="510"/>
      <c r="AM59" s="556">
        <v>0</v>
      </c>
      <c r="AN59" s="510"/>
      <c r="AO59" s="556">
        <v>0</v>
      </c>
      <c r="AP59" s="510"/>
      <c r="AQ59" s="556">
        <v>0</v>
      </c>
      <c r="AR59" s="510"/>
      <c r="AS59" s="556">
        <v>0</v>
      </c>
      <c r="AT59" s="510"/>
      <c r="AU59" s="556">
        <v>0</v>
      </c>
      <c r="AV59" s="510"/>
      <c r="AW59" s="556">
        <v>0</v>
      </c>
      <c r="AX59" s="510"/>
      <c r="AY59" s="556">
        <v>0</v>
      </c>
      <c r="AZ59" s="510"/>
      <c r="BA59" s="130"/>
      <c r="BB59" s="130"/>
      <c r="BC59" s="130"/>
      <c r="BD59" s="130"/>
      <c r="BE59" s="130"/>
      <c r="BF59" s="130"/>
      <c r="BG59" s="130"/>
      <c r="BH59" s="130"/>
      <c r="BI59" s="130"/>
      <c r="BJ59" s="130"/>
      <c r="BK59" s="130"/>
      <c r="BL59" s="130"/>
      <c r="BM59" s="130"/>
      <c r="BN59" s="130"/>
      <c r="BO59" s="130"/>
      <c r="BP59" s="130"/>
      <c r="BQ59" s="130"/>
      <c r="BR59" s="130"/>
      <c r="BS59" s="130"/>
      <c r="BT59" s="130"/>
    </row>
    <row r="60" spans="1:72" ht="15.75" customHeight="1">
      <c r="A60" s="524"/>
      <c r="B60" s="86" t="s">
        <v>1138</v>
      </c>
      <c r="C60" s="556">
        <v>0</v>
      </c>
      <c r="D60" s="510"/>
      <c r="E60" s="556">
        <v>0</v>
      </c>
      <c r="F60" s="510"/>
      <c r="G60" s="556">
        <v>0</v>
      </c>
      <c r="H60" s="510"/>
      <c r="I60" s="556">
        <v>0</v>
      </c>
      <c r="J60" s="510"/>
      <c r="K60" s="556">
        <v>0</v>
      </c>
      <c r="L60" s="510"/>
      <c r="M60" s="556">
        <v>0</v>
      </c>
      <c r="N60" s="510"/>
      <c r="O60" s="556">
        <v>0</v>
      </c>
      <c r="P60" s="510"/>
      <c r="Q60" s="556">
        <v>0</v>
      </c>
      <c r="R60" s="510"/>
      <c r="S60" s="556">
        <v>0</v>
      </c>
      <c r="T60" s="510"/>
      <c r="U60" s="556">
        <v>0</v>
      </c>
      <c r="V60" s="510"/>
      <c r="W60" s="556">
        <v>0</v>
      </c>
      <c r="X60" s="510"/>
      <c r="Y60" s="556">
        <v>0</v>
      </c>
      <c r="Z60" s="510"/>
      <c r="AA60" s="556">
        <v>0</v>
      </c>
      <c r="AB60" s="510"/>
      <c r="AC60" s="556">
        <v>0</v>
      </c>
      <c r="AD60" s="510"/>
      <c r="AE60" s="556">
        <v>0</v>
      </c>
      <c r="AF60" s="510"/>
      <c r="AG60" s="556">
        <v>0</v>
      </c>
      <c r="AH60" s="510"/>
      <c r="AI60" s="556">
        <v>0</v>
      </c>
      <c r="AJ60" s="510"/>
      <c r="AK60" s="556">
        <v>0</v>
      </c>
      <c r="AL60" s="510"/>
      <c r="AM60" s="556">
        <v>0</v>
      </c>
      <c r="AN60" s="510"/>
      <c r="AO60" s="556">
        <v>0</v>
      </c>
      <c r="AP60" s="510"/>
      <c r="AQ60" s="556">
        <v>0</v>
      </c>
      <c r="AR60" s="510"/>
      <c r="AS60" s="556">
        <v>0</v>
      </c>
      <c r="AT60" s="510"/>
      <c r="AU60" s="556">
        <v>0</v>
      </c>
      <c r="AV60" s="510"/>
      <c r="AW60" s="556">
        <v>0</v>
      </c>
      <c r="AX60" s="510"/>
      <c r="AY60" s="556">
        <v>0</v>
      </c>
      <c r="AZ60" s="510"/>
      <c r="BA60" s="130"/>
      <c r="BB60" s="130"/>
      <c r="BC60" s="130"/>
      <c r="BD60" s="130"/>
      <c r="BE60" s="130"/>
      <c r="BF60" s="130"/>
      <c r="BG60" s="130"/>
      <c r="BH60" s="130"/>
      <c r="BI60" s="130"/>
      <c r="BJ60" s="130"/>
      <c r="BK60" s="130"/>
      <c r="BL60" s="130"/>
      <c r="BM60" s="130"/>
      <c r="BN60" s="130"/>
      <c r="BO60" s="130"/>
      <c r="BP60" s="130"/>
      <c r="BQ60" s="130"/>
      <c r="BR60" s="130"/>
      <c r="BS60" s="130"/>
      <c r="BT60" s="130"/>
    </row>
    <row r="61" spans="1:72" ht="15.75" customHeight="1">
      <c r="A61" s="524"/>
      <c r="B61" s="86" t="s">
        <v>1139</v>
      </c>
      <c r="C61" s="556">
        <v>0</v>
      </c>
      <c r="D61" s="510"/>
      <c r="E61" s="556">
        <v>0</v>
      </c>
      <c r="F61" s="510"/>
      <c r="G61" s="556">
        <v>0</v>
      </c>
      <c r="H61" s="510"/>
      <c r="I61" s="556">
        <v>0</v>
      </c>
      <c r="J61" s="510"/>
      <c r="K61" s="556">
        <v>0</v>
      </c>
      <c r="L61" s="510"/>
      <c r="M61" s="556">
        <v>0</v>
      </c>
      <c r="N61" s="510"/>
      <c r="O61" s="556">
        <v>0</v>
      </c>
      <c r="P61" s="510"/>
      <c r="Q61" s="556">
        <v>0</v>
      </c>
      <c r="R61" s="510"/>
      <c r="S61" s="556">
        <v>0</v>
      </c>
      <c r="T61" s="510"/>
      <c r="U61" s="556">
        <v>0</v>
      </c>
      <c r="V61" s="510"/>
      <c r="W61" s="556">
        <v>0</v>
      </c>
      <c r="X61" s="510"/>
      <c r="Y61" s="556">
        <v>0</v>
      </c>
      <c r="Z61" s="510"/>
      <c r="AA61" s="556">
        <v>0</v>
      </c>
      <c r="AB61" s="510"/>
      <c r="AC61" s="556">
        <v>0</v>
      </c>
      <c r="AD61" s="510"/>
      <c r="AE61" s="556">
        <v>0</v>
      </c>
      <c r="AF61" s="510"/>
      <c r="AG61" s="556">
        <v>0</v>
      </c>
      <c r="AH61" s="510"/>
      <c r="AI61" s="556">
        <v>0</v>
      </c>
      <c r="AJ61" s="510"/>
      <c r="AK61" s="556">
        <v>0</v>
      </c>
      <c r="AL61" s="510"/>
      <c r="AM61" s="556">
        <v>0</v>
      </c>
      <c r="AN61" s="510"/>
      <c r="AO61" s="556">
        <v>0</v>
      </c>
      <c r="AP61" s="510"/>
      <c r="AQ61" s="556">
        <v>0</v>
      </c>
      <c r="AR61" s="510"/>
      <c r="AS61" s="556">
        <v>0</v>
      </c>
      <c r="AT61" s="510"/>
      <c r="AU61" s="556">
        <v>0</v>
      </c>
      <c r="AV61" s="510"/>
      <c r="AW61" s="556">
        <v>0</v>
      </c>
      <c r="AX61" s="510"/>
      <c r="AY61" s="556">
        <v>0</v>
      </c>
      <c r="AZ61" s="510"/>
      <c r="BA61" s="130"/>
      <c r="BB61" s="130"/>
      <c r="BC61" s="130"/>
      <c r="BD61" s="130"/>
      <c r="BE61" s="130"/>
      <c r="BF61" s="130"/>
      <c r="BG61" s="130"/>
      <c r="BH61" s="130"/>
      <c r="BI61" s="130"/>
      <c r="BJ61" s="130"/>
      <c r="BK61" s="130"/>
      <c r="BL61" s="130"/>
      <c r="BM61" s="130"/>
      <c r="BN61" s="130"/>
      <c r="BO61" s="130"/>
      <c r="BP61" s="130"/>
      <c r="BQ61" s="130"/>
      <c r="BR61" s="130"/>
      <c r="BS61" s="130"/>
      <c r="BT61" s="130"/>
    </row>
    <row r="62" spans="1:72" ht="15.75" customHeight="1">
      <c r="A62" s="524"/>
      <c r="B62" s="86" t="s">
        <v>1140</v>
      </c>
      <c r="C62" s="556">
        <v>0</v>
      </c>
      <c r="D62" s="510"/>
      <c r="E62" s="556">
        <v>0</v>
      </c>
      <c r="F62" s="510"/>
      <c r="G62" s="556">
        <v>0</v>
      </c>
      <c r="H62" s="510"/>
      <c r="I62" s="556">
        <v>0</v>
      </c>
      <c r="J62" s="510"/>
      <c r="K62" s="556">
        <v>0</v>
      </c>
      <c r="L62" s="510"/>
      <c r="M62" s="556">
        <v>0</v>
      </c>
      <c r="N62" s="510"/>
      <c r="O62" s="556">
        <v>0</v>
      </c>
      <c r="P62" s="510"/>
      <c r="Q62" s="556">
        <v>0</v>
      </c>
      <c r="R62" s="510"/>
      <c r="S62" s="556">
        <v>0</v>
      </c>
      <c r="T62" s="510"/>
      <c r="U62" s="556">
        <v>0</v>
      </c>
      <c r="V62" s="510"/>
      <c r="W62" s="556">
        <v>0</v>
      </c>
      <c r="X62" s="510"/>
      <c r="Y62" s="556">
        <v>0</v>
      </c>
      <c r="Z62" s="510"/>
      <c r="AA62" s="556">
        <v>0</v>
      </c>
      <c r="AB62" s="510"/>
      <c r="AC62" s="556">
        <v>0</v>
      </c>
      <c r="AD62" s="510"/>
      <c r="AE62" s="556">
        <v>0</v>
      </c>
      <c r="AF62" s="510"/>
      <c r="AG62" s="556">
        <v>0</v>
      </c>
      <c r="AH62" s="510"/>
      <c r="AI62" s="556">
        <v>0</v>
      </c>
      <c r="AJ62" s="510"/>
      <c r="AK62" s="556">
        <v>0</v>
      </c>
      <c r="AL62" s="510"/>
      <c r="AM62" s="556">
        <v>0</v>
      </c>
      <c r="AN62" s="510"/>
      <c r="AO62" s="556">
        <v>0</v>
      </c>
      <c r="AP62" s="510"/>
      <c r="AQ62" s="556">
        <v>0</v>
      </c>
      <c r="AR62" s="510"/>
      <c r="AS62" s="556">
        <v>0</v>
      </c>
      <c r="AT62" s="510"/>
      <c r="AU62" s="556">
        <v>0</v>
      </c>
      <c r="AV62" s="510"/>
      <c r="AW62" s="556">
        <v>0</v>
      </c>
      <c r="AX62" s="510"/>
      <c r="AY62" s="556">
        <v>0</v>
      </c>
      <c r="AZ62" s="510"/>
      <c r="BA62" s="130"/>
      <c r="BB62" s="130"/>
      <c r="BC62" s="130"/>
      <c r="BD62" s="130"/>
      <c r="BE62" s="130"/>
      <c r="BF62" s="130"/>
      <c r="BG62" s="130"/>
      <c r="BH62" s="130"/>
      <c r="BI62" s="130"/>
      <c r="BJ62" s="130"/>
      <c r="BK62" s="130"/>
      <c r="BL62" s="130"/>
      <c r="BM62" s="130"/>
      <c r="BN62" s="130"/>
      <c r="BO62" s="130"/>
      <c r="BP62" s="130"/>
      <c r="BQ62" s="130"/>
      <c r="BR62" s="130"/>
      <c r="BS62" s="130"/>
      <c r="BT62" s="130"/>
    </row>
    <row r="63" spans="1:72" ht="15.75" customHeight="1">
      <c r="A63" s="524"/>
      <c r="B63" s="86" t="s">
        <v>1141</v>
      </c>
      <c r="C63" s="556">
        <v>0</v>
      </c>
      <c r="D63" s="510"/>
      <c r="E63" s="556">
        <v>0</v>
      </c>
      <c r="F63" s="510"/>
      <c r="G63" s="556">
        <v>0</v>
      </c>
      <c r="H63" s="510"/>
      <c r="I63" s="556">
        <v>0</v>
      </c>
      <c r="J63" s="510"/>
      <c r="K63" s="556">
        <v>0</v>
      </c>
      <c r="L63" s="510"/>
      <c r="M63" s="556">
        <v>0</v>
      </c>
      <c r="N63" s="510"/>
      <c r="O63" s="556">
        <v>0</v>
      </c>
      <c r="P63" s="510"/>
      <c r="Q63" s="556">
        <v>0</v>
      </c>
      <c r="R63" s="510"/>
      <c r="S63" s="556">
        <v>0</v>
      </c>
      <c r="T63" s="510"/>
      <c r="U63" s="556">
        <v>0</v>
      </c>
      <c r="V63" s="510"/>
      <c r="W63" s="556">
        <v>0</v>
      </c>
      <c r="X63" s="510"/>
      <c r="Y63" s="556">
        <v>0</v>
      </c>
      <c r="Z63" s="510"/>
      <c r="AA63" s="556">
        <v>0</v>
      </c>
      <c r="AB63" s="510"/>
      <c r="AC63" s="556">
        <v>0</v>
      </c>
      <c r="AD63" s="510"/>
      <c r="AE63" s="556">
        <v>0</v>
      </c>
      <c r="AF63" s="510"/>
      <c r="AG63" s="556">
        <v>0</v>
      </c>
      <c r="AH63" s="510"/>
      <c r="AI63" s="556">
        <v>0</v>
      </c>
      <c r="AJ63" s="510"/>
      <c r="AK63" s="556">
        <v>0</v>
      </c>
      <c r="AL63" s="510"/>
      <c r="AM63" s="556">
        <v>0</v>
      </c>
      <c r="AN63" s="510"/>
      <c r="AO63" s="556">
        <v>0</v>
      </c>
      <c r="AP63" s="510"/>
      <c r="AQ63" s="556">
        <v>1</v>
      </c>
      <c r="AR63" s="510"/>
      <c r="AS63" s="556">
        <v>0</v>
      </c>
      <c r="AT63" s="510"/>
      <c r="AU63" s="556">
        <v>0</v>
      </c>
      <c r="AV63" s="510"/>
      <c r="AW63" s="556">
        <v>0</v>
      </c>
      <c r="AX63" s="510"/>
      <c r="AY63" s="556">
        <v>0</v>
      </c>
      <c r="AZ63" s="510"/>
      <c r="BA63" s="130"/>
      <c r="BB63" s="130"/>
      <c r="BC63" s="130"/>
      <c r="BD63" s="130"/>
      <c r="BE63" s="130"/>
      <c r="BF63" s="130"/>
      <c r="BG63" s="130"/>
      <c r="BH63" s="130"/>
      <c r="BI63" s="130"/>
      <c r="BJ63" s="130"/>
      <c r="BK63" s="130"/>
      <c r="BL63" s="130"/>
      <c r="BM63" s="130"/>
      <c r="BN63" s="130"/>
      <c r="BO63" s="130"/>
      <c r="BP63" s="130"/>
      <c r="BQ63" s="130"/>
      <c r="BR63" s="130"/>
      <c r="BS63" s="130"/>
      <c r="BT63" s="130"/>
    </row>
    <row r="64" spans="1:72" ht="15.75" customHeight="1">
      <c r="A64" s="524"/>
      <c r="B64" s="86" t="s">
        <v>1142</v>
      </c>
      <c r="C64" s="556">
        <v>0</v>
      </c>
      <c r="D64" s="510"/>
      <c r="E64" s="556">
        <v>0</v>
      </c>
      <c r="F64" s="510"/>
      <c r="G64" s="556">
        <v>0</v>
      </c>
      <c r="H64" s="510"/>
      <c r="I64" s="556">
        <v>0</v>
      </c>
      <c r="J64" s="510"/>
      <c r="K64" s="556">
        <v>0</v>
      </c>
      <c r="L64" s="510"/>
      <c r="M64" s="556">
        <v>0</v>
      </c>
      <c r="N64" s="510"/>
      <c r="O64" s="556">
        <v>0</v>
      </c>
      <c r="P64" s="510"/>
      <c r="Q64" s="556">
        <v>0</v>
      </c>
      <c r="R64" s="510"/>
      <c r="S64" s="556">
        <v>0</v>
      </c>
      <c r="T64" s="510"/>
      <c r="U64" s="556">
        <v>0</v>
      </c>
      <c r="V64" s="510"/>
      <c r="W64" s="556">
        <v>0</v>
      </c>
      <c r="X64" s="510"/>
      <c r="Y64" s="556">
        <v>0</v>
      </c>
      <c r="Z64" s="510"/>
      <c r="AA64" s="556">
        <v>0</v>
      </c>
      <c r="AB64" s="510"/>
      <c r="AC64" s="556">
        <v>0</v>
      </c>
      <c r="AD64" s="510"/>
      <c r="AE64" s="556">
        <v>0</v>
      </c>
      <c r="AF64" s="510"/>
      <c r="AG64" s="556">
        <v>0</v>
      </c>
      <c r="AH64" s="510"/>
      <c r="AI64" s="556">
        <v>0</v>
      </c>
      <c r="AJ64" s="510"/>
      <c r="AK64" s="556">
        <v>0</v>
      </c>
      <c r="AL64" s="510"/>
      <c r="AM64" s="556">
        <v>0</v>
      </c>
      <c r="AN64" s="510"/>
      <c r="AO64" s="556">
        <v>0</v>
      </c>
      <c r="AP64" s="510"/>
      <c r="AQ64" s="556">
        <v>1</v>
      </c>
      <c r="AR64" s="510"/>
      <c r="AS64" s="556">
        <v>0</v>
      </c>
      <c r="AT64" s="510"/>
      <c r="AU64" s="556">
        <v>0</v>
      </c>
      <c r="AV64" s="510"/>
      <c r="AW64" s="556">
        <v>0</v>
      </c>
      <c r="AX64" s="510"/>
      <c r="AY64" s="556">
        <v>0</v>
      </c>
      <c r="AZ64" s="510"/>
      <c r="BA64" s="130"/>
      <c r="BB64" s="130"/>
      <c r="BC64" s="130"/>
      <c r="BD64" s="130"/>
      <c r="BE64" s="130"/>
      <c r="BF64" s="130"/>
      <c r="BG64" s="130"/>
      <c r="BH64" s="130"/>
      <c r="BI64" s="130"/>
      <c r="BJ64" s="130"/>
      <c r="BK64" s="130"/>
      <c r="BL64" s="130"/>
      <c r="BM64" s="130"/>
      <c r="BN64" s="130"/>
      <c r="BO64" s="130"/>
      <c r="BP64" s="130"/>
      <c r="BQ64" s="130"/>
      <c r="BR64" s="130"/>
      <c r="BS64" s="130"/>
      <c r="BT64" s="130"/>
    </row>
    <row r="65" spans="1:72" ht="15.75" customHeight="1">
      <c r="A65" s="524"/>
      <c r="B65" s="86" t="s">
        <v>1143</v>
      </c>
      <c r="C65" s="556">
        <v>1</v>
      </c>
      <c r="D65" s="510"/>
      <c r="E65" s="556">
        <v>1</v>
      </c>
      <c r="F65" s="510"/>
      <c r="G65" s="556">
        <v>1</v>
      </c>
      <c r="H65" s="510"/>
      <c r="I65" s="556">
        <v>1</v>
      </c>
      <c r="J65" s="510"/>
      <c r="K65" s="556">
        <v>1</v>
      </c>
      <c r="L65" s="510"/>
      <c r="M65" s="556">
        <v>1</v>
      </c>
      <c r="N65" s="510"/>
      <c r="O65" s="556">
        <v>1</v>
      </c>
      <c r="P65" s="510"/>
      <c r="Q65" s="556">
        <v>1</v>
      </c>
      <c r="R65" s="510"/>
      <c r="S65" s="556">
        <v>1</v>
      </c>
      <c r="T65" s="510"/>
      <c r="U65" s="556">
        <v>1</v>
      </c>
      <c r="V65" s="510"/>
      <c r="W65" s="556">
        <v>1</v>
      </c>
      <c r="X65" s="510"/>
      <c r="Y65" s="556">
        <v>1</v>
      </c>
      <c r="Z65" s="510"/>
      <c r="AA65" s="556">
        <v>1</v>
      </c>
      <c r="AB65" s="510"/>
      <c r="AC65" s="556">
        <v>1</v>
      </c>
      <c r="AD65" s="510"/>
      <c r="AE65" s="556">
        <v>1</v>
      </c>
      <c r="AF65" s="510"/>
      <c r="AG65" s="556">
        <v>1</v>
      </c>
      <c r="AH65" s="510"/>
      <c r="AI65" s="556">
        <v>1</v>
      </c>
      <c r="AJ65" s="510"/>
      <c r="AK65" s="556">
        <v>1</v>
      </c>
      <c r="AL65" s="510"/>
      <c r="AM65" s="556">
        <v>1</v>
      </c>
      <c r="AN65" s="510"/>
      <c r="AO65" s="556">
        <v>1</v>
      </c>
      <c r="AP65" s="510"/>
      <c r="AQ65" s="556">
        <v>1</v>
      </c>
      <c r="AR65" s="510"/>
      <c r="AS65" s="556">
        <v>1</v>
      </c>
      <c r="AT65" s="510"/>
      <c r="AU65" s="556">
        <v>1</v>
      </c>
      <c r="AV65" s="510"/>
      <c r="AW65" s="556">
        <v>1</v>
      </c>
      <c r="AX65" s="510"/>
      <c r="AY65" s="556">
        <v>1</v>
      </c>
      <c r="AZ65" s="510"/>
      <c r="BA65" s="130"/>
      <c r="BB65" s="130"/>
      <c r="BC65" s="130"/>
      <c r="BD65" s="130"/>
      <c r="BE65" s="130"/>
      <c r="BF65" s="130"/>
      <c r="BG65" s="130"/>
      <c r="BH65" s="130"/>
      <c r="BI65" s="130"/>
      <c r="BJ65" s="130"/>
      <c r="BK65" s="130"/>
      <c r="BL65" s="130"/>
      <c r="BM65" s="130"/>
      <c r="BN65" s="130"/>
      <c r="BO65" s="130"/>
      <c r="BP65" s="130"/>
      <c r="BQ65" s="130"/>
      <c r="BR65" s="130"/>
      <c r="BS65" s="130"/>
      <c r="BT65" s="130"/>
    </row>
    <row r="66" spans="1:72" ht="15.75" customHeight="1">
      <c r="A66" s="524"/>
      <c r="B66" s="86" t="s">
        <v>1144</v>
      </c>
      <c r="C66" s="556">
        <v>1</v>
      </c>
      <c r="D66" s="510"/>
      <c r="E66" s="556">
        <v>1</v>
      </c>
      <c r="F66" s="510"/>
      <c r="G66" s="556">
        <v>1</v>
      </c>
      <c r="H66" s="510"/>
      <c r="I66" s="556">
        <v>1</v>
      </c>
      <c r="J66" s="510"/>
      <c r="K66" s="556">
        <v>1</v>
      </c>
      <c r="L66" s="510"/>
      <c r="M66" s="556">
        <v>1</v>
      </c>
      <c r="N66" s="510"/>
      <c r="O66" s="556">
        <v>1</v>
      </c>
      <c r="P66" s="510"/>
      <c r="Q66" s="556">
        <v>1</v>
      </c>
      <c r="R66" s="510"/>
      <c r="S66" s="556">
        <v>1</v>
      </c>
      <c r="T66" s="510"/>
      <c r="U66" s="556">
        <v>1</v>
      </c>
      <c r="V66" s="510"/>
      <c r="W66" s="556">
        <v>1</v>
      </c>
      <c r="X66" s="510"/>
      <c r="Y66" s="556">
        <v>1</v>
      </c>
      <c r="Z66" s="510"/>
      <c r="AA66" s="556">
        <v>1</v>
      </c>
      <c r="AB66" s="510"/>
      <c r="AC66" s="556">
        <v>1</v>
      </c>
      <c r="AD66" s="510"/>
      <c r="AE66" s="556">
        <v>1</v>
      </c>
      <c r="AF66" s="510"/>
      <c r="AG66" s="556">
        <v>1</v>
      </c>
      <c r="AH66" s="510"/>
      <c r="AI66" s="556">
        <v>1</v>
      </c>
      <c r="AJ66" s="510"/>
      <c r="AK66" s="556">
        <v>1</v>
      </c>
      <c r="AL66" s="510"/>
      <c r="AM66" s="556">
        <v>1</v>
      </c>
      <c r="AN66" s="510"/>
      <c r="AO66" s="556">
        <v>1</v>
      </c>
      <c r="AP66" s="510"/>
      <c r="AQ66" s="556">
        <v>1</v>
      </c>
      <c r="AR66" s="510"/>
      <c r="AS66" s="556">
        <v>1</v>
      </c>
      <c r="AT66" s="510"/>
      <c r="AU66" s="556">
        <v>1</v>
      </c>
      <c r="AV66" s="510"/>
      <c r="AW66" s="556">
        <v>1</v>
      </c>
      <c r="AX66" s="510"/>
      <c r="AY66" s="556">
        <v>1</v>
      </c>
      <c r="AZ66" s="510"/>
      <c r="BA66" s="130"/>
      <c r="BB66" s="130"/>
      <c r="BC66" s="130"/>
      <c r="BD66" s="130"/>
      <c r="BE66" s="130"/>
      <c r="BF66" s="130"/>
      <c r="BG66" s="130"/>
      <c r="BH66" s="130"/>
      <c r="BI66" s="130"/>
      <c r="BJ66" s="130"/>
      <c r="BK66" s="130"/>
      <c r="BL66" s="130"/>
      <c r="BM66" s="130"/>
      <c r="BN66" s="130"/>
      <c r="BO66" s="130"/>
      <c r="BP66" s="130"/>
      <c r="BQ66" s="130"/>
      <c r="BR66" s="130"/>
      <c r="BS66" s="130"/>
      <c r="BT66" s="130"/>
    </row>
    <row r="67" spans="1:72" ht="15.75" customHeight="1">
      <c r="A67" s="524"/>
      <c r="B67" s="86" t="s">
        <v>1145</v>
      </c>
      <c r="C67" s="556">
        <v>1</v>
      </c>
      <c r="D67" s="510"/>
      <c r="E67" s="556">
        <v>1</v>
      </c>
      <c r="F67" s="510"/>
      <c r="G67" s="556">
        <v>1</v>
      </c>
      <c r="H67" s="510"/>
      <c r="I67" s="556">
        <v>1</v>
      </c>
      <c r="J67" s="510"/>
      <c r="K67" s="556">
        <v>1</v>
      </c>
      <c r="L67" s="510"/>
      <c r="M67" s="556">
        <v>1</v>
      </c>
      <c r="N67" s="510"/>
      <c r="O67" s="556">
        <v>1</v>
      </c>
      <c r="P67" s="510"/>
      <c r="Q67" s="556">
        <v>1</v>
      </c>
      <c r="R67" s="510"/>
      <c r="S67" s="556">
        <v>1</v>
      </c>
      <c r="T67" s="510"/>
      <c r="U67" s="556">
        <v>1</v>
      </c>
      <c r="V67" s="510"/>
      <c r="W67" s="556">
        <v>1</v>
      </c>
      <c r="X67" s="510"/>
      <c r="Y67" s="556">
        <v>1</v>
      </c>
      <c r="Z67" s="510"/>
      <c r="AA67" s="556">
        <v>1</v>
      </c>
      <c r="AB67" s="510"/>
      <c r="AC67" s="556">
        <v>1</v>
      </c>
      <c r="AD67" s="510"/>
      <c r="AE67" s="556">
        <v>1</v>
      </c>
      <c r="AF67" s="510"/>
      <c r="AG67" s="556">
        <v>1</v>
      </c>
      <c r="AH67" s="510"/>
      <c r="AI67" s="556">
        <v>1</v>
      </c>
      <c r="AJ67" s="510"/>
      <c r="AK67" s="556">
        <v>1</v>
      </c>
      <c r="AL67" s="510"/>
      <c r="AM67" s="556">
        <v>1</v>
      </c>
      <c r="AN67" s="510"/>
      <c r="AO67" s="556">
        <v>1</v>
      </c>
      <c r="AP67" s="510"/>
      <c r="AQ67" s="556">
        <v>1</v>
      </c>
      <c r="AR67" s="510"/>
      <c r="AS67" s="556">
        <v>1</v>
      </c>
      <c r="AT67" s="510"/>
      <c r="AU67" s="556">
        <v>1</v>
      </c>
      <c r="AV67" s="510"/>
      <c r="AW67" s="556">
        <v>1</v>
      </c>
      <c r="AX67" s="510"/>
      <c r="AY67" s="556">
        <v>1</v>
      </c>
      <c r="AZ67" s="510"/>
      <c r="BA67" s="130"/>
      <c r="BB67" s="130"/>
      <c r="BC67" s="130"/>
      <c r="BD67" s="130"/>
      <c r="BE67" s="130"/>
      <c r="BF67" s="130"/>
      <c r="BG67" s="130"/>
      <c r="BH67" s="130"/>
      <c r="BI67" s="130"/>
      <c r="BJ67" s="130"/>
      <c r="BK67" s="130"/>
      <c r="BL67" s="130"/>
      <c r="BM67" s="130"/>
      <c r="BN67" s="130"/>
      <c r="BO67" s="130"/>
      <c r="BP67" s="130"/>
      <c r="BQ67" s="130"/>
      <c r="BR67" s="130"/>
      <c r="BS67" s="130"/>
      <c r="BT67" s="130"/>
    </row>
    <row r="68" spans="1:72" ht="15" customHeight="1">
      <c r="A68" s="525"/>
      <c r="B68" s="135" t="s">
        <v>307</v>
      </c>
      <c r="C68" s="553"/>
      <c r="D68" s="510"/>
      <c r="E68" s="553"/>
      <c r="F68" s="510"/>
      <c r="G68" s="553"/>
      <c r="H68" s="510"/>
      <c r="I68" s="553"/>
      <c r="J68" s="510"/>
      <c r="K68" s="553"/>
      <c r="L68" s="510"/>
      <c r="M68" s="553"/>
      <c r="N68" s="510"/>
      <c r="O68" s="553"/>
      <c r="P68" s="510"/>
      <c r="Q68" s="553"/>
      <c r="R68" s="510"/>
      <c r="S68" s="553"/>
      <c r="T68" s="510"/>
      <c r="U68" s="553"/>
      <c r="V68" s="510"/>
      <c r="W68" s="553"/>
      <c r="X68" s="510"/>
      <c r="Y68" s="553"/>
      <c r="Z68" s="510"/>
      <c r="AA68" s="553"/>
      <c r="AB68" s="510"/>
      <c r="AC68" s="553"/>
      <c r="AD68" s="510"/>
      <c r="AE68" s="553"/>
      <c r="AF68" s="510"/>
      <c r="AG68" s="553"/>
      <c r="AH68" s="510"/>
      <c r="AI68" s="553"/>
      <c r="AJ68" s="510"/>
      <c r="AK68" s="553"/>
      <c r="AL68" s="510"/>
      <c r="AM68" s="553"/>
      <c r="AN68" s="510"/>
      <c r="AO68" s="553"/>
      <c r="AP68" s="510"/>
      <c r="AQ68" s="553"/>
      <c r="AR68" s="510"/>
      <c r="AS68" s="553"/>
      <c r="AT68" s="510"/>
      <c r="AU68" s="553"/>
      <c r="AV68" s="510"/>
      <c r="AW68" s="553"/>
      <c r="AX68" s="510"/>
      <c r="AY68" s="553"/>
      <c r="AZ68" s="510"/>
      <c r="BA68" s="130"/>
      <c r="BB68" s="130"/>
      <c r="BC68" s="130"/>
      <c r="BD68" s="130"/>
      <c r="BE68" s="130"/>
      <c r="BF68" s="130"/>
      <c r="BG68" s="130"/>
      <c r="BH68" s="130"/>
      <c r="BI68" s="130"/>
      <c r="BJ68" s="130"/>
      <c r="BK68" s="130"/>
      <c r="BL68" s="130"/>
      <c r="BM68" s="130"/>
      <c r="BN68" s="130"/>
      <c r="BO68" s="130"/>
      <c r="BP68" s="130"/>
      <c r="BQ68" s="130"/>
      <c r="BR68" s="130"/>
      <c r="BS68" s="130"/>
      <c r="BT68" s="130"/>
    </row>
    <row r="69" spans="1:72" ht="15.75" customHeight="1">
      <c r="A69" s="560" t="s">
        <v>429</v>
      </c>
      <c r="B69" s="86" t="s">
        <v>1146</v>
      </c>
      <c r="C69" s="556">
        <v>1</v>
      </c>
      <c r="D69" s="510"/>
      <c r="E69" s="556">
        <v>1</v>
      </c>
      <c r="F69" s="510"/>
      <c r="G69" s="556">
        <v>1</v>
      </c>
      <c r="H69" s="510"/>
      <c r="I69" s="556">
        <v>1</v>
      </c>
      <c r="J69" s="510"/>
      <c r="K69" s="556">
        <v>1</v>
      </c>
      <c r="L69" s="510"/>
      <c r="M69" s="556">
        <v>1</v>
      </c>
      <c r="N69" s="510"/>
      <c r="O69" s="556">
        <v>1</v>
      </c>
      <c r="P69" s="510"/>
      <c r="Q69" s="556">
        <v>1</v>
      </c>
      <c r="R69" s="510"/>
      <c r="S69" s="556">
        <v>1</v>
      </c>
      <c r="T69" s="510"/>
      <c r="U69" s="556">
        <v>1</v>
      </c>
      <c r="V69" s="510"/>
      <c r="W69" s="556">
        <v>1</v>
      </c>
      <c r="X69" s="510"/>
      <c r="Y69" s="556">
        <v>1</v>
      </c>
      <c r="Z69" s="510"/>
      <c r="AA69" s="556">
        <v>1</v>
      </c>
      <c r="AB69" s="510"/>
      <c r="AC69" s="556">
        <v>1</v>
      </c>
      <c r="AD69" s="510"/>
      <c r="AE69" s="556">
        <v>1</v>
      </c>
      <c r="AF69" s="510"/>
      <c r="AG69" s="556">
        <v>1</v>
      </c>
      <c r="AH69" s="510"/>
      <c r="AI69" s="556">
        <v>1</v>
      </c>
      <c r="AJ69" s="510"/>
      <c r="AK69" s="556">
        <v>1</v>
      </c>
      <c r="AL69" s="510"/>
      <c r="AM69" s="556">
        <v>1</v>
      </c>
      <c r="AN69" s="510"/>
      <c r="AO69" s="556">
        <v>1</v>
      </c>
      <c r="AP69" s="510"/>
      <c r="AQ69" s="556">
        <v>1</v>
      </c>
      <c r="AR69" s="510"/>
      <c r="AS69" s="556">
        <v>1</v>
      </c>
      <c r="AT69" s="510"/>
      <c r="AU69" s="556">
        <v>1</v>
      </c>
      <c r="AV69" s="510"/>
      <c r="AW69" s="556">
        <v>1</v>
      </c>
      <c r="AX69" s="510"/>
      <c r="AY69" s="556">
        <v>1</v>
      </c>
      <c r="AZ69" s="510"/>
      <c r="BA69" s="130"/>
      <c r="BB69" s="130"/>
      <c r="BC69" s="130"/>
      <c r="BD69" s="130"/>
      <c r="BE69" s="130"/>
      <c r="BF69" s="130"/>
      <c r="BG69" s="130"/>
      <c r="BH69" s="130"/>
      <c r="BI69" s="130"/>
      <c r="BJ69" s="130"/>
      <c r="BK69" s="130"/>
      <c r="BL69" s="130"/>
      <c r="BM69" s="130"/>
      <c r="BN69" s="130"/>
      <c r="BO69" s="130"/>
      <c r="BP69" s="130"/>
      <c r="BQ69" s="130"/>
      <c r="BR69" s="130"/>
      <c r="BS69" s="130"/>
      <c r="BT69" s="130"/>
    </row>
    <row r="70" spans="1:72" ht="15.75" customHeight="1">
      <c r="A70" s="525"/>
      <c r="B70" s="135" t="s">
        <v>307</v>
      </c>
      <c r="C70" s="553"/>
      <c r="D70" s="510"/>
      <c r="E70" s="553"/>
      <c r="F70" s="510"/>
      <c r="G70" s="553"/>
      <c r="H70" s="510"/>
      <c r="I70" s="553"/>
      <c r="J70" s="510"/>
      <c r="K70" s="553"/>
      <c r="L70" s="510"/>
      <c r="M70" s="553"/>
      <c r="N70" s="510"/>
      <c r="O70" s="553"/>
      <c r="P70" s="510"/>
      <c r="Q70" s="553"/>
      <c r="R70" s="510"/>
      <c r="S70" s="553"/>
      <c r="T70" s="510"/>
      <c r="U70" s="553"/>
      <c r="V70" s="510"/>
      <c r="W70" s="553"/>
      <c r="X70" s="510"/>
      <c r="Y70" s="553"/>
      <c r="Z70" s="510"/>
      <c r="AA70" s="553"/>
      <c r="AB70" s="510"/>
      <c r="AC70" s="553"/>
      <c r="AD70" s="510"/>
      <c r="AE70" s="553"/>
      <c r="AF70" s="510"/>
      <c r="AG70" s="553"/>
      <c r="AH70" s="510"/>
      <c r="AI70" s="553"/>
      <c r="AJ70" s="510"/>
      <c r="AK70" s="553"/>
      <c r="AL70" s="510"/>
      <c r="AM70" s="553"/>
      <c r="AN70" s="510"/>
      <c r="AO70" s="553"/>
      <c r="AP70" s="510"/>
      <c r="AQ70" s="553"/>
      <c r="AR70" s="510"/>
      <c r="AS70" s="553"/>
      <c r="AT70" s="510"/>
      <c r="AU70" s="553"/>
      <c r="AV70" s="510"/>
      <c r="AW70" s="553"/>
      <c r="AX70" s="510"/>
      <c r="AY70" s="553"/>
      <c r="AZ70" s="510"/>
      <c r="BA70" s="130"/>
      <c r="BB70" s="130"/>
      <c r="BC70" s="130"/>
      <c r="BD70" s="130"/>
      <c r="BE70" s="130"/>
      <c r="BF70" s="130"/>
      <c r="BG70" s="130"/>
      <c r="BH70" s="130"/>
      <c r="BI70" s="130"/>
      <c r="BJ70" s="130"/>
      <c r="BK70" s="130"/>
      <c r="BL70" s="130"/>
      <c r="BM70" s="130"/>
      <c r="BN70" s="130"/>
      <c r="BO70" s="130"/>
      <c r="BP70" s="130"/>
      <c r="BQ70" s="130"/>
      <c r="BR70" s="130"/>
      <c r="BS70" s="130"/>
      <c r="BT70" s="130"/>
    </row>
    <row r="71" spans="1:72" ht="15" customHeight="1">
      <c r="A71" s="612" t="s">
        <v>1147</v>
      </c>
      <c r="B71" s="708" t="s">
        <v>1148</v>
      </c>
      <c r="C71" s="613">
        <v>1</v>
      </c>
      <c r="D71" s="510"/>
      <c r="E71" s="613">
        <v>2</v>
      </c>
      <c r="F71" s="510"/>
      <c r="G71" s="613">
        <v>3</v>
      </c>
      <c r="H71" s="510"/>
      <c r="I71" s="613">
        <v>4</v>
      </c>
      <c r="J71" s="510"/>
      <c r="K71" s="613">
        <v>5</v>
      </c>
      <c r="L71" s="510"/>
      <c r="M71" s="613">
        <v>6</v>
      </c>
      <c r="N71" s="510"/>
      <c r="O71" s="613">
        <v>7</v>
      </c>
      <c r="P71" s="510"/>
      <c r="Q71" s="613">
        <v>8</v>
      </c>
      <c r="R71" s="510"/>
      <c r="S71" s="613">
        <v>9</v>
      </c>
      <c r="T71" s="510"/>
      <c r="U71" s="613">
        <v>10</v>
      </c>
      <c r="V71" s="510"/>
      <c r="W71" s="613">
        <v>11</v>
      </c>
      <c r="X71" s="510"/>
      <c r="Y71" s="613">
        <v>12</v>
      </c>
      <c r="Z71" s="510"/>
      <c r="AA71" s="613">
        <v>13</v>
      </c>
      <c r="AB71" s="510"/>
      <c r="AC71" s="613">
        <v>14</v>
      </c>
      <c r="AD71" s="510"/>
      <c r="AE71" s="613">
        <v>15</v>
      </c>
      <c r="AF71" s="510"/>
      <c r="AG71" s="613">
        <v>16</v>
      </c>
      <c r="AH71" s="510"/>
      <c r="AI71" s="613">
        <v>17</v>
      </c>
      <c r="AJ71" s="510"/>
      <c r="AK71" s="613">
        <v>18</v>
      </c>
      <c r="AL71" s="510"/>
      <c r="AM71" s="613">
        <v>19</v>
      </c>
      <c r="AN71" s="510"/>
      <c r="AO71" s="613">
        <v>20</v>
      </c>
      <c r="AP71" s="510"/>
      <c r="AQ71" s="613">
        <v>21</v>
      </c>
      <c r="AR71" s="510"/>
      <c r="AS71" s="613">
        <v>22</v>
      </c>
      <c r="AT71" s="510"/>
      <c r="AU71" s="613">
        <v>23</v>
      </c>
      <c r="AV71" s="510"/>
      <c r="AW71" s="613">
        <v>24</v>
      </c>
      <c r="AX71" s="510"/>
      <c r="AY71" s="613">
        <v>25</v>
      </c>
      <c r="AZ71" s="510"/>
      <c r="BA71" s="130"/>
      <c r="BB71" s="130"/>
      <c r="BC71" s="130"/>
      <c r="BD71" s="130"/>
      <c r="BE71" s="130"/>
      <c r="BF71" s="130"/>
      <c r="BG71" s="130"/>
      <c r="BH71" s="130"/>
      <c r="BI71" s="130"/>
      <c r="BJ71" s="130"/>
      <c r="BK71" s="130"/>
      <c r="BL71" s="130"/>
      <c r="BM71" s="130"/>
      <c r="BN71" s="130"/>
      <c r="BO71" s="130"/>
      <c r="BP71" s="130"/>
      <c r="BQ71" s="130"/>
      <c r="BR71" s="130"/>
      <c r="BS71" s="130"/>
      <c r="BT71" s="130"/>
    </row>
    <row r="72" spans="1:72" ht="15.75" customHeight="1">
      <c r="A72" s="525"/>
      <c r="B72" s="525"/>
      <c r="C72" s="154" t="s">
        <v>300</v>
      </c>
      <c r="D72" s="154" t="s">
        <v>301</v>
      </c>
      <c r="E72" s="154" t="s">
        <v>300</v>
      </c>
      <c r="F72" s="154" t="s">
        <v>301</v>
      </c>
      <c r="G72" s="154" t="s">
        <v>300</v>
      </c>
      <c r="H72" s="154" t="s">
        <v>301</v>
      </c>
      <c r="I72" s="154" t="s">
        <v>300</v>
      </c>
      <c r="J72" s="154" t="s">
        <v>301</v>
      </c>
      <c r="K72" s="154" t="s">
        <v>300</v>
      </c>
      <c r="L72" s="154" t="s">
        <v>301</v>
      </c>
      <c r="M72" s="154" t="s">
        <v>300</v>
      </c>
      <c r="N72" s="154" t="s">
        <v>301</v>
      </c>
      <c r="O72" s="154" t="s">
        <v>300</v>
      </c>
      <c r="P72" s="154" t="s">
        <v>301</v>
      </c>
      <c r="Q72" s="154" t="s">
        <v>300</v>
      </c>
      <c r="R72" s="154" t="s">
        <v>301</v>
      </c>
      <c r="S72" s="154" t="s">
        <v>300</v>
      </c>
      <c r="T72" s="154" t="s">
        <v>301</v>
      </c>
      <c r="U72" s="154" t="s">
        <v>300</v>
      </c>
      <c r="V72" s="154" t="s">
        <v>301</v>
      </c>
      <c r="W72" s="154" t="s">
        <v>300</v>
      </c>
      <c r="X72" s="154" t="s">
        <v>301</v>
      </c>
      <c r="Y72" s="154" t="s">
        <v>300</v>
      </c>
      <c r="Z72" s="154" t="s">
        <v>301</v>
      </c>
      <c r="AA72" s="154" t="s">
        <v>300</v>
      </c>
      <c r="AB72" s="154" t="s">
        <v>301</v>
      </c>
      <c r="AC72" s="154" t="s">
        <v>300</v>
      </c>
      <c r="AD72" s="154" t="s">
        <v>301</v>
      </c>
      <c r="AE72" s="154" t="s">
        <v>300</v>
      </c>
      <c r="AF72" s="154" t="s">
        <v>301</v>
      </c>
      <c r="AG72" s="154" t="s">
        <v>300</v>
      </c>
      <c r="AH72" s="154" t="s">
        <v>301</v>
      </c>
      <c r="AI72" s="154" t="s">
        <v>300</v>
      </c>
      <c r="AJ72" s="154" t="s">
        <v>301</v>
      </c>
      <c r="AK72" s="154" t="s">
        <v>300</v>
      </c>
      <c r="AL72" s="154" t="s">
        <v>301</v>
      </c>
      <c r="AM72" s="154" t="s">
        <v>300</v>
      </c>
      <c r="AN72" s="154" t="s">
        <v>301</v>
      </c>
      <c r="AO72" s="154" t="s">
        <v>300</v>
      </c>
      <c r="AP72" s="154" t="s">
        <v>301</v>
      </c>
      <c r="AQ72" s="154" t="s">
        <v>300</v>
      </c>
      <c r="AR72" s="154" t="s">
        <v>301</v>
      </c>
      <c r="AS72" s="154" t="s">
        <v>300</v>
      </c>
      <c r="AT72" s="154" t="s">
        <v>301</v>
      </c>
      <c r="AU72" s="154" t="s">
        <v>300</v>
      </c>
      <c r="AV72" s="154" t="s">
        <v>301</v>
      </c>
      <c r="AW72" s="154" t="s">
        <v>300</v>
      </c>
      <c r="AX72" s="154" t="s">
        <v>301</v>
      </c>
      <c r="AY72" s="154" t="s">
        <v>300</v>
      </c>
      <c r="AZ72" s="154" t="s">
        <v>301</v>
      </c>
      <c r="BA72" s="130"/>
      <c r="BB72" s="130"/>
      <c r="BC72" s="130"/>
      <c r="BD72" s="130"/>
      <c r="BE72" s="130"/>
      <c r="BF72" s="130"/>
      <c r="BG72" s="130"/>
      <c r="BH72" s="130"/>
      <c r="BI72" s="130"/>
      <c r="BJ72" s="130"/>
      <c r="BK72" s="130"/>
      <c r="BL72" s="130"/>
      <c r="BM72" s="130"/>
      <c r="BN72" s="130"/>
      <c r="BO72" s="130"/>
      <c r="BP72" s="130"/>
      <c r="BQ72" s="130"/>
      <c r="BR72" s="130"/>
      <c r="BS72" s="130"/>
      <c r="BT72" s="130"/>
    </row>
    <row r="73" spans="1:72" ht="15.75" customHeight="1">
      <c r="A73" s="560" t="s">
        <v>475</v>
      </c>
      <c r="B73" s="93" t="s">
        <v>1149</v>
      </c>
      <c r="C73" s="556">
        <v>0</v>
      </c>
      <c r="D73" s="510"/>
      <c r="E73" s="556">
        <v>0</v>
      </c>
      <c r="F73" s="510"/>
      <c r="G73" s="556">
        <v>0</v>
      </c>
      <c r="H73" s="510"/>
      <c r="I73" s="556">
        <v>0</v>
      </c>
      <c r="J73" s="510"/>
      <c r="K73" s="556">
        <v>0</v>
      </c>
      <c r="L73" s="510"/>
      <c r="M73" s="556">
        <v>0</v>
      </c>
      <c r="N73" s="510"/>
      <c r="O73" s="556">
        <v>0</v>
      </c>
      <c r="P73" s="510"/>
      <c r="Q73" s="556">
        <v>0</v>
      </c>
      <c r="R73" s="510"/>
      <c r="S73" s="556">
        <v>0</v>
      </c>
      <c r="T73" s="510"/>
      <c r="U73" s="556">
        <v>0</v>
      </c>
      <c r="V73" s="510"/>
      <c r="W73" s="556">
        <v>0</v>
      </c>
      <c r="X73" s="510"/>
      <c r="Y73" s="556">
        <v>0</v>
      </c>
      <c r="Z73" s="510"/>
      <c r="AA73" s="556">
        <v>0</v>
      </c>
      <c r="AB73" s="510"/>
      <c r="AC73" s="556">
        <v>0</v>
      </c>
      <c r="AD73" s="510"/>
      <c r="AE73" s="556">
        <v>0</v>
      </c>
      <c r="AF73" s="510"/>
      <c r="AG73" s="556">
        <v>0</v>
      </c>
      <c r="AH73" s="510"/>
      <c r="AI73" s="556">
        <v>0</v>
      </c>
      <c r="AJ73" s="510"/>
      <c r="AK73" s="556">
        <v>0</v>
      </c>
      <c r="AL73" s="510"/>
      <c r="AM73" s="556">
        <v>0</v>
      </c>
      <c r="AN73" s="510"/>
      <c r="AO73" s="556">
        <v>0</v>
      </c>
      <c r="AP73" s="510"/>
      <c r="AQ73" s="556">
        <v>0</v>
      </c>
      <c r="AR73" s="510"/>
      <c r="AS73" s="556">
        <v>0</v>
      </c>
      <c r="AT73" s="510"/>
      <c r="AU73" s="556">
        <v>0</v>
      </c>
      <c r="AV73" s="510"/>
      <c r="AW73" s="556">
        <v>0</v>
      </c>
      <c r="AX73" s="510"/>
      <c r="AY73" s="556">
        <v>0</v>
      </c>
      <c r="AZ73" s="510"/>
      <c r="BA73" s="130"/>
      <c r="BB73" s="130"/>
      <c r="BC73" s="130"/>
      <c r="BD73" s="130"/>
      <c r="BE73" s="130"/>
      <c r="BF73" s="130"/>
      <c r="BG73" s="130"/>
      <c r="BH73" s="130"/>
      <c r="BI73" s="130"/>
      <c r="BJ73" s="130"/>
      <c r="BK73" s="130"/>
      <c r="BL73" s="130"/>
      <c r="BM73" s="130"/>
      <c r="BN73" s="130"/>
      <c r="BO73" s="130"/>
      <c r="BP73" s="130"/>
      <c r="BQ73" s="130"/>
      <c r="BR73" s="130"/>
      <c r="BS73" s="130"/>
      <c r="BT73" s="130"/>
    </row>
    <row r="74" spans="1:72" ht="15.75" customHeight="1">
      <c r="A74" s="525"/>
      <c r="B74" s="135" t="s">
        <v>307</v>
      </c>
      <c r="C74" s="553"/>
      <c r="D74" s="510"/>
      <c r="E74" s="553"/>
      <c r="F74" s="510"/>
      <c r="G74" s="553"/>
      <c r="H74" s="510"/>
      <c r="I74" s="553"/>
      <c r="J74" s="510"/>
      <c r="K74" s="553"/>
      <c r="L74" s="510"/>
      <c r="M74" s="553"/>
      <c r="N74" s="510"/>
      <c r="O74" s="553"/>
      <c r="P74" s="510"/>
      <c r="Q74" s="553"/>
      <c r="R74" s="510"/>
      <c r="S74" s="553"/>
      <c r="T74" s="510"/>
      <c r="U74" s="553"/>
      <c r="V74" s="510"/>
      <c r="W74" s="553"/>
      <c r="X74" s="510"/>
      <c r="Y74" s="553"/>
      <c r="Z74" s="510"/>
      <c r="AA74" s="553"/>
      <c r="AB74" s="510"/>
      <c r="AC74" s="553"/>
      <c r="AD74" s="510"/>
      <c r="AE74" s="553"/>
      <c r="AF74" s="510"/>
      <c r="AG74" s="553"/>
      <c r="AH74" s="510"/>
      <c r="AI74" s="553"/>
      <c r="AJ74" s="510"/>
      <c r="AK74" s="553"/>
      <c r="AL74" s="510"/>
      <c r="AM74" s="553"/>
      <c r="AN74" s="510"/>
      <c r="AO74" s="553"/>
      <c r="AP74" s="510"/>
      <c r="AQ74" s="553"/>
      <c r="AR74" s="510"/>
      <c r="AS74" s="553"/>
      <c r="AT74" s="510"/>
      <c r="AU74" s="553"/>
      <c r="AV74" s="510"/>
      <c r="AW74" s="553"/>
      <c r="AX74" s="510"/>
      <c r="AY74" s="553"/>
      <c r="AZ74" s="510"/>
      <c r="BA74" s="130"/>
      <c r="BB74" s="130"/>
      <c r="BC74" s="130"/>
      <c r="BD74" s="130"/>
      <c r="BE74" s="130"/>
      <c r="BF74" s="130"/>
      <c r="BG74" s="130"/>
      <c r="BH74" s="130"/>
      <c r="BI74" s="130"/>
      <c r="BJ74" s="130"/>
      <c r="BK74" s="130"/>
      <c r="BL74" s="130"/>
      <c r="BM74" s="130"/>
      <c r="BN74" s="130"/>
      <c r="BO74" s="130"/>
      <c r="BP74" s="130"/>
      <c r="BQ74" s="130"/>
      <c r="BR74" s="130"/>
      <c r="BS74" s="130"/>
      <c r="BT74" s="130"/>
    </row>
    <row r="75" spans="1:72" ht="15.75" customHeight="1">
      <c r="A75" s="560" t="s">
        <v>480</v>
      </c>
      <c r="B75" s="93" t="s">
        <v>1150</v>
      </c>
      <c r="C75" s="556">
        <v>0</v>
      </c>
      <c r="D75" s="510"/>
      <c r="E75" s="556">
        <v>0</v>
      </c>
      <c r="F75" s="510"/>
      <c r="G75" s="556">
        <v>0</v>
      </c>
      <c r="H75" s="510"/>
      <c r="I75" s="556">
        <v>0</v>
      </c>
      <c r="J75" s="510"/>
      <c r="K75" s="556">
        <v>0</v>
      </c>
      <c r="L75" s="510"/>
      <c r="M75" s="556">
        <v>0</v>
      </c>
      <c r="N75" s="510"/>
      <c r="O75" s="556">
        <v>0</v>
      </c>
      <c r="P75" s="510"/>
      <c r="Q75" s="556">
        <v>0</v>
      </c>
      <c r="R75" s="510"/>
      <c r="S75" s="556">
        <v>0</v>
      </c>
      <c r="T75" s="510"/>
      <c r="U75" s="556">
        <v>0</v>
      </c>
      <c r="V75" s="510"/>
      <c r="W75" s="556">
        <v>0</v>
      </c>
      <c r="X75" s="510"/>
      <c r="Y75" s="556">
        <v>0</v>
      </c>
      <c r="Z75" s="510"/>
      <c r="AA75" s="556">
        <v>0</v>
      </c>
      <c r="AB75" s="510"/>
      <c r="AC75" s="556">
        <v>0</v>
      </c>
      <c r="AD75" s="510"/>
      <c r="AE75" s="556">
        <v>0</v>
      </c>
      <c r="AF75" s="510"/>
      <c r="AG75" s="556">
        <v>0</v>
      </c>
      <c r="AH75" s="510"/>
      <c r="AI75" s="556">
        <v>0</v>
      </c>
      <c r="AJ75" s="510"/>
      <c r="AK75" s="556">
        <v>0</v>
      </c>
      <c r="AL75" s="510"/>
      <c r="AM75" s="556">
        <v>0</v>
      </c>
      <c r="AN75" s="510"/>
      <c r="AO75" s="556">
        <v>0</v>
      </c>
      <c r="AP75" s="510"/>
      <c r="AQ75" s="556">
        <v>0</v>
      </c>
      <c r="AR75" s="510"/>
      <c r="AS75" s="556">
        <v>0</v>
      </c>
      <c r="AT75" s="510"/>
      <c r="AU75" s="556">
        <v>0</v>
      </c>
      <c r="AV75" s="510"/>
      <c r="AW75" s="556">
        <v>0</v>
      </c>
      <c r="AX75" s="510"/>
      <c r="AY75" s="556">
        <v>0</v>
      </c>
      <c r="AZ75" s="510"/>
      <c r="BA75" s="130"/>
      <c r="BB75" s="130"/>
      <c r="BC75" s="130"/>
      <c r="BD75" s="130"/>
      <c r="BE75" s="130"/>
      <c r="BF75" s="130"/>
      <c r="BG75" s="130"/>
      <c r="BH75" s="130"/>
      <c r="BI75" s="130"/>
      <c r="BJ75" s="130"/>
      <c r="BK75" s="130"/>
      <c r="BL75" s="130"/>
      <c r="BM75" s="130"/>
      <c r="BN75" s="130"/>
      <c r="BO75" s="130"/>
      <c r="BP75" s="130"/>
      <c r="BQ75" s="130"/>
      <c r="BR75" s="130"/>
      <c r="BS75" s="130"/>
      <c r="BT75" s="130"/>
    </row>
    <row r="76" spans="1:72" ht="15.75" customHeight="1">
      <c r="A76" s="524"/>
      <c r="B76" s="140" t="s">
        <v>1129</v>
      </c>
      <c r="C76" s="554"/>
      <c r="D76" s="510"/>
      <c r="E76" s="554"/>
      <c r="F76" s="510"/>
      <c r="G76" s="554"/>
      <c r="H76" s="510"/>
      <c r="I76" s="554"/>
      <c r="J76" s="510"/>
      <c r="K76" s="554"/>
      <c r="L76" s="510"/>
      <c r="M76" s="554"/>
      <c r="N76" s="510"/>
      <c r="O76" s="554"/>
      <c r="P76" s="510"/>
      <c r="Q76" s="554"/>
      <c r="R76" s="510"/>
      <c r="S76" s="554"/>
      <c r="T76" s="510"/>
      <c r="U76" s="554"/>
      <c r="V76" s="510"/>
      <c r="W76" s="554"/>
      <c r="X76" s="510"/>
      <c r="Y76" s="554"/>
      <c r="Z76" s="510"/>
      <c r="AA76" s="554"/>
      <c r="AB76" s="510"/>
      <c r="AC76" s="554"/>
      <c r="AD76" s="510"/>
      <c r="AE76" s="554"/>
      <c r="AF76" s="510"/>
      <c r="AG76" s="554"/>
      <c r="AH76" s="510"/>
      <c r="AI76" s="554"/>
      <c r="AJ76" s="510"/>
      <c r="AK76" s="554"/>
      <c r="AL76" s="510"/>
      <c r="AM76" s="554"/>
      <c r="AN76" s="510"/>
      <c r="AO76" s="554"/>
      <c r="AP76" s="510"/>
      <c r="AQ76" s="554"/>
      <c r="AR76" s="510"/>
      <c r="AS76" s="554"/>
      <c r="AT76" s="510"/>
      <c r="AU76" s="554"/>
      <c r="AV76" s="510"/>
      <c r="AW76" s="554"/>
      <c r="AX76" s="510"/>
      <c r="AY76" s="554"/>
      <c r="AZ76" s="510"/>
      <c r="BA76" s="130"/>
      <c r="BB76" s="130"/>
      <c r="BC76" s="130"/>
      <c r="BD76" s="130"/>
      <c r="BE76" s="130"/>
      <c r="BF76" s="130"/>
      <c r="BG76" s="130"/>
      <c r="BH76" s="130"/>
      <c r="BI76" s="130"/>
      <c r="BJ76" s="130"/>
      <c r="BK76" s="130"/>
      <c r="BL76" s="130"/>
      <c r="BM76" s="130"/>
      <c r="BN76" s="130"/>
      <c r="BO76" s="130"/>
      <c r="BP76" s="130"/>
      <c r="BQ76" s="130"/>
      <c r="BR76" s="130"/>
      <c r="BS76" s="130"/>
      <c r="BT76" s="130"/>
    </row>
    <row r="77" spans="1:72" ht="15.75" customHeight="1">
      <c r="A77" s="525"/>
      <c r="B77" s="135" t="s">
        <v>307</v>
      </c>
      <c r="C77" s="553"/>
      <c r="D77" s="510"/>
      <c r="E77" s="553"/>
      <c r="F77" s="510"/>
      <c r="G77" s="553"/>
      <c r="H77" s="510"/>
      <c r="I77" s="553"/>
      <c r="J77" s="510"/>
      <c r="K77" s="553"/>
      <c r="L77" s="510"/>
      <c r="M77" s="553"/>
      <c r="N77" s="510"/>
      <c r="O77" s="553"/>
      <c r="P77" s="510"/>
      <c r="Q77" s="553"/>
      <c r="R77" s="510"/>
      <c r="S77" s="553"/>
      <c r="T77" s="510"/>
      <c r="U77" s="553"/>
      <c r="V77" s="510"/>
      <c r="W77" s="553"/>
      <c r="X77" s="510"/>
      <c r="Y77" s="553"/>
      <c r="Z77" s="510"/>
      <c r="AA77" s="553"/>
      <c r="AB77" s="510"/>
      <c r="AC77" s="553"/>
      <c r="AD77" s="510"/>
      <c r="AE77" s="553"/>
      <c r="AF77" s="510"/>
      <c r="AG77" s="553"/>
      <c r="AH77" s="510"/>
      <c r="AI77" s="553"/>
      <c r="AJ77" s="510"/>
      <c r="AK77" s="553"/>
      <c r="AL77" s="510"/>
      <c r="AM77" s="553"/>
      <c r="AN77" s="510"/>
      <c r="AO77" s="553"/>
      <c r="AP77" s="510"/>
      <c r="AQ77" s="553"/>
      <c r="AR77" s="510"/>
      <c r="AS77" s="553"/>
      <c r="AT77" s="510"/>
      <c r="AU77" s="553"/>
      <c r="AV77" s="510"/>
      <c r="AW77" s="553"/>
      <c r="AX77" s="510"/>
      <c r="AY77" s="553"/>
      <c r="AZ77" s="510"/>
      <c r="BA77" s="130"/>
      <c r="BB77" s="130"/>
      <c r="BC77" s="130"/>
      <c r="BD77" s="130"/>
      <c r="BE77" s="130"/>
      <c r="BF77" s="130"/>
      <c r="BG77" s="130"/>
      <c r="BH77" s="130"/>
      <c r="BI77" s="130"/>
      <c r="BJ77" s="130"/>
      <c r="BK77" s="130"/>
      <c r="BL77" s="130"/>
      <c r="BM77" s="130"/>
      <c r="BN77" s="130"/>
      <c r="BO77" s="130"/>
      <c r="BP77" s="130"/>
      <c r="BQ77" s="130"/>
      <c r="BR77" s="130"/>
      <c r="BS77" s="130"/>
      <c r="BT77" s="130"/>
    </row>
    <row r="78" spans="1:72" ht="15.75" customHeight="1">
      <c r="A78" s="560" t="s">
        <v>483</v>
      </c>
      <c r="B78" s="93" t="s">
        <v>1151</v>
      </c>
      <c r="C78" s="556">
        <v>0</v>
      </c>
      <c r="D78" s="510"/>
      <c r="E78" s="556">
        <v>0</v>
      </c>
      <c r="F78" s="510"/>
      <c r="G78" s="556">
        <v>0</v>
      </c>
      <c r="H78" s="510"/>
      <c r="I78" s="556">
        <v>0</v>
      </c>
      <c r="J78" s="510"/>
      <c r="K78" s="556">
        <v>0</v>
      </c>
      <c r="L78" s="510"/>
      <c r="M78" s="556">
        <v>0</v>
      </c>
      <c r="N78" s="510"/>
      <c r="O78" s="556">
        <v>0</v>
      </c>
      <c r="P78" s="510"/>
      <c r="Q78" s="556">
        <v>0</v>
      </c>
      <c r="R78" s="510"/>
      <c r="S78" s="556">
        <v>0</v>
      </c>
      <c r="T78" s="510"/>
      <c r="U78" s="556">
        <v>0</v>
      </c>
      <c r="V78" s="510"/>
      <c r="W78" s="556">
        <v>0</v>
      </c>
      <c r="X78" s="510"/>
      <c r="Y78" s="556">
        <v>0</v>
      </c>
      <c r="Z78" s="510"/>
      <c r="AA78" s="556">
        <v>0</v>
      </c>
      <c r="AB78" s="510"/>
      <c r="AC78" s="556">
        <v>0</v>
      </c>
      <c r="AD78" s="510"/>
      <c r="AE78" s="556">
        <v>0</v>
      </c>
      <c r="AF78" s="510"/>
      <c r="AG78" s="556">
        <v>0</v>
      </c>
      <c r="AH78" s="510"/>
      <c r="AI78" s="556">
        <v>0</v>
      </c>
      <c r="AJ78" s="510"/>
      <c r="AK78" s="556">
        <v>0</v>
      </c>
      <c r="AL78" s="510"/>
      <c r="AM78" s="556">
        <v>0</v>
      </c>
      <c r="AN78" s="510"/>
      <c r="AO78" s="556">
        <v>0</v>
      </c>
      <c r="AP78" s="510"/>
      <c r="AQ78" s="556">
        <v>0</v>
      </c>
      <c r="AR78" s="510"/>
      <c r="AS78" s="556">
        <v>0</v>
      </c>
      <c r="AT78" s="510"/>
      <c r="AU78" s="556">
        <v>0</v>
      </c>
      <c r="AV78" s="510"/>
      <c r="AW78" s="556">
        <v>0</v>
      </c>
      <c r="AX78" s="510"/>
      <c r="AY78" s="556">
        <v>0</v>
      </c>
      <c r="AZ78" s="510"/>
      <c r="BA78" s="130"/>
      <c r="BB78" s="130"/>
      <c r="BC78" s="130"/>
      <c r="BD78" s="130"/>
      <c r="BE78" s="130"/>
      <c r="BF78" s="130"/>
      <c r="BG78" s="130"/>
      <c r="BH78" s="130"/>
      <c r="BI78" s="130"/>
      <c r="BJ78" s="130"/>
      <c r="BK78" s="130"/>
      <c r="BL78" s="130"/>
      <c r="BM78" s="130"/>
      <c r="BN78" s="130"/>
      <c r="BO78" s="130"/>
      <c r="BP78" s="130"/>
      <c r="BQ78" s="130"/>
      <c r="BR78" s="130"/>
      <c r="BS78" s="130"/>
      <c r="BT78" s="130"/>
    </row>
    <row r="79" spans="1:72" ht="15.75" customHeight="1">
      <c r="A79" s="525"/>
      <c r="B79" s="135" t="s">
        <v>307</v>
      </c>
      <c r="C79" s="553"/>
      <c r="D79" s="510"/>
      <c r="E79" s="553"/>
      <c r="F79" s="510"/>
      <c r="G79" s="553"/>
      <c r="H79" s="510"/>
      <c r="I79" s="553"/>
      <c r="J79" s="510"/>
      <c r="K79" s="553"/>
      <c r="L79" s="510"/>
      <c r="M79" s="553"/>
      <c r="N79" s="510"/>
      <c r="O79" s="553"/>
      <c r="P79" s="510"/>
      <c r="Q79" s="553"/>
      <c r="R79" s="510"/>
      <c r="S79" s="553"/>
      <c r="T79" s="510"/>
      <c r="U79" s="553"/>
      <c r="V79" s="510"/>
      <c r="W79" s="553"/>
      <c r="X79" s="510"/>
      <c r="Y79" s="553"/>
      <c r="Z79" s="510"/>
      <c r="AA79" s="553"/>
      <c r="AB79" s="510"/>
      <c r="AC79" s="553"/>
      <c r="AD79" s="510"/>
      <c r="AE79" s="553"/>
      <c r="AF79" s="510"/>
      <c r="AG79" s="553"/>
      <c r="AH79" s="510"/>
      <c r="AI79" s="553"/>
      <c r="AJ79" s="510"/>
      <c r="AK79" s="553"/>
      <c r="AL79" s="510"/>
      <c r="AM79" s="553"/>
      <c r="AN79" s="510"/>
      <c r="AO79" s="553"/>
      <c r="AP79" s="510"/>
      <c r="AQ79" s="553"/>
      <c r="AR79" s="510"/>
      <c r="AS79" s="553"/>
      <c r="AT79" s="510"/>
      <c r="AU79" s="553"/>
      <c r="AV79" s="510"/>
      <c r="AW79" s="553"/>
      <c r="AX79" s="510"/>
      <c r="AY79" s="553"/>
      <c r="AZ79" s="510"/>
      <c r="BA79" s="130"/>
      <c r="BB79" s="130"/>
      <c r="BC79" s="130"/>
      <c r="BD79" s="130"/>
      <c r="BE79" s="130"/>
      <c r="BF79" s="130"/>
      <c r="BG79" s="130"/>
      <c r="BH79" s="130"/>
      <c r="BI79" s="130"/>
      <c r="BJ79" s="130"/>
      <c r="BK79" s="130"/>
      <c r="BL79" s="130"/>
      <c r="BM79" s="130"/>
      <c r="BN79" s="130"/>
      <c r="BO79" s="130"/>
      <c r="BP79" s="130"/>
      <c r="BQ79" s="130"/>
      <c r="BR79" s="130"/>
      <c r="BS79" s="130"/>
      <c r="BT79" s="130"/>
    </row>
    <row r="80" spans="1:72" ht="15.75" customHeight="1">
      <c r="A80" s="560" t="s">
        <v>491</v>
      </c>
      <c r="B80" s="86" t="s">
        <v>1152</v>
      </c>
      <c r="C80" s="556">
        <v>1</v>
      </c>
      <c r="D80" s="510"/>
      <c r="E80" s="556">
        <v>1</v>
      </c>
      <c r="F80" s="510"/>
      <c r="G80" s="556">
        <v>1</v>
      </c>
      <c r="H80" s="510"/>
      <c r="I80" s="556">
        <v>0</v>
      </c>
      <c r="J80" s="510"/>
      <c r="K80" s="556">
        <v>1</v>
      </c>
      <c r="L80" s="510"/>
      <c r="M80" s="556">
        <v>1</v>
      </c>
      <c r="N80" s="510"/>
      <c r="O80" s="556">
        <v>1</v>
      </c>
      <c r="P80" s="510"/>
      <c r="Q80" s="556">
        <v>1</v>
      </c>
      <c r="R80" s="510"/>
      <c r="S80" s="556">
        <v>1</v>
      </c>
      <c r="T80" s="510"/>
      <c r="U80" s="556">
        <v>1</v>
      </c>
      <c r="V80" s="510"/>
      <c r="W80" s="556">
        <v>1</v>
      </c>
      <c r="X80" s="510"/>
      <c r="Y80" s="556">
        <v>1</v>
      </c>
      <c r="Z80" s="510"/>
      <c r="AA80" s="556">
        <v>1</v>
      </c>
      <c r="AB80" s="510"/>
      <c r="AC80" s="556">
        <v>1</v>
      </c>
      <c r="AD80" s="510"/>
      <c r="AE80" s="556">
        <v>1</v>
      </c>
      <c r="AF80" s="510"/>
      <c r="AG80" s="556">
        <v>1</v>
      </c>
      <c r="AH80" s="510"/>
      <c r="AI80" s="556">
        <v>1</v>
      </c>
      <c r="AJ80" s="510"/>
      <c r="AK80" s="556">
        <v>1</v>
      </c>
      <c r="AL80" s="510"/>
      <c r="AM80" s="556">
        <v>1</v>
      </c>
      <c r="AN80" s="510"/>
      <c r="AO80" s="556">
        <v>1</v>
      </c>
      <c r="AP80" s="510"/>
      <c r="AQ80" s="556">
        <v>1</v>
      </c>
      <c r="AR80" s="510"/>
      <c r="AS80" s="556">
        <v>1</v>
      </c>
      <c r="AT80" s="510"/>
      <c r="AU80" s="556">
        <v>0</v>
      </c>
      <c r="AV80" s="510"/>
      <c r="AW80" s="556">
        <v>1</v>
      </c>
      <c r="AX80" s="510"/>
      <c r="AY80" s="556">
        <v>1</v>
      </c>
      <c r="AZ80" s="510"/>
      <c r="BA80" s="130"/>
      <c r="BB80" s="130"/>
      <c r="BC80" s="130"/>
      <c r="BD80" s="130"/>
      <c r="BE80" s="130"/>
      <c r="BF80" s="130"/>
      <c r="BG80" s="130"/>
      <c r="BH80" s="130"/>
      <c r="BI80" s="130"/>
      <c r="BJ80" s="130"/>
      <c r="BK80" s="130"/>
      <c r="BL80" s="130"/>
      <c r="BM80" s="130"/>
      <c r="BN80" s="130"/>
      <c r="BO80" s="130"/>
      <c r="BP80" s="130"/>
      <c r="BQ80" s="130"/>
      <c r="BR80" s="130"/>
      <c r="BS80" s="130"/>
      <c r="BT80" s="130"/>
    </row>
    <row r="81" spans="1:72" ht="15" customHeight="1">
      <c r="A81" s="525"/>
      <c r="B81" s="135" t="s">
        <v>307</v>
      </c>
      <c r="C81" s="553"/>
      <c r="D81" s="510"/>
      <c r="E81" s="553"/>
      <c r="F81" s="510"/>
      <c r="G81" s="553"/>
      <c r="H81" s="510"/>
      <c r="I81" s="553"/>
      <c r="J81" s="510"/>
      <c r="K81" s="553"/>
      <c r="L81" s="510"/>
      <c r="M81" s="553"/>
      <c r="N81" s="510"/>
      <c r="O81" s="553"/>
      <c r="P81" s="510"/>
      <c r="Q81" s="553"/>
      <c r="R81" s="510"/>
      <c r="S81" s="553"/>
      <c r="T81" s="510"/>
      <c r="U81" s="553"/>
      <c r="V81" s="510"/>
      <c r="W81" s="553"/>
      <c r="X81" s="510"/>
      <c r="Y81" s="553"/>
      <c r="Z81" s="510"/>
      <c r="AA81" s="553"/>
      <c r="AB81" s="510"/>
      <c r="AC81" s="553"/>
      <c r="AD81" s="510"/>
      <c r="AE81" s="553"/>
      <c r="AF81" s="510"/>
      <c r="AG81" s="553"/>
      <c r="AH81" s="510"/>
      <c r="AI81" s="553"/>
      <c r="AJ81" s="510"/>
      <c r="AK81" s="553"/>
      <c r="AL81" s="510"/>
      <c r="AM81" s="553"/>
      <c r="AN81" s="510"/>
      <c r="AO81" s="553"/>
      <c r="AP81" s="510"/>
      <c r="AQ81" s="553"/>
      <c r="AR81" s="510"/>
      <c r="AS81" s="553"/>
      <c r="AT81" s="510"/>
      <c r="AU81" s="553"/>
      <c r="AV81" s="510"/>
      <c r="AW81" s="553"/>
      <c r="AX81" s="510"/>
      <c r="AY81" s="553"/>
      <c r="AZ81" s="510"/>
      <c r="BA81" s="130"/>
      <c r="BB81" s="130"/>
      <c r="BC81" s="130"/>
      <c r="BD81" s="130"/>
      <c r="BE81" s="130"/>
      <c r="BF81" s="130"/>
      <c r="BG81" s="130"/>
      <c r="BH81" s="130"/>
      <c r="BI81" s="130"/>
      <c r="BJ81" s="130"/>
      <c r="BK81" s="130"/>
      <c r="BL81" s="130"/>
      <c r="BM81" s="130"/>
      <c r="BN81" s="130"/>
      <c r="BO81" s="130"/>
      <c r="BP81" s="130"/>
      <c r="BQ81" s="130"/>
      <c r="BR81" s="130"/>
      <c r="BS81" s="130"/>
      <c r="BT81" s="130"/>
    </row>
    <row r="82" spans="1:72" ht="15.75" customHeight="1">
      <c r="A82" s="560" t="s">
        <v>501</v>
      </c>
      <c r="B82" s="93" t="s">
        <v>1153</v>
      </c>
      <c r="C82" s="556">
        <v>1</v>
      </c>
      <c r="D82" s="510"/>
      <c r="E82" s="556">
        <v>1</v>
      </c>
      <c r="F82" s="510"/>
      <c r="G82" s="556">
        <v>1</v>
      </c>
      <c r="H82" s="510"/>
      <c r="I82" s="556">
        <v>0</v>
      </c>
      <c r="J82" s="510"/>
      <c r="K82" s="556">
        <v>1</v>
      </c>
      <c r="L82" s="510"/>
      <c r="M82" s="556">
        <v>1</v>
      </c>
      <c r="N82" s="510"/>
      <c r="O82" s="556">
        <v>1</v>
      </c>
      <c r="P82" s="510"/>
      <c r="Q82" s="556">
        <v>1</v>
      </c>
      <c r="R82" s="510"/>
      <c r="S82" s="556">
        <v>1</v>
      </c>
      <c r="T82" s="510"/>
      <c r="U82" s="556">
        <v>1</v>
      </c>
      <c r="V82" s="510"/>
      <c r="W82" s="556">
        <v>1</v>
      </c>
      <c r="X82" s="510"/>
      <c r="Y82" s="556">
        <v>1</v>
      </c>
      <c r="Z82" s="510"/>
      <c r="AA82" s="556">
        <v>1</v>
      </c>
      <c r="AB82" s="510"/>
      <c r="AC82" s="556">
        <v>1</v>
      </c>
      <c r="AD82" s="510"/>
      <c r="AE82" s="556">
        <v>1</v>
      </c>
      <c r="AF82" s="510"/>
      <c r="AG82" s="556">
        <v>1</v>
      </c>
      <c r="AH82" s="510"/>
      <c r="AI82" s="556">
        <v>1</v>
      </c>
      <c r="AJ82" s="510"/>
      <c r="AK82" s="556">
        <v>1</v>
      </c>
      <c r="AL82" s="510"/>
      <c r="AM82" s="556">
        <v>1</v>
      </c>
      <c r="AN82" s="510"/>
      <c r="AO82" s="556">
        <v>1</v>
      </c>
      <c r="AP82" s="510"/>
      <c r="AQ82" s="556">
        <v>1</v>
      </c>
      <c r="AR82" s="510"/>
      <c r="AS82" s="556">
        <v>1</v>
      </c>
      <c r="AT82" s="510"/>
      <c r="AU82" s="556">
        <v>0</v>
      </c>
      <c r="AV82" s="510"/>
      <c r="AW82" s="556">
        <v>1</v>
      </c>
      <c r="AX82" s="510"/>
      <c r="AY82" s="556">
        <v>1</v>
      </c>
      <c r="AZ82" s="510"/>
      <c r="BA82" s="130"/>
      <c r="BB82" s="130"/>
      <c r="BC82" s="130"/>
      <c r="BD82" s="130"/>
      <c r="BE82" s="130"/>
      <c r="BF82" s="130"/>
      <c r="BG82" s="130"/>
      <c r="BH82" s="130"/>
      <c r="BI82" s="130"/>
      <c r="BJ82" s="130"/>
      <c r="BK82" s="130"/>
      <c r="BL82" s="130"/>
      <c r="BM82" s="130"/>
      <c r="BN82" s="130"/>
      <c r="BO82" s="130"/>
      <c r="BP82" s="130"/>
      <c r="BQ82" s="130"/>
      <c r="BR82" s="130"/>
      <c r="BS82" s="130"/>
      <c r="BT82" s="130"/>
    </row>
    <row r="83" spans="1:72" ht="15" customHeight="1">
      <c r="A83" s="525"/>
      <c r="B83" s="135" t="s">
        <v>307</v>
      </c>
      <c r="C83" s="553"/>
      <c r="D83" s="510"/>
      <c r="E83" s="553"/>
      <c r="F83" s="510"/>
      <c r="G83" s="553"/>
      <c r="H83" s="510"/>
      <c r="I83" s="553"/>
      <c r="J83" s="510"/>
      <c r="K83" s="553"/>
      <c r="L83" s="510"/>
      <c r="M83" s="553"/>
      <c r="N83" s="510"/>
      <c r="O83" s="553"/>
      <c r="P83" s="510"/>
      <c r="Q83" s="553"/>
      <c r="R83" s="510"/>
      <c r="S83" s="553"/>
      <c r="T83" s="510"/>
      <c r="U83" s="553"/>
      <c r="V83" s="510"/>
      <c r="W83" s="553"/>
      <c r="X83" s="510"/>
      <c r="Y83" s="553"/>
      <c r="Z83" s="510"/>
      <c r="AA83" s="553"/>
      <c r="AB83" s="510"/>
      <c r="AC83" s="553"/>
      <c r="AD83" s="510"/>
      <c r="AE83" s="553"/>
      <c r="AF83" s="510"/>
      <c r="AG83" s="553"/>
      <c r="AH83" s="510"/>
      <c r="AI83" s="553"/>
      <c r="AJ83" s="510"/>
      <c r="AK83" s="553"/>
      <c r="AL83" s="510"/>
      <c r="AM83" s="553"/>
      <c r="AN83" s="510"/>
      <c r="AO83" s="553"/>
      <c r="AP83" s="510"/>
      <c r="AQ83" s="553"/>
      <c r="AR83" s="510"/>
      <c r="AS83" s="553"/>
      <c r="AT83" s="510"/>
      <c r="AU83" s="553"/>
      <c r="AV83" s="510"/>
      <c r="AW83" s="553"/>
      <c r="AX83" s="510"/>
      <c r="AY83" s="553"/>
      <c r="AZ83" s="510"/>
      <c r="BA83" s="130"/>
      <c r="BB83" s="130"/>
      <c r="BC83" s="130"/>
      <c r="BD83" s="130"/>
      <c r="BE83" s="130"/>
      <c r="BF83" s="130"/>
      <c r="BG83" s="130"/>
      <c r="BH83" s="130"/>
      <c r="BI83" s="130"/>
      <c r="BJ83" s="130"/>
      <c r="BK83" s="130"/>
      <c r="BL83" s="130"/>
      <c r="BM83" s="130"/>
      <c r="BN83" s="130"/>
      <c r="BO83" s="130"/>
      <c r="BP83" s="130"/>
      <c r="BQ83" s="130"/>
      <c r="BR83" s="130"/>
      <c r="BS83" s="130"/>
      <c r="BT83" s="130"/>
    </row>
    <row r="84" spans="1:72" ht="15.75" customHeight="1">
      <c r="A84" s="560" t="s">
        <v>1154</v>
      </c>
      <c r="B84" s="93" t="s">
        <v>1155</v>
      </c>
      <c r="C84" s="556">
        <v>0</v>
      </c>
      <c r="D84" s="510"/>
      <c r="E84" s="556">
        <v>0</v>
      </c>
      <c r="F84" s="510"/>
      <c r="G84" s="556">
        <v>0</v>
      </c>
      <c r="H84" s="510"/>
      <c r="I84" s="556">
        <v>0</v>
      </c>
      <c r="J84" s="510"/>
      <c r="K84" s="556">
        <v>0</v>
      </c>
      <c r="L84" s="510"/>
      <c r="M84" s="556">
        <v>0</v>
      </c>
      <c r="N84" s="510"/>
      <c r="O84" s="556">
        <v>0</v>
      </c>
      <c r="P84" s="510"/>
      <c r="Q84" s="556">
        <v>0</v>
      </c>
      <c r="R84" s="510"/>
      <c r="S84" s="556">
        <v>0</v>
      </c>
      <c r="T84" s="510"/>
      <c r="U84" s="556">
        <v>0</v>
      </c>
      <c r="V84" s="510"/>
      <c r="W84" s="556">
        <v>0</v>
      </c>
      <c r="X84" s="510"/>
      <c r="Y84" s="556">
        <v>0</v>
      </c>
      <c r="Z84" s="510"/>
      <c r="AA84" s="556">
        <v>0</v>
      </c>
      <c r="AB84" s="510"/>
      <c r="AC84" s="556">
        <v>0</v>
      </c>
      <c r="AD84" s="510"/>
      <c r="AE84" s="556">
        <v>0</v>
      </c>
      <c r="AF84" s="510"/>
      <c r="AG84" s="556">
        <v>0</v>
      </c>
      <c r="AH84" s="510"/>
      <c r="AI84" s="556">
        <v>0</v>
      </c>
      <c r="AJ84" s="510"/>
      <c r="AK84" s="556">
        <v>0</v>
      </c>
      <c r="AL84" s="510"/>
      <c r="AM84" s="556">
        <v>0</v>
      </c>
      <c r="AN84" s="510"/>
      <c r="AO84" s="556">
        <v>0</v>
      </c>
      <c r="AP84" s="510"/>
      <c r="AQ84" s="556">
        <v>0</v>
      </c>
      <c r="AR84" s="510"/>
      <c r="AS84" s="556">
        <v>0</v>
      </c>
      <c r="AT84" s="510"/>
      <c r="AU84" s="556">
        <v>0</v>
      </c>
      <c r="AV84" s="510"/>
      <c r="AW84" s="556">
        <v>0</v>
      </c>
      <c r="AX84" s="510"/>
      <c r="AY84" s="556">
        <v>0</v>
      </c>
      <c r="AZ84" s="510"/>
      <c r="BA84" s="130"/>
      <c r="BB84" s="130"/>
      <c r="BC84" s="130"/>
      <c r="BD84" s="130"/>
      <c r="BE84" s="130"/>
      <c r="BF84" s="130"/>
      <c r="BG84" s="130"/>
      <c r="BH84" s="130"/>
      <c r="BI84" s="130"/>
      <c r="BJ84" s="130"/>
      <c r="BK84" s="130"/>
      <c r="BL84" s="130"/>
      <c r="BM84" s="130"/>
      <c r="BN84" s="130"/>
      <c r="BO84" s="130"/>
      <c r="BP84" s="130"/>
      <c r="BQ84" s="130"/>
      <c r="BR84" s="130"/>
      <c r="BS84" s="130"/>
      <c r="BT84" s="130"/>
    </row>
    <row r="85" spans="1:72" ht="15.75" customHeight="1">
      <c r="A85" s="525"/>
      <c r="B85" s="135" t="s">
        <v>307</v>
      </c>
      <c r="C85" s="553"/>
      <c r="D85" s="510"/>
      <c r="E85" s="553"/>
      <c r="F85" s="510"/>
      <c r="G85" s="553"/>
      <c r="H85" s="510"/>
      <c r="I85" s="553"/>
      <c r="J85" s="510"/>
      <c r="K85" s="553"/>
      <c r="L85" s="510"/>
      <c r="M85" s="553"/>
      <c r="N85" s="510"/>
      <c r="O85" s="553"/>
      <c r="P85" s="510"/>
      <c r="Q85" s="553"/>
      <c r="R85" s="510"/>
      <c r="S85" s="553"/>
      <c r="T85" s="510"/>
      <c r="U85" s="553"/>
      <c r="V85" s="510"/>
      <c r="W85" s="553"/>
      <c r="X85" s="510"/>
      <c r="Y85" s="553"/>
      <c r="Z85" s="510"/>
      <c r="AA85" s="553"/>
      <c r="AB85" s="510"/>
      <c r="AC85" s="553"/>
      <c r="AD85" s="510"/>
      <c r="AE85" s="553"/>
      <c r="AF85" s="510"/>
      <c r="AG85" s="553"/>
      <c r="AH85" s="510"/>
      <c r="AI85" s="553"/>
      <c r="AJ85" s="510"/>
      <c r="AK85" s="553"/>
      <c r="AL85" s="510"/>
      <c r="AM85" s="553"/>
      <c r="AN85" s="510"/>
      <c r="AO85" s="553"/>
      <c r="AP85" s="510"/>
      <c r="AQ85" s="553"/>
      <c r="AR85" s="510"/>
      <c r="AS85" s="553"/>
      <c r="AT85" s="510"/>
      <c r="AU85" s="553"/>
      <c r="AV85" s="510"/>
      <c r="AW85" s="553"/>
      <c r="AX85" s="510"/>
      <c r="AY85" s="553"/>
      <c r="AZ85" s="510"/>
      <c r="BA85" s="130"/>
      <c r="BB85" s="130"/>
      <c r="BC85" s="130"/>
      <c r="BD85" s="130"/>
      <c r="BE85" s="130"/>
      <c r="BF85" s="130"/>
      <c r="BG85" s="130"/>
      <c r="BH85" s="130"/>
      <c r="BI85" s="130"/>
      <c r="BJ85" s="130"/>
      <c r="BK85" s="130"/>
      <c r="BL85" s="130"/>
      <c r="BM85" s="130"/>
      <c r="BN85" s="130"/>
      <c r="BO85" s="130"/>
      <c r="BP85" s="130"/>
      <c r="BQ85" s="130"/>
      <c r="BR85" s="130"/>
      <c r="BS85" s="130"/>
      <c r="BT85" s="130"/>
    </row>
    <row r="86" spans="1:72" ht="15.75" customHeight="1">
      <c r="A86" s="560" t="s">
        <v>1156</v>
      </c>
      <c r="B86" s="86" t="s">
        <v>1157</v>
      </c>
      <c r="C86" s="556">
        <v>0</v>
      </c>
      <c r="D86" s="510"/>
      <c r="E86" s="556">
        <v>0</v>
      </c>
      <c r="F86" s="510"/>
      <c r="G86" s="556">
        <v>0</v>
      </c>
      <c r="H86" s="510"/>
      <c r="I86" s="556">
        <v>0</v>
      </c>
      <c r="J86" s="510"/>
      <c r="K86" s="556">
        <v>0</v>
      </c>
      <c r="L86" s="510"/>
      <c r="M86" s="556">
        <v>0</v>
      </c>
      <c r="N86" s="510"/>
      <c r="O86" s="556">
        <v>0</v>
      </c>
      <c r="P86" s="510"/>
      <c r="Q86" s="556">
        <v>0</v>
      </c>
      <c r="R86" s="510"/>
      <c r="S86" s="556">
        <v>0</v>
      </c>
      <c r="T86" s="510"/>
      <c r="U86" s="556">
        <v>0</v>
      </c>
      <c r="V86" s="510"/>
      <c r="W86" s="556">
        <v>0</v>
      </c>
      <c r="X86" s="510"/>
      <c r="Y86" s="556">
        <v>0</v>
      </c>
      <c r="Z86" s="510"/>
      <c r="AA86" s="556">
        <v>0</v>
      </c>
      <c r="AB86" s="510"/>
      <c r="AC86" s="556">
        <v>0</v>
      </c>
      <c r="AD86" s="510"/>
      <c r="AE86" s="556">
        <v>0</v>
      </c>
      <c r="AF86" s="510"/>
      <c r="AG86" s="556">
        <v>0</v>
      </c>
      <c r="AH86" s="510"/>
      <c r="AI86" s="556">
        <v>0</v>
      </c>
      <c r="AJ86" s="510"/>
      <c r="AK86" s="556">
        <v>0</v>
      </c>
      <c r="AL86" s="510"/>
      <c r="AM86" s="556">
        <v>0</v>
      </c>
      <c r="AN86" s="510"/>
      <c r="AO86" s="556">
        <v>0</v>
      </c>
      <c r="AP86" s="510"/>
      <c r="AQ86" s="556">
        <v>0</v>
      </c>
      <c r="AR86" s="510"/>
      <c r="AS86" s="556">
        <v>0</v>
      </c>
      <c r="AT86" s="510"/>
      <c r="AU86" s="556">
        <v>0</v>
      </c>
      <c r="AV86" s="510"/>
      <c r="AW86" s="556">
        <v>0</v>
      </c>
      <c r="AX86" s="510"/>
      <c r="AY86" s="556">
        <v>0</v>
      </c>
      <c r="AZ86" s="510"/>
      <c r="BA86" s="130"/>
      <c r="BB86" s="130"/>
      <c r="BC86" s="130"/>
      <c r="BD86" s="130"/>
      <c r="BE86" s="130"/>
      <c r="BF86" s="130"/>
      <c r="BG86" s="130"/>
      <c r="BH86" s="130"/>
      <c r="BI86" s="130"/>
      <c r="BJ86" s="130"/>
      <c r="BK86" s="130"/>
      <c r="BL86" s="130"/>
      <c r="BM86" s="130"/>
      <c r="BN86" s="130"/>
      <c r="BO86" s="130"/>
      <c r="BP86" s="130"/>
      <c r="BQ86" s="130"/>
      <c r="BR86" s="130"/>
      <c r="BS86" s="130"/>
      <c r="BT86" s="130"/>
    </row>
    <row r="87" spans="1:72" ht="15.75" customHeight="1">
      <c r="A87" s="525"/>
      <c r="B87" s="135" t="s">
        <v>307</v>
      </c>
      <c r="C87" s="553"/>
      <c r="D87" s="510"/>
      <c r="E87" s="553"/>
      <c r="F87" s="510"/>
      <c r="G87" s="553"/>
      <c r="H87" s="510"/>
      <c r="I87" s="553"/>
      <c r="J87" s="510"/>
      <c r="K87" s="553"/>
      <c r="L87" s="510"/>
      <c r="M87" s="553"/>
      <c r="N87" s="510"/>
      <c r="O87" s="553"/>
      <c r="P87" s="510"/>
      <c r="Q87" s="553"/>
      <c r="R87" s="510"/>
      <c r="S87" s="553"/>
      <c r="T87" s="510"/>
      <c r="U87" s="553"/>
      <c r="V87" s="510"/>
      <c r="W87" s="553"/>
      <c r="X87" s="510"/>
      <c r="Y87" s="553"/>
      <c r="Z87" s="510"/>
      <c r="AA87" s="553"/>
      <c r="AB87" s="510"/>
      <c r="AC87" s="553"/>
      <c r="AD87" s="510"/>
      <c r="AE87" s="553"/>
      <c r="AF87" s="510"/>
      <c r="AG87" s="553"/>
      <c r="AH87" s="510"/>
      <c r="AI87" s="553"/>
      <c r="AJ87" s="510"/>
      <c r="AK87" s="553"/>
      <c r="AL87" s="510"/>
      <c r="AM87" s="553"/>
      <c r="AN87" s="510"/>
      <c r="AO87" s="553"/>
      <c r="AP87" s="510"/>
      <c r="AQ87" s="553"/>
      <c r="AR87" s="510"/>
      <c r="AS87" s="553"/>
      <c r="AT87" s="510"/>
      <c r="AU87" s="553"/>
      <c r="AV87" s="510"/>
      <c r="AW87" s="553"/>
      <c r="AX87" s="510"/>
      <c r="AY87" s="553"/>
      <c r="AZ87" s="510"/>
      <c r="BA87" s="130"/>
      <c r="BB87" s="130"/>
      <c r="BC87" s="130"/>
      <c r="BD87" s="130"/>
      <c r="BE87" s="130"/>
      <c r="BF87" s="130"/>
      <c r="BG87" s="130"/>
      <c r="BH87" s="130"/>
      <c r="BI87" s="130"/>
      <c r="BJ87" s="130"/>
      <c r="BK87" s="130"/>
      <c r="BL87" s="130"/>
      <c r="BM87" s="130"/>
      <c r="BN87" s="130"/>
      <c r="BO87" s="130"/>
      <c r="BP87" s="130"/>
      <c r="BQ87" s="130"/>
      <c r="BR87" s="130"/>
      <c r="BS87" s="130"/>
      <c r="BT87" s="130"/>
    </row>
    <row r="88" spans="1:72" ht="15.75" customHeight="1">
      <c r="A88" s="560" t="s">
        <v>1158</v>
      </c>
      <c r="B88" s="93" t="s">
        <v>1159</v>
      </c>
      <c r="C88" s="556">
        <v>1</v>
      </c>
      <c r="D88" s="510"/>
      <c r="E88" s="556">
        <v>1</v>
      </c>
      <c r="F88" s="510"/>
      <c r="G88" s="556">
        <v>1</v>
      </c>
      <c r="H88" s="510"/>
      <c r="I88" s="556">
        <v>1</v>
      </c>
      <c r="J88" s="510"/>
      <c r="K88" s="556">
        <v>1</v>
      </c>
      <c r="L88" s="510"/>
      <c r="M88" s="556">
        <v>1</v>
      </c>
      <c r="N88" s="510"/>
      <c r="O88" s="556">
        <v>1</v>
      </c>
      <c r="P88" s="510"/>
      <c r="Q88" s="556">
        <v>1</v>
      </c>
      <c r="R88" s="510"/>
      <c r="S88" s="556">
        <v>1</v>
      </c>
      <c r="T88" s="510"/>
      <c r="U88" s="556">
        <v>1</v>
      </c>
      <c r="V88" s="510"/>
      <c r="W88" s="556">
        <v>1</v>
      </c>
      <c r="X88" s="510"/>
      <c r="Y88" s="556">
        <v>1</v>
      </c>
      <c r="Z88" s="510"/>
      <c r="AA88" s="556">
        <v>1</v>
      </c>
      <c r="AB88" s="510"/>
      <c r="AC88" s="556">
        <v>1</v>
      </c>
      <c r="AD88" s="510"/>
      <c r="AE88" s="556">
        <v>1</v>
      </c>
      <c r="AF88" s="510"/>
      <c r="AG88" s="556">
        <v>1</v>
      </c>
      <c r="AH88" s="510"/>
      <c r="AI88" s="556">
        <v>1</v>
      </c>
      <c r="AJ88" s="510"/>
      <c r="AK88" s="556">
        <v>1</v>
      </c>
      <c r="AL88" s="510"/>
      <c r="AM88" s="556">
        <v>1</v>
      </c>
      <c r="AN88" s="510"/>
      <c r="AO88" s="556">
        <v>1</v>
      </c>
      <c r="AP88" s="510"/>
      <c r="AQ88" s="556">
        <v>1</v>
      </c>
      <c r="AR88" s="510"/>
      <c r="AS88" s="556">
        <v>1</v>
      </c>
      <c r="AT88" s="510"/>
      <c r="AU88" s="556">
        <v>1</v>
      </c>
      <c r="AV88" s="510"/>
      <c r="AW88" s="556">
        <v>1</v>
      </c>
      <c r="AX88" s="510"/>
      <c r="AY88" s="556">
        <v>1</v>
      </c>
      <c r="AZ88" s="510"/>
      <c r="BA88" s="130"/>
      <c r="BB88" s="130"/>
      <c r="BC88" s="130"/>
      <c r="BD88" s="130"/>
      <c r="BE88" s="130"/>
      <c r="BF88" s="130"/>
      <c r="BG88" s="130"/>
      <c r="BH88" s="130"/>
      <c r="BI88" s="130"/>
      <c r="BJ88" s="130"/>
      <c r="BK88" s="130"/>
      <c r="BL88" s="130"/>
      <c r="BM88" s="130"/>
      <c r="BN88" s="130"/>
      <c r="BO88" s="130"/>
      <c r="BP88" s="130"/>
      <c r="BQ88" s="130"/>
      <c r="BR88" s="130"/>
      <c r="BS88" s="130"/>
      <c r="BT88" s="130"/>
    </row>
    <row r="89" spans="1:72" ht="15" customHeight="1">
      <c r="A89" s="525"/>
      <c r="B89" s="135" t="s">
        <v>307</v>
      </c>
      <c r="C89" s="553"/>
      <c r="D89" s="510"/>
      <c r="E89" s="553"/>
      <c r="F89" s="510"/>
      <c r="G89" s="553"/>
      <c r="H89" s="510"/>
      <c r="I89" s="553"/>
      <c r="J89" s="510"/>
      <c r="K89" s="553"/>
      <c r="L89" s="510"/>
      <c r="M89" s="553"/>
      <c r="N89" s="510"/>
      <c r="O89" s="553"/>
      <c r="P89" s="510"/>
      <c r="Q89" s="553"/>
      <c r="R89" s="510"/>
      <c r="S89" s="553"/>
      <c r="T89" s="510"/>
      <c r="U89" s="553"/>
      <c r="V89" s="510"/>
      <c r="W89" s="553"/>
      <c r="X89" s="510"/>
      <c r="Y89" s="553"/>
      <c r="Z89" s="510"/>
      <c r="AA89" s="553"/>
      <c r="AB89" s="510"/>
      <c r="AC89" s="553"/>
      <c r="AD89" s="510"/>
      <c r="AE89" s="553"/>
      <c r="AF89" s="510"/>
      <c r="AG89" s="553"/>
      <c r="AH89" s="510"/>
      <c r="AI89" s="553"/>
      <c r="AJ89" s="510"/>
      <c r="AK89" s="553"/>
      <c r="AL89" s="510"/>
      <c r="AM89" s="553"/>
      <c r="AN89" s="510"/>
      <c r="AO89" s="553"/>
      <c r="AP89" s="510"/>
      <c r="AQ89" s="553"/>
      <c r="AR89" s="510"/>
      <c r="AS89" s="553"/>
      <c r="AT89" s="510"/>
      <c r="AU89" s="553"/>
      <c r="AV89" s="510"/>
      <c r="AW89" s="553"/>
      <c r="AX89" s="510"/>
      <c r="AY89" s="553"/>
      <c r="AZ89" s="510"/>
      <c r="BA89" s="130"/>
      <c r="BB89" s="130"/>
      <c r="BC89" s="130"/>
      <c r="BD89" s="130"/>
      <c r="BE89" s="130"/>
      <c r="BF89" s="130"/>
      <c r="BG89" s="130"/>
      <c r="BH89" s="130"/>
      <c r="BI89" s="130"/>
      <c r="BJ89" s="130"/>
      <c r="BK89" s="130"/>
      <c r="BL89" s="130"/>
      <c r="BM89" s="130"/>
      <c r="BN89" s="130"/>
      <c r="BO89" s="130"/>
      <c r="BP89" s="130"/>
      <c r="BQ89" s="130"/>
      <c r="BR89" s="130"/>
      <c r="BS89" s="130"/>
      <c r="BT89" s="130"/>
    </row>
    <row r="90" spans="1:72" ht="15.75" customHeight="1">
      <c r="A90" s="560" t="s">
        <v>1160</v>
      </c>
      <c r="B90" s="93" t="s">
        <v>1161</v>
      </c>
      <c r="C90" s="556">
        <v>0</v>
      </c>
      <c r="D90" s="510"/>
      <c r="E90" s="556">
        <v>0</v>
      </c>
      <c r="F90" s="510"/>
      <c r="G90" s="556">
        <v>0</v>
      </c>
      <c r="H90" s="510"/>
      <c r="I90" s="556">
        <v>0</v>
      </c>
      <c r="J90" s="510"/>
      <c r="K90" s="556">
        <v>0</v>
      </c>
      <c r="L90" s="510"/>
      <c r="M90" s="556">
        <v>0</v>
      </c>
      <c r="N90" s="510"/>
      <c r="O90" s="556">
        <v>0</v>
      </c>
      <c r="P90" s="510"/>
      <c r="Q90" s="556">
        <v>0</v>
      </c>
      <c r="R90" s="510"/>
      <c r="S90" s="556">
        <v>0</v>
      </c>
      <c r="T90" s="510"/>
      <c r="U90" s="556">
        <v>0</v>
      </c>
      <c r="V90" s="510"/>
      <c r="W90" s="556">
        <v>0</v>
      </c>
      <c r="X90" s="510"/>
      <c r="Y90" s="556">
        <v>0</v>
      </c>
      <c r="Z90" s="510"/>
      <c r="AA90" s="556">
        <v>0</v>
      </c>
      <c r="AB90" s="510"/>
      <c r="AC90" s="556">
        <v>0</v>
      </c>
      <c r="AD90" s="510"/>
      <c r="AE90" s="556">
        <v>0</v>
      </c>
      <c r="AF90" s="510"/>
      <c r="AG90" s="556">
        <v>0</v>
      </c>
      <c r="AH90" s="510"/>
      <c r="AI90" s="556">
        <v>0</v>
      </c>
      <c r="AJ90" s="510"/>
      <c r="AK90" s="556">
        <v>0</v>
      </c>
      <c r="AL90" s="510"/>
      <c r="AM90" s="556">
        <v>0</v>
      </c>
      <c r="AN90" s="510"/>
      <c r="AO90" s="556">
        <v>0</v>
      </c>
      <c r="AP90" s="510"/>
      <c r="AQ90" s="556">
        <v>0</v>
      </c>
      <c r="AR90" s="510"/>
      <c r="AS90" s="556">
        <v>0</v>
      </c>
      <c r="AT90" s="510"/>
      <c r="AU90" s="556">
        <v>0</v>
      </c>
      <c r="AV90" s="510"/>
      <c r="AW90" s="556">
        <v>0</v>
      </c>
      <c r="AX90" s="510"/>
      <c r="AY90" s="556">
        <v>1</v>
      </c>
      <c r="AZ90" s="510"/>
      <c r="BA90" s="130"/>
      <c r="BB90" s="130"/>
      <c r="BC90" s="130"/>
      <c r="BD90" s="130"/>
      <c r="BE90" s="130"/>
      <c r="BF90" s="130"/>
      <c r="BG90" s="130"/>
      <c r="BH90" s="130"/>
      <c r="BI90" s="130"/>
      <c r="BJ90" s="130"/>
      <c r="BK90" s="130"/>
      <c r="BL90" s="130"/>
      <c r="BM90" s="130"/>
      <c r="BN90" s="130"/>
      <c r="BO90" s="130"/>
      <c r="BP90" s="130"/>
      <c r="BQ90" s="130"/>
      <c r="BR90" s="130"/>
      <c r="BS90" s="130"/>
      <c r="BT90" s="130"/>
    </row>
    <row r="91" spans="1:72" ht="22.5" customHeight="1">
      <c r="A91" s="525"/>
      <c r="B91" s="135" t="s">
        <v>307</v>
      </c>
      <c r="C91" s="553"/>
      <c r="D91" s="510"/>
      <c r="E91" s="553"/>
      <c r="F91" s="510"/>
      <c r="G91" s="553"/>
      <c r="H91" s="510"/>
      <c r="I91" s="553"/>
      <c r="J91" s="510"/>
      <c r="K91" s="553"/>
      <c r="L91" s="510"/>
      <c r="M91" s="553"/>
      <c r="N91" s="510"/>
      <c r="O91" s="553"/>
      <c r="P91" s="510"/>
      <c r="Q91" s="553"/>
      <c r="R91" s="510"/>
      <c r="S91" s="553"/>
      <c r="T91" s="510"/>
      <c r="U91" s="553"/>
      <c r="V91" s="510"/>
      <c r="W91" s="553"/>
      <c r="X91" s="510"/>
      <c r="Y91" s="553"/>
      <c r="Z91" s="510"/>
      <c r="AA91" s="553"/>
      <c r="AB91" s="510"/>
      <c r="AC91" s="553"/>
      <c r="AD91" s="510"/>
      <c r="AE91" s="553"/>
      <c r="AF91" s="510"/>
      <c r="AG91" s="553"/>
      <c r="AH91" s="510"/>
      <c r="AI91" s="553"/>
      <c r="AJ91" s="510"/>
      <c r="AK91" s="553"/>
      <c r="AL91" s="510"/>
      <c r="AM91" s="553"/>
      <c r="AN91" s="510"/>
      <c r="AO91" s="553"/>
      <c r="AP91" s="510"/>
      <c r="AQ91" s="553"/>
      <c r="AR91" s="510"/>
      <c r="AS91" s="553"/>
      <c r="AT91" s="510"/>
      <c r="AU91" s="553"/>
      <c r="AV91" s="510"/>
      <c r="AW91" s="553"/>
      <c r="AX91" s="510"/>
      <c r="AY91" s="553" t="s">
        <v>1162</v>
      </c>
      <c r="AZ91" s="510"/>
      <c r="BA91" s="130"/>
      <c r="BB91" s="130"/>
      <c r="BC91" s="130"/>
      <c r="BD91" s="130"/>
      <c r="BE91" s="130"/>
      <c r="BF91" s="130"/>
      <c r="BG91" s="130"/>
      <c r="BH91" s="130"/>
      <c r="BI91" s="130"/>
      <c r="BJ91" s="130"/>
      <c r="BK91" s="130"/>
      <c r="BL91" s="130"/>
      <c r="BM91" s="130"/>
      <c r="BN91" s="130"/>
      <c r="BO91" s="130"/>
      <c r="BP91" s="130"/>
      <c r="BQ91" s="130"/>
      <c r="BR91" s="130"/>
      <c r="BS91" s="130"/>
      <c r="BT91" s="130"/>
    </row>
    <row r="92" spans="1:72" ht="15.75" customHeight="1">
      <c r="A92" s="560" t="s">
        <v>1163</v>
      </c>
      <c r="B92" s="93" t="s">
        <v>1164</v>
      </c>
      <c r="C92" s="556">
        <v>0</v>
      </c>
      <c r="D92" s="510"/>
      <c r="E92" s="556">
        <v>0</v>
      </c>
      <c r="F92" s="510"/>
      <c r="G92" s="556">
        <v>0</v>
      </c>
      <c r="H92" s="510"/>
      <c r="I92" s="556">
        <v>0</v>
      </c>
      <c r="J92" s="510"/>
      <c r="K92" s="556">
        <v>0</v>
      </c>
      <c r="L92" s="510"/>
      <c r="M92" s="556">
        <v>0</v>
      </c>
      <c r="N92" s="510"/>
      <c r="O92" s="556">
        <v>0</v>
      </c>
      <c r="P92" s="510"/>
      <c r="Q92" s="556">
        <v>0</v>
      </c>
      <c r="R92" s="510"/>
      <c r="S92" s="556">
        <v>0</v>
      </c>
      <c r="T92" s="510"/>
      <c r="U92" s="556">
        <v>0</v>
      </c>
      <c r="V92" s="510"/>
      <c r="W92" s="556">
        <v>0</v>
      </c>
      <c r="X92" s="510"/>
      <c r="Y92" s="556">
        <v>0</v>
      </c>
      <c r="Z92" s="510"/>
      <c r="AA92" s="556">
        <v>0</v>
      </c>
      <c r="AB92" s="510"/>
      <c r="AC92" s="556">
        <v>0</v>
      </c>
      <c r="AD92" s="510"/>
      <c r="AE92" s="556">
        <v>0</v>
      </c>
      <c r="AF92" s="510"/>
      <c r="AG92" s="556">
        <v>0</v>
      </c>
      <c r="AH92" s="510"/>
      <c r="AI92" s="556">
        <v>0</v>
      </c>
      <c r="AJ92" s="510"/>
      <c r="AK92" s="556">
        <v>0</v>
      </c>
      <c r="AL92" s="510"/>
      <c r="AM92" s="556">
        <v>0</v>
      </c>
      <c r="AN92" s="510"/>
      <c r="AO92" s="556">
        <v>0</v>
      </c>
      <c r="AP92" s="510"/>
      <c r="AQ92" s="556">
        <v>0</v>
      </c>
      <c r="AR92" s="510"/>
      <c r="AS92" s="556">
        <v>0</v>
      </c>
      <c r="AT92" s="510"/>
      <c r="AU92" s="556">
        <v>0</v>
      </c>
      <c r="AV92" s="510"/>
      <c r="AW92" s="556">
        <v>0</v>
      </c>
      <c r="AX92" s="510"/>
      <c r="AY92" s="556">
        <v>0</v>
      </c>
      <c r="AZ92" s="510"/>
      <c r="BA92" s="130"/>
      <c r="BB92" s="130"/>
      <c r="BC92" s="130"/>
      <c r="BD92" s="130"/>
      <c r="BE92" s="130"/>
      <c r="BF92" s="130"/>
      <c r="BG92" s="130"/>
      <c r="BH92" s="130"/>
      <c r="BI92" s="130"/>
      <c r="BJ92" s="130"/>
      <c r="BK92" s="130"/>
      <c r="BL92" s="130"/>
      <c r="BM92" s="130"/>
      <c r="BN92" s="130"/>
      <c r="BO92" s="130"/>
      <c r="BP92" s="130"/>
      <c r="BQ92" s="130"/>
      <c r="BR92" s="130"/>
      <c r="BS92" s="130"/>
      <c r="BT92" s="130"/>
    </row>
    <row r="93" spans="1:72" ht="15.75" customHeight="1">
      <c r="A93" s="525"/>
      <c r="B93" s="135" t="s">
        <v>307</v>
      </c>
      <c r="C93" s="553" t="s">
        <v>1165</v>
      </c>
      <c r="D93" s="510"/>
      <c r="E93" s="553" t="s">
        <v>1165</v>
      </c>
      <c r="F93" s="510"/>
      <c r="G93" s="553" t="s">
        <v>1165</v>
      </c>
      <c r="H93" s="510"/>
      <c r="I93" s="553" t="s">
        <v>1165</v>
      </c>
      <c r="J93" s="510"/>
      <c r="K93" s="553" t="s">
        <v>1165</v>
      </c>
      <c r="L93" s="510"/>
      <c r="M93" s="553" t="s">
        <v>1165</v>
      </c>
      <c r="N93" s="510"/>
      <c r="O93" s="553" t="s">
        <v>1165</v>
      </c>
      <c r="P93" s="510"/>
      <c r="Q93" s="553" t="s">
        <v>1165</v>
      </c>
      <c r="R93" s="510"/>
      <c r="S93" s="553" t="s">
        <v>1165</v>
      </c>
      <c r="T93" s="510"/>
      <c r="U93" s="553" t="s">
        <v>1165</v>
      </c>
      <c r="V93" s="510"/>
      <c r="W93" s="553" t="s">
        <v>1165</v>
      </c>
      <c r="X93" s="510"/>
      <c r="Y93" s="553" t="s">
        <v>1165</v>
      </c>
      <c r="Z93" s="510"/>
      <c r="AA93" s="553" t="s">
        <v>1165</v>
      </c>
      <c r="AB93" s="510"/>
      <c r="AC93" s="553" t="s">
        <v>1165</v>
      </c>
      <c r="AD93" s="510"/>
      <c r="AE93" s="553" t="s">
        <v>1165</v>
      </c>
      <c r="AF93" s="510"/>
      <c r="AG93" s="553" t="s">
        <v>1165</v>
      </c>
      <c r="AH93" s="510"/>
      <c r="AI93" s="553" t="s">
        <v>1165</v>
      </c>
      <c r="AJ93" s="510"/>
      <c r="AK93" s="553" t="s">
        <v>1165</v>
      </c>
      <c r="AL93" s="510"/>
      <c r="AM93" s="553" t="s">
        <v>1165</v>
      </c>
      <c r="AN93" s="510"/>
      <c r="AO93" s="553" t="s">
        <v>1165</v>
      </c>
      <c r="AP93" s="510"/>
      <c r="AQ93" s="553" t="s">
        <v>1165</v>
      </c>
      <c r="AR93" s="510"/>
      <c r="AS93" s="553" t="s">
        <v>1165</v>
      </c>
      <c r="AT93" s="510"/>
      <c r="AU93" s="553" t="s">
        <v>1165</v>
      </c>
      <c r="AV93" s="510"/>
      <c r="AW93" s="553" t="s">
        <v>1165</v>
      </c>
      <c r="AX93" s="510"/>
      <c r="AY93" s="553" t="s">
        <v>1165</v>
      </c>
      <c r="AZ93" s="510"/>
      <c r="BA93" s="130"/>
      <c r="BB93" s="130"/>
      <c r="BC93" s="130"/>
      <c r="BD93" s="130"/>
      <c r="BE93" s="130"/>
      <c r="BF93" s="130"/>
      <c r="BG93" s="130"/>
      <c r="BH93" s="130"/>
      <c r="BI93" s="130"/>
      <c r="BJ93" s="130"/>
      <c r="BK93" s="130"/>
      <c r="BL93" s="130"/>
      <c r="BM93" s="130"/>
      <c r="BN93" s="130"/>
      <c r="BO93" s="130"/>
      <c r="BP93" s="130"/>
      <c r="BQ93" s="130"/>
      <c r="BR93" s="130"/>
      <c r="BS93" s="130"/>
      <c r="BT93" s="130"/>
    </row>
    <row r="94" spans="1:72" ht="15.75" customHeight="1">
      <c r="A94" s="560" t="s">
        <v>1166</v>
      </c>
      <c r="B94" s="86" t="s">
        <v>1167</v>
      </c>
      <c r="C94" s="556">
        <v>1</v>
      </c>
      <c r="D94" s="510"/>
      <c r="E94" s="556">
        <v>1</v>
      </c>
      <c r="F94" s="510"/>
      <c r="G94" s="556">
        <v>1</v>
      </c>
      <c r="H94" s="510"/>
      <c r="I94" s="556">
        <v>1</v>
      </c>
      <c r="J94" s="510"/>
      <c r="K94" s="556">
        <v>1</v>
      </c>
      <c r="L94" s="510"/>
      <c r="M94" s="556">
        <v>1</v>
      </c>
      <c r="N94" s="510"/>
      <c r="O94" s="556">
        <v>1</v>
      </c>
      <c r="P94" s="510"/>
      <c r="Q94" s="556">
        <v>1</v>
      </c>
      <c r="R94" s="510"/>
      <c r="S94" s="556">
        <v>1</v>
      </c>
      <c r="T94" s="510"/>
      <c r="U94" s="556">
        <v>1</v>
      </c>
      <c r="V94" s="510"/>
      <c r="W94" s="556">
        <v>1</v>
      </c>
      <c r="X94" s="510"/>
      <c r="Y94" s="556">
        <v>1</v>
      </c>
      <c r="Z94" s="510"/>
      <c r="AA94" s="556">
        <v>1</v>
      </c>
      <c r="AB94" s="510"/>
      <c r="AC94" s="556">
        <v>1</v>
      </c>
      <c r="AD94" s="510"/>
      <c r="AE94" s="556">
        <v>1</v>
      </c>
      <c r="AF94" s="510"/>
      <c r="AG94" s="556">
        <v>1</v>
      </c>
      <c r="AH94" s="510"/>
      <c r="AI94" s="556">
        <v>1</v>
      </c>
      <c r="AJ94" s="510"/>
      <c r="AK94" s="556">
        <v>1</v>
      </c>
      <c r="AL94" s="510"/>
      <c r="AM94" s="556">
        <v>1</v>
      </c>
      <c r="AN94" s="510"/>
      <c r="AO94" s="556">
        <v>1</v>
      </c>
      <c r="AP94" s="510"/>
      <c r="AQ94" s="556">
        <v>1</v>
      </c>
      <c r="AR94" s="510"/>
      <c r="AS94" s="556">
        <v>1</v>
      </c>
      <c r="AT94" s="510"/>
      <c r="AU94" s="556">
        <v>1</v>
      </c>
      <c r="AV94" s="510"/>
      <c r="AW94" s="556">
        <v>1</v>
      </c>
      <c r="AX94" s="510"/>
      <c r="AY94" s="556">
        <v>1</v>
      </c>
      <c r="AZ94" s="510"/>
      <c r="BA94" s="130"/>
      <c r="BB94" s="130"/>
      <c r="BC94" s="130"/>
      <c r="BD94" s="130"/>
      <c r="BE94" s="130"/>
      <c r="BF94" s="130"/>
      <c r="BG94" s="130"/>
      <c r="BH94" s="130"/>
      <c r="BI94" s="130"/>
      <c r="BJ94" s="130"/>
      <c r="BK94" s="130"/>
      <c r="BL94" s="130"/>
      <c r="BM94" s="130"/>
      <c r="BN94" s="130"/>
      <c r="BO94" s="130"/>
      <c r="BP94" s="130"/>
      <c r="BQ94" s="130"/>
      <c r="BR94" s="130"/>
      <c r="BS94" s="130"/>
      <c r="BT94" s="130"/>
    </row>
    <row r="95" spans="1:72" ht="15.75" customHeight="1">
      <c r="A95" s="525"/>
      <c r="B95" s="135" t="s">
        <v>307</v>
      </c>
      <c r="C95" s="553"/>
      <c r="D95" s="510"/>
      <c r="E95" s="553"/>
      <c r="F95" s="510"/>
      <c r="G95" s="553"/>
      <c r="H95" s="510"/>
      <c r="I95" s="553"/>
      <c r="J95" s="510"/>
      <c r="K95" s="553"/>
      <c r="L95" s="510"/>
      <c r="M95" s="553"/>
      <c r="N95" s="510"/>
      <c r="O95" s="553"/>
      <c r="P95" s="510"/>
      <c r="Q95" s="553"/>
      <c r="R95" s="510"/>
      <c r="S95" s="553"/>
      <c r="T95" s="510"/>
      <c r="U95" s="553"/>
      <c r="V95" s="510"/>
      <c r="W95" s="553"/>
      <c r="X95" s="510"/>
      <c r="Y95" s="553"/>
      <c r="Z95" s="510"/>
      <c r="AA95" s="553"/>
      <c r="AB95" s="510"/>
      <c r="AC95" s="553"/>
      <c r="AD95" s="510"/>
      <c r="AE95" s="553"/>
      <c r="AF95" s="510"/>
      <c r="AG95" s="553"/>
      <c r="AH95" s="510"/>
      <c r="AI95" s="553"/>
      <c r="AJ95" s="510"/>
      <c r="AK95" s="553"/>
      <c r="AL95" s="510"/>
      <c r="AM95" s="553"/>
      <c r="AN95" s="510"/>
      <c r="AO95" s="553"/>
      <c r="AP95" s="510"/>
      <c r="AQ95" s="553"/>
      <c r="AR95" s="510"/>
      <c r="AS95" s="553"/>
      <c r="AT95" s="510"/>
      <c r="AU95" s="553"/>
      <c r="AV95" s="510"/>
      <c r="AW95" s="553"/>
      <c r="AX95" s="510"/>
      <c r="AY95" s="553"/>
      <c r="AZ95" s="510"/>
      <c r="BA95" s="130"/>
      <c r="BB95" s="130"/>
      <c r="BC95" s="130"/>
      <c r="BD95" s="130"/>
      <c r="BE95" s="130"/>
      <c r="BF95" s="130"/>
      <c r="BG95" s="130"/>
      <c r="BH95" s="130"/>
      <c r="BI95" s="130"/>
      <c r="BJ95" s="130"/>
      <c r="BK95" s="130"/>
      <c r="BL95" s="130"/>
      <c r="BM95" s="130"/>
      <c r="BN95" s="130"/>
      <c r="BO95" s="130"/>
      <c r="BP95" s="130"/>
      <c r="BQ95" s="130"/>
      <c r="BR95" s="130"/>
      <c r="BS95" s="130"/>
      <c r="BT95" s="130"/>
    </row>
    <row r="96" spans="1:72" ht="15" customHeight="1">
      <c r="A96" s="575" t="s">
        <v>1168</v>
      </c>
      <c r="B96" s="696" t="s">
        <v>1169</v>
      </c>
      <c r="C96" s="613">
        <v>1</v>
      </c>
      <c r="D96" s="510"/>
      <c r="E96" s="613">
        <v>2</v>
      </c>
      <c r="F96" s="510"/>
      <c r="G96" s="613">
        <v>3</v>
      </c>
      <c r="H96" s="510"/>
      <c r="I96" s="613">
        <v>4</v>
      </c>
      <c r="J96" s="510"/>
      <c r="K96" s="613">
        <v>5</v>
      </c>
      <c r="L96" s="510"/>
      <c r="M96" s="613">
        <v>6</v>
      </c>
      <c r="N96" s="510"/>
      <c r="O96" s="613">
        <v>7</v>
      </c>
      <c r="P96" s="510"/>
      <c r="Q96" s="613">
        <v>8</v>
      </c>
      <c r="R96" s="510"/>
      <c r="S96" s="613">
        <v>9</v>
      </c>
      <c r="T96" s="510"/>
      <c r="U96" s="613">
        <v>10</v>
      </c>
      <c r="V96" s="510"/>
      <c r="W96" s="613">
        <v>11</v>
      </c>
      <c r="X96" s="510"/>
      <c r="Y96" s="613">
        <v>12</v>
      </c>
      <c r="Z96" s="510"/>
      <c r="AA96" s="613">
        <v>13</v>
      </c>
      <c r="AB96" s="510"/>
      <c r="AC96" s="613">
        <v>14</v>
      </c>
      <c r="AD96" s="510"/>
      <c r="AE96" s="613">
        <v>15</v>
      </c>
      <c r="AF96" s="510"/>
      <c r="AG96" s="613">
        <v>16</v>
      </c>
      <c r="AH96" s="510"/>
      <c r="AI96" s="613">
        <v>17</v>
      </c>
      <c r="AJ96" s="510"/>
      <c r="AK96" s="613">
        <v>18</v>
      </c>
      <c r="AL96" s="510"/>
      <c r="AM96" s="613">
        <v>19</v>
      </c>
      <c r="AN96" s="510"/>
      <c r="AO96" s="613">
        <v>20</v>
      </c>
      <c r="AP96" s="510"/>
      <c r="AQ96" s="613">
        <v>21</v>
      </c>
      <c r="AR96" s="510"/>
      <c r="AS96" s="613">
        <v>22</v>
      </c>
      <c r="AT96" s="510"/>
      <c r="AU96" s="613">
        <v>23</v>
      </c>
      <c r="AV96" s="510"/>
      <c r="AW96" s="613">
        <v>24</v>
      </c>
      <c r="AX96" s="510"/>
      <c r="AY96" s="613">
        <v>25</v>
      </c>
      <c r="AZ96" s="510"/>
      <c r="BA96" s="130"/>
      <c r="BB96" s="130"/>
      <c r="BC96" s="130"/>
      <c r="BD96" s="130"/>
      <c r="BE96" s="130"/>
      <c r="BF96" s="130"/>
      <c r="BG96" s="130"/>
      <c r="BH96" s="130"/>
      <c r="BI96" s="130"/>
      <c r="BJ96" s="130"/>
      <c r="BK96" s="130"/>
      <c r="BL96" s="130"/>
      <c r="BM96" s="130"/>
      <c r="BN96" s="130"/>
      <c r="BO96" s="130"/>
      <c r="BP96" s="130"/>
      <c r="BQ96" s="130"/>
      <c r="BR96" s="130"/>
      <c r="BS96" s="130"/>
      <c r="BT96" s="130"/>
    </row>
    <row r="97" spans="1:72" ht="15.75" customHeight="1">
      <c r="A97" s="525"/>
      <c r="B97" s="525"/>
      <c r="C97" s="154" t="s">
        <v>300</v>
      </c>
      <c r="D97" s="154" t="s">
        <v>301</v>
      </c>
      <c r="E97" s="154" t="s">
        <v>300</v>
      </c>
      <c r="F97" s="154" t="s">
        <v>301</v>
      </c>
      <c r="G97" s="154" t="s">
        <v>300</v>
      </c>
      <c r="H97" s="154" t="s">
        <v>301</v>
      </c>
      <c r="I97" s="154" t="s">
        <v>300</v>
      </c>
      <c r="J97" s="154" t="s">
        <v>301</v>
      </c>
      <c r="K97" s="154" t="s">
        <v>300</v>
      </c>
      <c r="L97" s="154" t="s">
        <v>301</v>
      </c>
      <c r="M97" s="154" t="s">
        <v>300</v>
      </c>
      <c r="N97" s="154" t="s">
        <v>301</v>
      </c>
      <c r="O97" s="154" t="s">
        <v>300</v>
      </c>
      <c r="P97" s="154" t="s">
        <v>301</v>
      </c>
      <c r="Q97" s="154" t="s">
        <v>300</v>
      </c>
      <c r="R97" s="154" t="s">
        <v>301</v>
      </c>
      <c r="S97" s="154" t="s">
        <v>300</v>
      </c>
      <c r="T97" s="154" t="s">
        <v>301</v>
      </c>
      <c r="U97" s="154" t="s">
        <v>300</v>
      </c>
      <c r="V97" s="154" t="s">
        <v>301</v>
      </c>
      <c r="W97" s="154" t="s">
        <v>300</v>
      </c>
      <c r="X97" s="154" t="s">
        <v>301</v>
      </c>
      <c r="Y97" s="154" t="s">
        <v>300</v>
      </c>
      <c r="Z97" s="154" t="s">
        <v>301</v>
      </c>
      <c r="AA97" s="154" t="s">
        <v>300</v>
      </c>
      <c r="AB97" s="154" t="s">
        <v>301</v>
      </c>
      <c r="AC97" s="154" t="s">
        <v>300</v>
      </c>
      <c r="AD97" s="154" t="s">
        <v>301</v>
      </c>
      <c r="AE97" s="154" t="s">
        <v>300</v>
      </c>
      <c r="AF97" s="154" t="s">
        <v>301</v>
      </c>
      <c r="AG97" s="154" t="s">
        <v>300</v>
      </c>
      <c r="AH97" s="154" t="s">
        <v>301</v>
      </c>
      <c r="AI97" s="154" t="s">
        <v>300</v>
      </c>
      <c r="AJ97" s="154" t="s">
        <v>301</v>
      </c>
      <c r="AK97" s="154" t="s">
        <v>300</v>
      </c>
      <c r="AL97" s="154" t="s">
        <v>301</v>
      </c>
      <c r="AM97" s="154" t="s">
        <v>300</v>
      </c>
      <c r="AN97" s="154" t="s">
        <v>301</v>
      </c>
      <c r="AO97" s="154" t="s">
        <v>300</v>
      </c>
      <c r="AP97" s="154" t="s">
        <v>301</v>
      </c>
      <c r="AQ97" s="154" t="s">
        <v>300</v>
      </c>
      <c r="AR97" s="154" t="s">
        <v>301</v>
      </c>
      <c r="AS97" s="154" t="s">
        <v>300</v>
      </c>
      <c r="AT97" s="154" t="s">
        <v>301</v>
      </c>
      <c r="AU97" s="154" t="s">
        <v>300</v>
      </c>
      <c r="AV97" s="154" t="s">
        <v>301</v>
      </c>
      <c r="AW97" s="154" t="s">
        <v>300</v>
      </c>
      <c r="AX97" s="154" t="s">
        <v>301</v>
      </c>
      <c r="AY97" s="154" t="s">
        <v>300</v>
      </c>
      <c r="AZ97" s="154" t="s">
        <v>301</v>
      </c>
      <c r="BA97" s="130"/>
      <c r="BB97" s="130"/>
      <c r="BC97" s="130"/>
      <c r="BD97" s="130"/>
      <c r="BE97" s="130"/>
      <c r="BF97" s="130"/>
      <c r="BG97" s="130"/>
      <c r="BH97" s="130"/>
      <c r="BI97" s="130"/>
      <c r="BJ97" s="130"/>
      <c r="BK97" s="130"/>
      <c r="BL97" s="130"/>
      <c r="BM97" s="130"/>
      <c r="BN97" s="130"/>
      <c r="BO97" s="130"/>
      <c r="BP97" s="130"/>
      <c r="BQ97" s="130"/>
      <c r="BR97" s="130"/>
      <c r="BS97" s="130"/>
      <c r="BT97" s="130"/>
    </row>
    <row r="98" spans="1:72" ht="15.75" customHeight="1">
      <c r="A98" s="560" t="s">
        <v>505</v>
      </c>
      <c r="B98" s="316" t="s">
        <v>1170</v>
      </c>
      <c r="C98" s="573"/>
      <c r="D98" s="510"/>
      <c r="E98" s="573"/>
      <c r="F98" s="510"/>
      <c r="G98" s="573"/>
      <c r="H98" s="510"/>
      <c r="I98" s="573"/>
      <c r="J98" s="510"/>
      <c r="K98" s="573"/>
      <c r="L98" s="510"/>
      <c r="M98" s="573"/>
      <c r="N98" s="510"/>
      <c r="O98" s="573"/>
      <c r="P98" s="510"/>
      <c r="Q98" s="573"/>
      <c r="R98" s="510"/>
      <c r="S98" s="573"/>
      <c r="T98" s="510"/>
      <c r="U98" s="573"/>
      <c r="V98" s="510"/>
      <c r="W98" s="573"/>
      <c r="X98" s="510"/>
      <c r="Y98" s="573"/>
      <c r="Z98" s="510"/>
      <c r="AA98" s="573"/>
      <c r="AB98" s="510"/>
      <c r="AC98" s="573"/>
      <c r="AD98" s="510"/>
      <c r="AE98" s="573"/>
      <c r="AF98" s="510"/>
      <c r="AG98" s="573"/>
      <c r="AH98" s="510"/>
      <c r="AI98" s="573"/>
      <c r="AJ98" s="510"/>
      <c r="AK98" s="573"/>
      <c r="AL98" s="510"/>
      <c r="AM98" s="573"/>
      <c r="AN98" s="510"/>
      <c r="AO98" s="573"/>
      <c r="AP98" s="510"/>
      <c r="AQ98" s="573"/>
      <c r="AR98" s="510"/>
      <c r="AS98" s="573"/>
      <c r="AT98" s="510"/>
      <c r="AU98" s="573"/>
      <c r="AV98" s="510"/>
      <c r="AW98" s="573"/>
      <c r="AX98" s="510"/>
      <c r="AY98" s="573"/>
      <c r="AZ98" s="510"/>
      <c r="BA98" s="130"/>
      <c r="BB98" s="130"/>
      <c r="BC98" s="130"/>
      <c r="BD98" s="130"/>
      <c r="BE98" s="130"/>
      <c r="BF98" s="130"/>
      <c r="BG98" s="130"/>
      <c r="BH98" s="130"/>
      <c r="BI98" s="130"/>
      <c r="BJ98" s="130"/>
      <c r="BK98" s="130"/>
      <c r="BL98" s="130"/>
      <c r="BM98" s="130"/>
      <c r="BN98" s="130"/>
      <c r="BO98" s="130"/>
      <c r="BP98" s="130"/>
      <c r="BQ98" s="130"/>
      <c r="BR98" s="130"/>
      <c r="BS98" s="130"/>
      <c r="BT98" s="130"/>
    </row>
    <row r="99" spans="1:72" ht="15.75" customHeight="1">
      <c r="A99" s="524"/>
      <c r="B99" s="93" t="s">
        <v>1081</v>
      </c>
      <c r="C99" s="556">
        <v>1</v>
      </c>
      <c r="D99" s="510"/>
      <c r="E99" s="556">
        <v>0</v>
      </c>
      <c r="F99" s="510"/>
      <c r="G99" s="556">
        <v>1</v>
      </c>
      <c r="H99" s="510"/>
      <c r="I99" s="556">
        <v>1</v>
      </c>
      <c r="J99" s="510"/>
      <c r="K99" s="556">
        <v>1</v>
      </c>
      <c r="L99" s="510"/>
      <c r="M99" s="556">
        <v>0</v>
      </c>
      <c r="N99" s="510"/>
      <c r="O99" s="556">
        <v>0</v>
      </c>
      <c r="P99" s="510"/>
      <c r="Q99" s="556">
        <v>1</v>
      </c>
      <c r="R99" s="510"/>
      <c r="S99" s="556">
        <v>1</v>
      </c>
      <c r="T99" s="510"/>
      <c r="U99" s="556">
        <v>0</v>
      </c>
      <c r="V99" s="510"/>
      <c r="W99" s="556">
        <v>0</v>
      </c>
      <c r="X99" s="510"/>
      <c r="Y99" s="556">
        <v>0</v>
      </c>
      <c r="Z99" s="510"/>
      <c r="AA99" s="556">
        <v>0</v>
      </c>
      <c r="AB99" s="510"/>
      <c r="AC99" s="705"/>
      <c r="AD99" s="510"/>
      <c r="AE99" s="556">
        <v>0</v>
      </c>
      <c r="AF99" s="510"/>
      <c r="AG99" s="556">
        <v>1</v>
      </c>
      <c r="AH99" s="510"/>
      <c r="AI99" s="556">
        <v>0</v>
      </c>
      <c r="AJ99" s="510"/>
      <c r="AK99" s="556">
        <v>0</v>
      </c>
      <c r="AL99" s="510"/>
      <c r="AM99" s="556">
        <v>0</v>
      </c>
      <c r="AN99" s="510"/>
      <c r="AO99" s="556">
        <v>1</v>
      </c>
      <c r="AP99" s="510"/>
      <c r="AQ99" s="556">
        <v>0</v>
      </c>
      <c r="AR99" s="510"/>
      <c r="AS99" s="556">
        <v>1</v>
      </c>
      <c r="AT99" s="510"/>
      <c r="AU99" s="556">
        <v>0</v>
      </c>
      <c r="AV99" s="510"/>
      <c r="AW99" s="556">
        <v>0</v>
      </c>
      <c r="AX99" s="510"/>
      <c r="AY99" s="556">
        <v>0</v>
      </c>
      <c r="AZ99" s="510"/>
      <c r="BA99" s="130"/>
      <c r="BB99" s="130"/>
      <c r="BC99" s="130"/>
      <c r="BD99" s="130"/>
      <c r="BE99" s="130"/>
      <c r="BF99" s="130"/>
      <c r="BG99" s="130"/>
      <c r="BH99" s="130"/>
      <c r="BI99" s="130"/>
      <c r="BJ99" s="130"/>
      <c r="BK99" s="130"/>
      <c r="BL99" s="130"/>
      <c r="BM99" s="130"/>
      <c r="BN99" s="130"/>
      <c r="BO99" s="130"/>
      <c r="BP99" s="130"/>
      <c r="BQ99" s="130"/>
      <c r="BR99" s="130"/>
      <c r="BS99" s="130"/>
      <c r="BT99" s="130"/>
    </row>
    <row r="100" spans="1:72" ht="15.75" customHeight="1">
      <c r="A100" s="524"/>
      <c r="B100" s="93" t="s">
        <v>1171</v>
      </c>
      <c r="C100" s="556">
        <v>0</v>
      </c>
      <c r="D100" s="510"/>
      <c r="E100" s="556">
        <v>0</v>
      </c>
      <c r="F100" s="510"/>
      <c r="G100" s="556">
        <v>0</v>
      </c>
      <c r="H100" s="510"/>
      <c r="I100" s="556">
        <v>0</v>
      </c>
      <c r="J100" s="510"/>
      <c r="K100" s="556">
        <v>0</v>
      </c>
      <c r="L100" s="510"/>
      <c r="M100" s="556">
        <v>0</v>
      </c>
      <c r="N100" s="510"/>
      <c r="O100" s="556">
        <v>0</v>
      </c>
      <c r="P100" s="510"/>
      <c r="Q100" s="556">
        <v>0</v>
      </c>
      <c r="R100" s="510"/>
      <c r="S100" s="556">
        <v>0</v>
      </c>
      <c r="T100" s="510"/>
      <c r="U100" s="556">
        <v>0</v>
      </c>
      <c r="V100" s="510"/>
      <c r="W100" s="556">
        <v>0</v>
      </c>
      <c r="X100" s="510"/>
      <c r="Y100" s="556">
        <v>0</v>
      </c>
      <c r="Z100" s="510"/>
      <c r="AA100" s="556">
        <v>0</v>
      </c>
      <c r="AB100" s="510"/>
      <c r="AC100" s="705"/>
      <c r="AD100" s="510"/>
      <c r="AE100" s="556">
        <v>0</v>
      </c>
      <c r="AF100" s="510"/>
      <c r="AG100" s="556">
        <v>0</v>
      </c>
      <c r="AH100" s="510"/>
      <c r="AI100" s="556">
        <v>0</v>
      </c>
      <c r="AJ100" s="510"/>
      <c r="AK100" s="556">
        <v>0</v>
      </c>
      <c r="AL100" s="510"/>
      <c r="AM100" s="556">
        <v>0</v>
      </c>
      <c r="AN100" s="510"/>
      <c r="AO100" s="556">
        <v>0</v>
      </c>
      <c r="AP100" s="510"/>
      <c r="AQ100" s="556">
        <v>0</v>
      </c>
      <c r="AR100" s="510"/>
      <c r="AS100" s="556">
        <v>0</v>
      </c>
      <c r="AT100" s="510"/>
      <c r="AU100" s="556">
        <v>0</v>
      </c>
      <c r="AV100" s="510"/>
      <c r="AW100" s="556">
        <v>0</v>
      </c>
      <c r="AX100" s="510"/>
      <c r="AY100" s="556">
        <v>0</v>
      </c>
      <c r="AZ100" s="510"/>
      <c r="BA100" s="130"/>
      <c r="BB100" s="130"/>
      <c r="BC100" s="130"/>
      <c r="BD100" s="130"/>
      <c r="BE100" s="130"/>
      <c r="BF100" s="130"/>
      <c r="BG100" s="130"/>
      <c r="BH100" s="130"/>
      <c r="BI100" s="130"/>
      <c r="BJ100" s="130"/>
      <c r="BK100" s="130"/>
      <c r="BL100" s="130"/>
      <c r="BM100" s="130"/>
      <c r="BN100" s="130"/>
      <c r="BO100" s="130"/>
      <c r="BP100" s="130"/>
      <c r="BQ100" s="130"/>
      <c r="BR100" s="130"/>
      <c r="BS100" s="130"/>
      <c r="BT100" s="130"/>
    </row>
    <row r="101" spans="1:72" ht="15.75" customHeight="1">
      <c r="A101" s="524"/>
      <c r="B101" s="93" t="s">
        <v>1172</v>
      </c>
      <c r="C101" s="556">
        <v>0</v>
      </c>
      <c r="D101" s="510"/>
      <c r="E101" s="556">
        <v>0</v>
      </c>
      <c r="F101" s="510"/>
      <c r="G101" s="556">
        <v>0</v>
      </c>
      <c r="H101" s="510"/>
      <c r="I101" s="556">
        <v>0</v>
      </c>
      <c r="J101" s="510"/>
      <c r="K101" s="556">
        <v>0</v>
      </c>
      <c r="L101" s="510"/>
      <c r="M101" s="556">
        <v>0</v>
      </c>
      <c r="N101" s="510"/>
      <c r="O101" s="556">
        <v>0</v>
      </c>
      <c r="P101" s="510"/>
      <c r="Q101" s="556">
        <v>0</v>
      </c>
      <c r="R101" s="510"/>
      <c r="S101" s="556">
        <v>0</v>
      </c>
      <c r="T101" s="510"/>
      <c r="U101" s="556">
        <v>0</v>
      </c>
      <c r="V101" s="510"/>
      <c r="W101" s="556">
        <v>0</v>
      </c>
      <c r="X101" s="510"/>
      <c r="Y101" s="556">
        <v>0</v>
      </c>
      <c r="Z101" s="510"/>
      <c r="AA101" s="556">
        <v>0</v>
      </c>
      <c r="AB101" s="510"/>
      <c r="AC101" s="705"/>
      <c r="AD101" s="510"/>
      <c r="AE101" s="556">
        <v>0</v>
      </c>
      <c r="AF101" s="510"/>
      <c r="AG101" s="556">
        <v>0</v>
      </c>
      <c r="AH101" s="510"/>
      <c r="AI101" s="556">
        <v>0</v>
      </c>
      <c r="AJ101" s="510"/>
      <c r="AK101" s="556">
        <v>0</v>
      </c>
      <c r="AL101" s="510"/>
      <c r="AM101" s="556">
        <v>0</v>
      </c>
      <c r="AN101" s="510"/>
      <c r="AO101" s="556">
        <v>0</v>
      </c>
      <c r="AP101" s="510"/>
      <c r="AQ101" s="556">
        <v>0</v>
      </c>
      <c r="AR101" s="510"/>
      <c r="AS101" s="556">
        <v>0</v>
      </c>
      <c r="AT101" s="510"/>
      <c r="AU101" s="556">
        <v>0</v>
      </c>
      <c r="AV101" s="510"/>
      <c r="AW101" s="556">
        <v>0</v>
      </c>
      <c r="AX101" s="510"/>
      <c r="AY101" s="556">
        <v>0</v>
      </c>
      <c r="AZ101" s="510"/>
      <c r="BA101" s="130"/>
      <c r="BB101" s="130"/>
      <c r="BC101" s="130"/>
      <c r="BD101" s="130"/>
      <c r="BE101" s="130"/>
      <c r="BF101" s="130"/>
      <c r="BG101" s="130"/>
      <c r="BH101" s="130"/>
      <c r="BI101" s="130"/>
      <c r="BJ101" s="130"/>
      <c r="BK101" s="130"/>
      <c r="BL101" s="130"/>
      <c r="BM101" s="130"/>
      <c r="BN101" s="130"/>
      <c r="BO101" s="130"/>
      <c r="BP101" s="130"/>
      <c r="BQ101" s="130"/>
      <c r="BR101" s="130"/>
      <c r="BS101" s="130"/>
      <c r="BT101" s="130"/>
    </row>
    <row r="102" spans="1:72" ht="15.75" customHeight="1">
      <c r="A102" s="524"/>
      <c r="B102" s="93" t="s">
        <v>1173</v>
      </c>
      <c r="C102" s="556">
        <v>0</v>
      </c>
      <c r="D102" s="510"/>
      <c r="E102" s="556">
        <v>0</v>
      </c>
      <c r="F102" s="510"/>
      <c r="G102" s="556">
        <v>0</v>
      </c>
      <c r="H102" s="510"/>
      <c r="I102" s="556">
        <v>0</v>
      </c>
      <c r="J102" s="510"/>
      <c r="K102" s="556">
        <v>1</v>
      </c>
      <c r="L102" s="510"/>
      <c r="M102" s="556">
        <v>1</v>
      </c>
      <c r="N102" s="510"/>
      <c r="O102" s="556">
        <v>0</v>
      </c>
      <c r="P102" s="510"/>
      <c r="Q102" s="556">
        <v>0</v>
      </c>
      <c r="R102" s="510"/>
      <c r="S102" s="556">
        <v>0</v>
      </c>
      <c r="T102" s="510"/>
      <c r="U102" s="556">
        <v>0</v>
      </c>
      <c r="V102" s="510"/>
      <c r="W102" s="556">
        <v>0</v>
      </c>
      <c r="X102" s="510"/>
      <c r="Y102" s="556">
        <v>0</v>
      </c>
      <c r="Z102" s="510"/>
      <c r="AA102" s="556">
        <v>0</v>
      </c>
      <c r="AB102" s="510"/>
      <c r="AC102" s="705"/>
      <c r="AD102" s="510"/>
      <c r="AE102" s="556">
        <v>0</v>
      </c>
      <c r="AF102" s="510"/>
      <c r="AG102" s="556">
        <v>0</v>
      </c>
      <c r="AH102" s="510"/>
      <c r="AI102" s="556">
        <v>0</v>
      </c>
      <c r="AJ102" s="510"/>
      <c r="AK102" s="556">
        <v>0</v>
      </c>
      <c r="AL102" s="510"/>
      <c r="AM102" s="556">
        <v>0</v>
      </c>
      <c r="AN102" s="510"/>
      <c r="AO102" s="556">
        <v>0</v>
      </c>
      <c r="AP102" s="510"/>
      <c r="AQ102" s="556">
        <v>0</v>
      </c>
      <c r="AR102" s="510"/>
      <c r="AS102" s="556">
        <v>0</v>
      </c>
      <c r="AT102" s="510"/>
      <c r="AU102" s="556">
        <v>0</v>
      </c>
      <c r="AV102" s="510"/>
      <c r="AW102" s="556">
        <v>0</v>
      </c>
      <c r="AX102" s="510"/>
      <c r="AY102" s="556">
        <v>0</v>
      </c>
      <c r="AZ102" s="510"/>
      <c r="BA102" s="130"/>
      <c r="BB102" s="130"/>
      <c r="BC102" s="130"/>
      <c r="BD102" s="130"/>
      <c r="BE102" s="130"/>
      <c r="BF102" s="130"/>
      <c r="BG102" s="130"/>
      <c r="BH102" s="130"/>
      <c r="BI102" s="130"/>
      <c r="BJ102" s="130"/>
      <c r="BK102" s="130"/>
      <c r="BL102" s="130"/>
      <c r="BM102" s="130"/>
      <c r="BN102" s="130"/>
      <c r="BO102" s="130"/>
      <c r="BP102" s="130"/>
      <c r="BQ102" s="130"/>
      <c r="BR102" s="130"/>
      <c r="BS102" s="130"/>
      <c r="BT102" s="130"/>
    </row>
    <row r="103" spans="1:72" ht="15.75" customHeight="1">
      <c r="A103" s="524"/>
      <c r="B103" s="93" t="s">
        <v>1082</v>
      </c>
      <c r="C103" s="556">
        <v>1</v>
      </c>
      <c r="D103" s="510"/>
      <c r="E103" s="556">
        <v>1</v>
      </c>
      <c r="F103" s="510"/>
      <c r="G103" s="556">
        <v>1</v>
      </c>
      <c r="H103" s="510"/>
      <c r="I103" s="556">
        <v>1</v>
      </c>
      <c r="J103" s="510"/>
      <c r="K103" s="556">
        <v>1</v>
      </c>
      <c r="L103" s="510"/>
      <c r="M103" s="556">
        <v>1</v>
      </c>
      <c r="N103" s="510"/>
      <c r="O103" s="556">
        <v>1</v>
      </c>
      <c r="P103" s="510"/>
      <c r="Q103" s="556">
        <v>1</v>
      </c>
      <c r="R103" s="510"/>
      <c r="S103" s="556">
        <v>1</v>
      </c>
      <c r="T103" s="510"/>
      <c r="U103" s="556">
        <v>1</v>
      </c>
      <c r="V103" s="510"/>
      <c r="W103" s="556">
        <v>1</v>
      </c>
      <c r="X103" s="510"/>
      <c r="Y103" s="556">
        <v>1</v>
      </c>
      <c r="Z103" s="510"/>
      <c r="AA103" s="556">
        <v>0</v>
      </c>
      <c r="AB103" s="510"/>
      <c r="AC103" s="705"/>
      <c r="AD103" s="510"/>
      <c r="AE103" s="556">
        <v>1</v>
      </c>
      <c r="AF103" s="510"/>
      <c r="AG103" s="556">
        <v>1</v>
      </c>
      <c r="AH103" s="510"/>
      <c r="AI103" s="556">
        <v>1</v>
      </c>
      <c r="AJ103" s="510"/>
      <c r="AK103" s="556">
        <v>0</v>
      </c>
      <c r="AL103" s="510"/>
      <c r="AM103" s="556">
        <v>1</v>
      </c>
      <c r="AN103" s="510"/>
      <c r="AO103" s="556">
        <v>1</v>
      </c>
      <c r="AP103" s="510"/>
      <c r="AQ103" s="556">
        <v>1</v>
      </c>
      <c r="AR103" s="510"/>
      <c r="AS103" s="556">
        <v>1</v>
      </c>
      <c r="AT103" s="510"/>
      <c r="AU103" s="556">
        <v>1</v>
      </c>
      <c r="AV103" s="510"/>
      <c r="AW103" s="556">
        <v>1</v>
      </c>
      <c r="AX103" s="510"/>
      <c r="AY103" s="556">
        <v>1</v>
      </c>
      <c r="AZ103" s="510"/>
      <c r="BA103" s="130"/>
      <c r="BB103" s="130"/>
      <c r="BC103" s="130"/>
      <c r="BD103" s="130"/>
      <c r="BE103" s="130"/>
      <c r="BF103" s="130"/>
      <c r="BG103" s="130"/>
      <c r="BH103" s="130"/>
      <c r="BI103" s="130"/>
      <c r="BJ103" s="130"/>
      <c r="BK103" s="130"/>
      <c r="BL103" s="130"/>
      <c r="BM103" s="130"/>
      <c r="BN103" s="130"/>
      <c r="BO103" s="130"/>
      <c r="BP103" s="130"/>
      <c r="BQ103" s="130"/>
      <c r="BR103" s="130"/>
      <c r="BS103" s="130"/>
      <c r="BT103" s="130"/>
    </row>
    <row r="104" spans="1:72" ht="15.75" customHeight="1">
      <c r="A104" s="524"/>
      <c r="B104" s="93" t="s">
        <v>1174</v>
      </c>
      <c r="C104" s="556">
        <v>0</v>
      </c>
      <c r="D104" s="510"/>
      <c r="E104" s="556">
        <v>0</v>
      </c>
      <c r="F104" s="510"/>
      <c r="G104" s="556">
        <v>1</v>
      </c>
      <c r="H104" s="510"/>
      <c r="I104" s="556">
        <v>1</v>
      </c>
      <c r="J104" s="510"/>
      <c r="K104" s="556">
        <v>1</v>
      </c>
      <c r="L104" s="510"/>
      <c r="M104" s="556">
        <v>1</v>
      </c>
      <c r="N104" s="510"/>
      <c r="O104" s="556">
        <v>1</v>
      </c>
      <c r="P104" s="510"/>
      <c r="Q104" s="556">
        <v>1</v>
      </c>
      <c r="R104" s="510"/>
      <c r="S104" s="556">
        <v>0</v>
      </c>
      <c r="T104" s="510"/>
      <c r="U104" s="556">
        <v>1</v>
      </c>
      <c r="V104" s="510"/>
      <c r="W104" s="556">
        <v>1</v>
      </c>
      <c r="X104" s="510"/>
      <c r="Y104" s="556">
        <v>1</v>
      </c>
      <c r="Z104" s="510"/>
      <c r="AA104" s="556">
        <v>0</v>
      </c>
      <c r="AB104" s="510"/>
      <c r="AC104" s="705"/>
      <c r="AD104" s="510"/>
      <c r="AE104" s="556">
        <v>0</v>
      </c>
      <c r="AF104" s="510"/>
      <c r="AG104" s="556">
        <v>0</v>
      </c>
      <c r="AH104" s="510"/>
      <c r="AI104" s="556">
        <v>0</v>
      </c>
      <c r="AJ104" s="510"/>
      <c r="AK104" s="556">
        <v>0</v>
      </c>
      <c r="AL104" s="510"/>
      <c r="AM104" s="556">
        <v>0</v>
      </c>
      <c r="AN104" s="510"/>
      <c r="AO104" s="556">
        <v>0</v>
      </c>
      <c r="AP104" s="510"/>
      <c r="AQ104" s="556">
        <v>0</v>
      </c>
      <c r="AR104" s="510"/>
      <c r="AS104" s="556">
        <v>1</v>
      </c>
      <c r="AT104" s="510"/>
      <c r="AU104" s="556">
        <v>0</v>
      </c>
      <c r="AV104" s="510"/>
      <c r="AW104" s="556">
        <v>0</v>
      </c>
      <c r="AX104" s="510"/>
      <c r="AY104" s="556">
        <v>1</v>
      </c>
      <c r="AZ104" s="510"/>
      <c r="BA104" s="130"/>
      <c r="BB104" s="130"/>
      <c r="BC104" s="130"/>
      <c r="BD104" s="130"/>
      <c r="BE104" s="130"/>
      <c r="BF104" s="130"/>
      <c r="BG104" s="130"/>
      <c r="BH104" s="130"/>
      <c r="BI104" s="130"/>
      <c r="BJ104" s="130"/>
      <c r="BK104" s="130"/>
      <c r="BL104" s="130"/>
      <c r="BM104" s="130"/>
      <c r="BN104" s="130"/>
      <c r="BO104" s="130"/>
      <c r="BP104" s="130"/>
      <c r="BQ104" s="130"/>
      <c r="BR104" s="130"/>
      <c r="BS104" s="130"/>
      <c r="BT104" s="130"/>
    </row>
    <row r="105" spans="1:72" ht="15.75" customHeight="1">
      <c r="A105" s="524"/>
      <c r="B105" s="93" t="s">
        <v>1083</v>
      </c>
      <c r="C105" s="556">
        <v>0</v>
      </c>
      <c r="D105" s="510"/>
      <c r="E105" s="556">
        <v>0</v>
      </c>
      <c r="F105" s="510"/>
      <c r="G105" s="556">
        <v>1</v>
      </c>
      <c r="H105" s="510"/>
      <c r="I105" s="556">
        <v>0</v>
      </c>
      <c r="J105" s="510"/>
      <c r="K105" s="556">
        <v>1</v>
      </c>
      <c r="L105" s="510"/>
      <c r="M105" s="556">
        <v>0</v>
      </c>
      <c r="N105" s="510"/>
      <c r="O105" s="556">
        <v>0</v>
      </c>
      <c r="P105" s="510"/>
      <c r="Q105" s="556">
        <v>0</v>
      </c>
      <c r="R105" s="510"/>
      <c r="S105" s="556">
        <v>1</v>
      </c>
      <c r="T105" s="510"/>
      <c r="U105" s="556">
        <v>1</v>
      </c>
      <c r="V105" s="510"/>
      <c r="W105" s="556">
        <v>1</v>
      </c>
      <c r="X105" s="510"/>
      <c r="Y105" s="556">
        <v>1</v>
      </c>
      <c r="Z105" s="510"/>
      <c r="AA105" s="556">
        <v>1</v>
      </c>
      <c r="AB105" s="510"/>
      <c r="AC105" s="705"/>
      <c r="AD105" s="510"/>
      <c r="AE105" s="556">
        <v>0</v>
      </c>
      <c r="AF105" s="510"/>
      <c r="AG105" s="556">
        <v>0</v>
      </c>
      <c r="AH105" s="510"/>
      <c r="AI105" s="556">
        <v>1</v>
      </c>
      <c r="AJ105" s="510"/>
      <c r="AK105" s="556">
        <v>1</v>
      </c>
      <c r="AL105" s="510"/>
      <c r="AM105" s="556">
        <v>0</v>
      </c>
      <c r="AN105" s="510"/>
      <c r="AO105" s="556">
        <v>0</v>
      </c>
      <c r="AP105" s="510"/>
      <c r="AQ105" s="556">
        <v>1</v>
      </c>
      <c r="AR105" s="510"/>
      <c r="AS105" s="556">
        <v>0</v>
      </c>
      <c r="AT105" s="510"/>
      <c r="AU105" s="556">
        <v>1</v>
      </c>
      <c r="AV105" s="510"/>
      <c r="AW105" s="556">
        <v>0</v>
      </c>
      <c r="AX105" s="510"/>
      <c r="AY105" s="556">
        <v>0</v>
      </c>
      <c r="AZ105" s="510"/>
      <c r="BA105" s="130"/>
      <c r="BB105" s="130"/>
      <c r="BC105" s="130"/>
      <c r="BD105" s="130"/>
      <c r="BE105" s="130"/>
      <c r="BF105" s="130"/>
      <c r="BG105" s="130"/>
      <c r="BH105" s="130"/>
      <c r="BI105" s="130"/>
      <c r="BJ105" s="130"/>
      <c r="BK105" s="130"/>
      <c r="BL105" s="130"/>
      <c r="BM105" s="130"/>
      <c r="BN105" s="130"/>
      <c r="BO105" s="130"/>
      <c r="BP105" s="130"/>
      <c r="BQ105" s="130"/>
      <c r="BR105" s="130"/>
      <c r="BS105" s="130"/>
      <c r="BT105" s="130"/>
    </row>
    <row r="106" spans="1:72" ht="15.75" customHeight="1">
      <c r="A106" s="524"/>
      <c r="B106" s="93" t="s">
        <v>1175</v>
      </c>
      <c r="C106" s="556">
        <v>0</v>
      </c>
      <c r="D106" s="510"/>
      <c r="E106" s="556">
        <v>0</v>
      </c>
      <c r="F106" s="510"/>
      <c r="G106" s="556">
        <v>0</v>
      </c>
      <c r="H106" s="510"/>
      <c r="I106" s="556">
        <v>0</v>
      </c>
      <c r="J106" s="510"/>
      <c r="K106" s="556">
        <v>0</v>
      </c>
      <c r="L106" s="510"/>
      <c r="M106" s="556">
        <v>0</v>
      </c>
      <c r="N106" s="510"/>
      <c r="O106" s="556">
        <v>0</v>
      </c>
      <c r="P106" s="510"/>
      <c r="Q106" s="556">
        <v>0</v>
      </c>
      <c r="R106" s="510"/>
      <c r="S106" s="556">
        <v>0</v>
      </c>
      <c r="T106" s="510"/>
      <c r="U106" s="556">
        <v>0</v>
      </c>
      <c r="V106" s="510"/>
      <c r="W106" s="556">
        <v>0</v>
      </c>
      <c r="X106" s="510"/>
      <c r="Y106" s="556">
        <v>0</v>
      </c>
      <c r="Z106" s="510"/>
      <c r="AA106" s="556">
        <v>0</v>
      </c>
      <c r="AB106" s="510"/>
      <c r="AC106" s="705"/>
      <c r="AD106" s="510"/>
      <c r="AE106" s="556">
        <v>0</v>
      </c>
      <c r="AF106" s="510"/>
      <c r="AG106" s="556">
        <v>0</v>
      </c>
      <c r="AH106" s="510"/>
      <c r="AI106" s="556">
        <v>0</v>
      </c>
      <c r="AJ106" s="510"/>
      <c r="AK106" s="556">
        <v>0</v>
      </c>
      <c r="AL106" s="510"/>
      <c r="AM106" s="556">
        <v>0</v>
      </c>
      <c r="AN106" s="510"/>
      <c r="AO106" s="556">
        <v>0</v>
      </c>
      <c r="AP106" s="510"/>
      <c r="AQ106" s="556">
        <v>0</v>
      </c>
      <c r="AR106" s="510"/>
      <c r="AS106" s="556">
        <v>0</v>
      </c>
      <c r="AT106" s="510"/>
      <c r="AU106" s="556">
        <v>0</v>
      </c>
      <c r="AV106" s="510"/>
      <c r="AW106" s="556">
        <v>0</v>
      </c>
      <c r="AX106" s="510"/>
      <c r="AY106" s="556">
        <v>0</v>
      </c>
      <c r="AZ106" s="510"/>
      <c r="BA106" s="130"/>
      <c r="BB106" s="130"/>
      <c r="BC106" s="130"/>
      <c r="BD106" s="130"/>
      <c r="BE106" s="130"/>
      <c r="BF106" s="130"/>
      <c r="BG106" s="130"/>
      <c r="BH106" s="130"/>
      <c r="BI106" s="130"/>
      <c r="BJ106" s="130"/>
      <c r="BK106" s="130"/>
      <c r="BL106" s="130"/>
      <c r="BM106" s="130"/>
      <c r="BN106" s="130"/>
      <c r="BO106" s="130"/>
      <c r="BP106" s="130"/>
      <c r="BQ106" s="130"/>
      <c r="BR106" s="130"/>
      <c r="BS106" s="130"/>
      <c r="BT106" s="130"/>
    </row>
    <row r="107" spans="1:72" ht="15.75" customHeight="1">
      <c r="A107" s="524"/>
      <c r="B107" s="93" t="s">
        <v>1176</v>
      </c>
      <c r="C107" s="556">
        <v>0</v>
      </c>
      <c r="D107" s="510"/>
      <c r="E107" s="556">
        <v>1</v>
      </c>
      <c r="F107" s="510"/>
      <c r="G107" s="556">
        <v>0</v>
      </c>
      <c r="H107" s="510"/>
      <c r="I107" s="556">
        <v>0</v>
      </c>
      <c r="J107" s="510"/>
      <c r="K107" s="556">
        <v>1</v>
      </c>
      <c r="L107" s="510"/>
      <c r="M107" s="556">
        <v>1</v>
      </c>
      <c r="N107" s="510"/>
      <c r="O107" s="556">
        <v>0</v>
      </c>
      <c r="P107" s="510"/>
      <c r="Q107" s="556">
        <v>0</v>
      </c>
      <c r="R107" s="510"/>
      <c r="S107" s="556">
        <v>0</v>
      </c>
      <c r="T107" s="510"/>
      <c r="U107" s="556">
        <v>0</v>
      </c>
      <c r="V107" s="510"/>
      <c r="W107" s="556">
        <v>0</v>
      </c>
      <c r="X107" s="510"/>
      <c r="Y107" s="556">
        <v>0</v>
      </c>
      <c r="Z107" s="510"/>
      <c r="AA107" s="556">
        <v>0</v>
      </c>
      <c r="AB107" s="510"/>
      <c r="AC107" s="705"/>
      <c r="AD107" s="510"/>
      <c r="AE107" s="556">
        <v>0</v>
      </c>
      <c r="AF107" s="510"/>
      <c r="AG107" s="556">
        <v>0</v>
      </c>
      <c r="AH107" s="510"/>
      <c r="AI107" s="556">
        <v>0</v>
      </c>
      <c r="AJ107" s="510"/>
      <c r="AK107" s="556">
        <v>0</v>
      </c>
      <c r="AL107" s="510"/>
      <c r="AM107" s="556">
        <v>0</v>
      </c>
      <c r="AN107" s="510"/>
      <c r="AO107" s="556">
        <v>0</v>
      </c>
      <c r="AP107" s="510"/>
      <c r="AQ107" s="556">
        <v>0</v>
      </c>
      <c r="AR107" s="510"/>
      <c r="AS107" s="556">
        <v>0</v>
      </c>
      <c r="AT107" s="510"/>
      <c r="AU107" s="556">
        <v>0</v>
      </c>
      <c r="AV107" s="510"/>
      <c r="AW107" s="556">
        <v>0</v>
      </c>
      <c r="AX107" s="510"/>
      <c r="AY107" s="556">
        <v>1</v>
      </c>
      <c r="AZ107" s="510"/>
      <c r="BA107" s="130"/>
      <c r="BB107" s="130"/>
      <c r="BC107" s="130"/>
      <c r="BD107" s="130"/>
      <c r="BE107" s="130"/>
      <c r="BF107" s="130"/>
      <c r="BG107" s="130"/>
      <c r="BH107" s="130"/>
      <c r="BI107" s="130"/>
      <c r="BJ107" s="130"/>
      <c r="BK107" s="130"/>
      <c r="BL107" s="130"/>
      <c r="BM107" s="130"/>
      <c r="BN107" s="130"/>
      <c r="BO107" s="130"/>
      <c r="BP107" s="130"/>
      <c r="BQ107" s="130"/>
      <c r="BR107" s="130"/>
      <c r="BS107" s="130"/>
      <c r="BT107" s="130"/>
    </row>
    <row r="108" spans="1:72" ht="15.75" customHeight="1">
      <c r="A108" s="524"/>
      <c r="B108" s="93" t="s">
        <v>1177</v>
      </c>
      <c r="C108" s="556">
        <v>0</v>
      </c>
      <c r="D108" s="510"/>
      <c r="E108" s="556">
        <v>0</v>
      </c>
      <c r="F108" s="510"/>
      <c r="G108" s="556">
        <v>0</v>
      </c>
      <c r="H108" s="510"/>
      <c r="I108" s="556">
        <v>0</v>
      </c>
      <c r="J108" s="510"/>
      <c r="K108" s="556">
        <v>1</v>
      </c>
      <c r="L108" s="510"/>
      <c r="M108" s="556">
        <v>1</v>
      </c>
      <c r="N108" s="510"/>
      <c r="O108" s="556">
        <v>0</v>
      </c>
      <c r="P108" s="510"/>
      <c r="Q108" s="556">
        <v>0</v>
      </c>
      <c r="R108" s="510"/>
      <c r="S108" s="556">
        <v>0</v>
      </c>
      <c r="T108" s="510"/>
      <c r="U108" s="556">
        <v>0</v>
      </c>
      <c r="V108" s="510"/>
      <c r="W108" s="556">
        <v>0</v>
      </c>
      <c r="X108" s="510"/>
      <c r="Y108" s="556">
        <v>0</v>
      </c>
      <c r="Z108" s="510"/>
      <c r="AA108" s="556">
        <v>0</v>
      </c>
      <c r="AB108" s="510"/>
      <c r="AC108" s="705"/>
      <c r="AD108" s="510"/>
      <c r="AE108" s="556">
        <v>0</v>
      </c>
      <c r="AF108" s="510"/>
      <c r="AG108" s="556">
        <v>0</v>
      </c>
      <c r="AH108" s="510"/>
      <c r="AI108" s="556">
        <v>0</v>
      </c>
      <c r="AJ108" s="510"/>
      <c r="AK108" s="556">
        <v>0</v>
      </c>
      <c r="AL108" s="510"/>
      <c r="AM108" s="556">
        <v>0</v>
      </c>
      <c r="AN108" s="510"/>
      <c r="AO108" s="556">
        <v>0</v>
      </c>
      <c r="AP108" s="510"/>
      <c r="AQ108" s="556">
        <v>0</v>
      </c>
      <c r="AR108" s="510"/>
      <c r="AS108" s="556">
        <v>0</v>
      </c>
      <c r="AT108" s="510"/>
      <c r="AU108" s="556">
        <v>0</v>
      </c>
      <c r="AV108" s="510"/>
      <c r="AW108" s="556">
        <v>0</v>
      </c>
      <c r="AX108" s="510"/>
      <c r="AY108" s="556">
        <v>0</v>
      </c>
      <c r="AZ108" s="510"/>
      <c r="BA108" s="130"/>
      <c r="BB108" s="130"/>
      <c r="BC108" s="130"/>
      <c r="BD108" s="130"/>
      <c r="BE108" s="130"/>
      <c r="BF108" s="130"/>
      <c r="BG108" s="130"/>
      <c r="BH108" s="130"/>
      <c r="BI108" s="130"/>
      <c r="BJ108" s="130"/>
      <c r="BK108" s="130"/>
      <c r="BL108" s="130"/>
      <c r="BM108" s="130"/>
      <c r="BN108" s="130"/>
      <c r="BO108" s="130"/>
      <c r="BP108" s="130"/>
      <c r="BQ108" s="130"/>
      <c r="BR108" s="130"/>
      <c r="BS108" s="130"/>
      <c r="BT108" s="130"/>
    </row>
    <row r="109" spans="1:72" ht="15.75" customHeight="1">
      <c r="A109" s="524"/>
      <c r="B109" s="93" t="s">
        <v>1178</v>
      </c>
      <c r="C109" s="556">
        <v>0</v>
      </c>
      <c r="D109" s="510"/>
      <c r="E109" s="556">
        <v>0</v>
      </c>
      <c r="F109" s="510"/>
      <c r="G109" s="556">
        <v>0</v>
      </c>
      <c r="H109" s="510"/>
      <c r="I109" s="556">
        <v>0</v>
      </c>
      <c r="J109" s="510"/>
      <c r="K109" s="556">
        <v>0</v>
      </c>
      <c r="L109" s="510"/>
      <c r="M109" s="556">
        <v>0</v>
      </c>
      <c r="N109" s="510"/>
      <c r="O109" s="556">
        <v>0</v>
      </c>
      <c r="P109" s="510"/>
      <c r="Q109" s="556">
        <v>0</v>
      </c>
      <c r="R109" s="510"/>
      <c r="S109" s="556">
        <v>0</v>
      </c>
      <c r="T109" s="510"/>
      <c r="U109" s="556">
        <v>0</v>
      </c>
      <c r="V109" s="510"/>
      <c r="W109" s="556">
        <v>0</v>
      </c>
      <c r="X109" s="510"/>
      <c r="Y109" s="556">
        <v>0</v>
      </c>
      <c r="Z109" s="510"/>
      <c r="AA109" s="556">
        <v>0</v>
      </c>
      <c r="AB109" s="510"/>
      <c r="AC109" s="705"/>
      <c r="AD109" s="510"/>
      <c r="AE109" s="556">
        <v>0</v>
      </c>
      <c r="AF109" s="510"/>
      <c r="AG109" s="556">
        <v>0</v>
      </c>
      <c r="AH109" s="510"/>
      <c r="AI109" s="556">
        <v>0</v>
      </c>
      <c r="AJ109" s="510"/>
      <c r="AK109" s="556">
        <v>0</v>
      </c>
      <c r="AL109" s="510"/>
      <c r="AM109" s="556">
        <v>0</v>
      </c>
      <c r="AN109" s="510"/>
      <c r="AO109" s="556">
        <v>0</v>
      </c>
      <c r="AP109" s="510"/>
      <c r="AQ109" s="556">
        <v>0</v>
      </c>
      <c r="AR109" s="510"/>
      <c r="AS109" s="556">
        <v>0</v>
      </c>
      <c r="AT109" s="510"/>
      <c r="AU109" s="556">
        <v>0</v>
      </c>
      <c r="AV109" s="510"/>
      <c r="AW109" s="556">
        <v>0</v>
      </c>
      <c r="AX109" s="510"/>
      <c r="AY109" s="556">
        <v>0</v>
      </c>
      <c r="AZ109" s="510"/>
      <c r="BA109" s="130"/>
      <c r="BB109" s="130"/>
      <c r="BC109" s="130"/>
      <c r="BD109" s="130"/>
      <c r="BE109" s="130"/>
      <c r="BF109" s="130"/>
      <c r="BG109" s="130"/>
      <c r="BH109" s="130"/>
      <c r="BI109" s="130"/>
      <c r="BJ109" s="130"/>
      <c r="BK109" s="130"/>
      <c r="BL109" s="130"/>
      <c r="BM109" s="130"/>
      <c r="BN109" s="130"/>
      <c r="BO109" s="130"/>
      <c r="BP109" s="130"/>
      <c r="BQ109" s="130"/>
      <c r="BR109" s="130"/>
      <c r="BS109" s="130"/>
      <c r="BT109" s="130"/>
    </row>
    <row r="110" spans="1:72" ht="15.75" customHeight="1">
      <c r="A110" s="524"/>
      <c r="B110" s="93" t="s">
        <v>920</v>
      </c>
      <c r="C110" s="556">
        <v>0</v>
      </c>
      <c r="D110" s="510"/>
      <c r="E110" s="556">
        <v>0</v>
      </c>
      <c r="F110" s="510"/>
      <c r="G110" s="556">
        <v>0</v>
      </c>
      <c r="H110" s="510"/>
      <c r="I110" s="556">
        <v>0</v>
      </c>
      <c r="J110" s="510"/>
      <c r="K110" s="556">
        <v>0</v>
      </c>
      <c r="L110" s="510"/>
      <c r="M110" s="556">
        <v>0</v>
      </c>
      <c r="N110" s="510"/>
      <c r="O110" s="556">
        <v>0</v>
      </c>
      <c r="P110" s="510"/>
      <c r="Q110" s="556">
        <v>0</v>
      </c>
      <c r="R110" s="510"/>
      <c r="S110" s="556">
        <v>0</v>
      </c>
      <c r="T110" s="510"/>
      <c r="U110" s="556">
        <v>0</v>
      </c>
      <c r="V110" s="510"/>
      <c r="W110" s="556">
        <v>0</v>
      </c>
      <c r="X110" s="510"/>
      <c r="Y110" s="556">
        <v>0</v>
      </c>
      <c r="Z110" s="510"/>
      <c r="AA110" s="556">
        <v>0</v>
      </c>
      <c r="AB110" s="510"/>
      <c r="AC110" s="705"/>
      <c r="AD110" s="510"/>
      <c r="AE110" s="556">
        <v>0</v>
      </c>
      <c r="AF110" s="510"/>
      <c r="AG110" s="556">
        <v>0</v>
      </c>
      <c r="AH110" s="510"/>
      <c r="AI110" s="556">
        <v>0</v>
      </c>
      <c r="AJ110" s="510"/>
      <c r="AK110" s="556">
        <v>0</v>
      </c>
      <c r="AL110" s="510"/>
      <c r="AM110" s="556">
        <v>0</v>
      </c>
      <c r="AN110" s="510"/>
      <c r="AO110" s="556">
        <v>0</v>
      </c>
      <c r="AP110" s="510"/>
      <c r="AQ110" s="556">
        <v>0</v>
      </c>
      <c r="AR110" s="510"/>
      <c r="AS110" s="556">
        <v>0</v>
      </c>
      <c r="AT110" s="510"/>
      <c r="AU110" s="556">
        <v>0</v>
      </c>
      <c r="AV110" s="510"/>
      <c r="AW110" s="556">
        <v>0</v>
      </c>
      <c r="AX110" s="510"/>
      <c r="AY110" s="556">
        <v>0</v>
      </c>
      <c r="AZ110" s="510"/>
      <c r="BA110" s="130"/>
      <c r="BB110" s="130"/>
      <c r="BC110" s="130"/>
      <c r="BD110" s="130"/>
      <c r="BE110" s="130"/>
      <c r="BF110" s="130"/>
      <c r="BG110" s="130"/>
      <c r="BH110" s="130"/>
      <c r="BI110" s="130"/>
      <c r="BJ110" s="130"/>
      <c r="BK110" s="130"/>
      <c r="BL110" s="130"/>
      <c r="BM110" s="130"/>
      <c r="BN110" s="130"/>
      <c r="BO110" s="130"/>
      <c r="BP110" s="130"/>
      <c r="BQ110" s="130"/>
      <c r="BR110" s="130"/>
      <c r="BS110" s="130"/>
      <c r="BT110" s="130"/>
    </row>
    <row r="111" spans="1:72" ht="15.75" customHeight="1">
      <c r="A111" s="524"/>
      <c r="B111" s="93" t="s">
        <v>500</v>
      </c>
      <c r="C111" s="556">
        <v>0</v>
      </c>
      <c r="D111" s="510"/>
      <c r="E111" s="556">
        <v>0</v>
      </c>
      <c r="F111" s="510"/>
      <c r="G111" s="556">
        <v>0</v>
      </c>
      <c r="H111" s="510"/>
      <c r="I111" s="556">
        <v>0</v>
      </c>
      <c r="J111" s="510"/>
      <c r="K111" s="556">
        <v>0</v>
      </c>
      <c r="L111" s="510"/>
      <c r="M111" s="556">
        <v>0</v>
      </c>
      <c r="N111" s="510"/>
      <c r="O111" s="556">
        <v>0</v>
      </c>
      <c r="P111" s="510"/>
      <c r="Q111" s="556">
        <v>0</v>
      </c>
      <c r="R111" s="510"/>
      <c r="S111" s="556">
        <v>0</v>
      </c>
      <c r="T111" s="510"/>
      <c r="U111" s="556">
        <v>0</v>
      </c>
      <c r="V111" s="510"/>
      <c r="W111" s="556">
        <v>0</v>
      </c>
      <c r="X111" s="510"/>
      <c r="Y111" s="556">
        <v>0</v>
      </c>
      <c r="Z111" s="510"/>
      <c r="AA111" s="556">
        <v>0</v>
      </c>
      <c r="AB111" s="510"/>
      <c r="AC111" s="705"/>
      <c r="AD111" s="510"/>
      <c r="AE111" s="556">
        <v>0</v>
      </c>
      <c r="AF111" s="510"/>
      <c r="AG111" s="556">
        <v>0</v>
      </c>
      <c r="AH111" s="510"/>
      <c r="AI111" s="556">
        <v>0</v>
      </c>
      <c r="AJ111" s="510"/>
      <c r="AK111" s="556">
        <v>0</v>
      </c>
      <c r="AL111" s="510"/>
      <c r="AM111" s="556">
        <v>0</v>
      </c>
      <c r="AN111" s="510"/>
      <c r="AO111" s="556">
        <v>0</v>
      </c>
      <c r="AP111" s="510"/>
      <c r="AQ111" s="556">
        <v>0</v>
      </c>
      <c r="AR111" s="510"/>
      <c r="AS111" s="556">
        <v>0</v>
      </c>
      <c r="AT111" s="510"/>
      <c r="AU111" s="556">
        <v>0</v>
      </c>
      <c r="AV111" s="510"/>
      <c r="AW111" s="556">
        <v>0</v>
      </c>
      <c r="AX111" s="510"/>
      <c r="AY111" s="556">
        <v>0</v>
      </c>
      <c r="AZ111" s="510"/>
      <c r="BA111" s="130"/>
      <c r="BB111" s="130"/>
      <c r="BC111" s="130"/>
      <c r="BD111" s="130"/>
      <c r="BE111" s="130"/>
      <c r="BF111" s="130"/>
      <c r="BG111" s="130"/>
      <c r="BH111" s="130"/>
      <c r="BI111" s="130"/>
      <c r="BJ111" s="130"/>
      <c r="BK111" s="130"/>
      <c r="BL111" s="130"/>
      <c r="BM111" s="130"/>
      <c r="BN111" s="130"/>
      <c r="BO111" s="130"/>
      <c r="BP111" s="130"/>
      <c r="BQ111" s="130"/>
      <c r="BR111" s="130"/>
      <c r="BS111" s="130"/>
      <c r="BT111" s="130"/>
    </row>
    <row r="112" spans="1:72" ht="15.75" customHeight="1">
      <c r="A112" s="524"/>
      <c r="B112" s="140" t="s">
        <v>721</v>
      </c>
      <c r="C112" s="554"/>
      <c r="D112" s="510"/>
      <c r="E112" s="554"/>
      <c r="F112" s="510"/>
      <c r="G112" s="554"/>
      <c r="H112" s="510"/>
      <c r="I112" s="554"/>
      <c r="J112" s="510"/>
      <c r="K112" s="554"/>
      <c r="L112" s="510"/>
      <c r="M112" s="554"/>
      <c r="N112" s="510"/>
      <c r="O112" s="554"/>
      <c r="P112" s="510"/>
      <c r="Q112" s="554"/>
      <c r="R112" s="510"/>
      <c r="S112" s="554"/>
      <c r="T112" s="510"/>
      <c r="U112" s="554"/>
      <c r="V112" s="510"/>
      <c r="W112" s="554"/>
      <c r="X112" s="510"/>
      <c r="Y112" s="554"/>
      <c r="Z112" s="510"/>
      <c r="AA112" s="554"/>
      <c r="AB112" s="510"/>
      <c r="AC112" s="554"/>
      <c r="AD112" s="510"/>
      <c r="AE112" s="554"/>
      <c r="AF112" s="510"/>
      <c r="AG112" s="554"/>
      <c r="AH112" s="510"/>
      <c r="AI112" s="554"/>
      <c r="AJ112" s="510"/>
      <c r="AK112" s="554"/>
      <c r="AL112" s="510"/>
      <c r="AM112" s="554"/>
      <c r="AN112" s="510"/>
      <c r="AO112" s="554"/>
      <c r="AP112" s="510"/>
      <c r="AQ112" s="554"/>
      <c r="AR112" s="510"/>
      <c r="AS112" s="554"/>
      <c r="AT112" s="510"/>
      <c r="AU112" s="554"/>
      <c r="AV112" s="510"/>
      <c r="AW112" s="554"/>
      <c r="AX112" s="510"/>
      <c r="AY112" s="554"/>
      <c r="AZ112" s="510"/>
      <c r="BA112" s="130"/>
      <c r="BB112" s="130"/>
      <c r="BC112" s="130"/>
      <c r="BD112" s="130"/>
      <c r="BE112" s="130"/>
      <c r="BF112" s="130"/>
      <c r="BG112" s="130"/>
      <c r="BH112" s="130"/>
      <c r="BI112" s="130"/>
      <c r="BJ112" s="130"/>
      <c r="BK112" s="130"/>
      <c r="BL112" s="130"/>
      <c r="BM112" s="130"/>
      <c r="BN112" s="130"/>
      <c r="BO112" s="130"/>
      <c r="BP112" s="130"/>
      <c r="BQ112" s="130"/>
      <c r="BR112" s="130"/>
      <c r="BS112" s="130"/>
      <c r="BT112" s="130"/>
    </row>
    <row r="113" spans="1:72" ht="15" customHeight="1">
      <c r="A113" s="525"/>
      <c r="B113" s="135" t="s">
        <v>307</v>
      </c>
      <c r="C113" s="553"/>
      <c r="D113" s="510"/>
      <c r="E113" s="553"/>
      <c r="F113" s="510"/>
      <c r="G113" s="553"/>
      <c r="H113" s="510"/>
      <c r="I113" s="553"/>
      <c r="J113" s="510"/>
      <c r="K113" s="553"/>
      <c r="L113" s="510"/>
      <c r="M113" s="553"/>
      <c r="N113" s="510"/>
      <c r="O113" s="553"/>
      <c r="P113" s="510"/>
      <c r="Q113" s="553"/>
      <c r="R113" s="510"/>
      <c r="S113" s="553"/>
      <c r="T113" s="510"/>
      <c r="U113" s="553"/>
      <c r="V113" s="510"/>
      <c r="W113" s="553"/>
      <c r="X113" s="510"/>
      <c r="Y113" s="553"/>
      <c r="Z113" s="510"/>
      <c r="AA113" s="553"/>
      <c r="AB113" s="510"/>
      <c r="AC113" s="553"/>
      <c r="AD113" s="510"/>
      <c r="AE113" s="553"/>
      <c r="AF113" s="510"/>
      <c r="AG113" s="553"/>
      <c r="AH113" s="510"/>
      <c r="AI113" s="553"/>
      <c r="AJ113" s="510"/>
      <c r="AK113" s="553"/>
      <c r="AL113" s="510"/>
      <c r="AM113" s="553"/>
      <c r="AN113" s="510"/>
      <c r="AO113" s="553"/>
      <c r="AP113" s="510"/>
      <c r="AQ113" s="553"/>
      <c r="AR113" s="510"/>
      <c r="AS113" s="553"/>
      <c r="AT113" s="510"/>
      <c r="AU113" s="553"/>
      <c r="AV113" s="510"/>
      <c r="AW113" s="553"/>
      <c r="AX113" s="510"/>
      <c r="AY113" s="553"/>
      <c r="AZ113" s="510"/>
      <c r="BA113" s="130"/>
      <c r="BB113" s="130"/>
      <c r="BC113" s="130"/>
      <c r="BD113" s="130"/>
      <c r="BE113" s="130"/>
      <c r="BF113" s="130"/>
      <c r="BG113" s="130"/>
      <c r="BH113" s="130"/>
      <c r="BI113" s="130"/>
      <c r="BJ113" s="130"/>
      <c r="BK113" s="130"/>
      <c r="BL113" s="130"/>
      <c r="BM113" s="130"/>
      <c r="BN113" s="130"/>
      <c r="BO113" s="130"/>
      <c r="BP113" s="130"/>
      <c r="BQ113" s="130"/>
      <c r="BR113" s="130"/>
      <c r="BS113" s="130"/>
      <c r="BT113" s="130"/>
    </row>
    <row r="114" spans="1:72" ht="15.75" customHeight="1">
      <c r="A114" s="560" t="s">
        <v>508</v>
      </c>
      <c r="B114" s="93" t="s">
        <v>1179</v>
      </c>
      <c r="C114" s="556">
        <v>0</v>
      </c>
      <c r="D114" s="510"/>
      <c r="E114" s="556">
        <v>0</v>
      </c>
      <c r="F114" s="510"/>
      <c r="G114" s="556">
        <v>0</v>
      </c>
      <c r="H114" s="510"/>
      <c r="I114" s="556">
        <v>0</v>
      </c>
      <c r="J114" s="510"/>
      <c r="K114" s="556">
        <v>0</v>
      </c>
      <c r="L114" s="510"/>
      <c r="M114" s="556">
        <v>0</v>
      </c>
      <c r="N114" s="510"/>
      <c r="O114" s="556">
        <v>0</v>
      </c>
      <c r="P114" s="510"/>
      <c r="Q114" s="556">
        <v>0</v>
      </c>
      <c r="R114" s="510"/>
      <c r="S114" s="556">
        <v>0</v>
      </c>
      <c r="T114" s="510"/>
      <c r="U114" s="556">
        <v>0</v>
      </c>
      <c r="V114" s="510"/>
      <c r="W114" s="556">
        <v>0</v>
      </c>
      <c r="X114" s="510"/>
      <c r="Y114" s="556">
        <v>0</v>
      </c>
      <c r="Z114" s="510"/>
      <c r="AA114" s="556">
        <v>0</v>
      </c>
      <c r="AB114" s="510"/>
      <c r="AC114" s="556">
        <v>0</v>
      </c>
      <c r="AD114" s="510"/>
      <c r="AE114" s="556">
        <v>0</v>
      </c>
      <c r="AF114" s="510"/>
      <c r="AG114" s="556">
        <v>0</v>
      </c>
      <c r="AH114" s="510"/>
      <c r="AI114" s="556">
        <v>0</v>
      </c>
      <c r="AJ114" s="510"/>
      <c r="AK114" s="556">
        <v>0</v>
      </c>
      <c r="AL114" s="510"/>
      <c r="AM114" s="556">
        <v>0</v>
      </c>
      <c r="AN114" s="510"/>
      <c r="AO114" s="556">
        <v>0</v>
      </c>
      <c r="AP114" s="510"/>
      <c r="AQ114" s="556">
        <v>0</v>
      </c>
      <c r="AR114" s="510"/>
      <c r="AS114" s="556">
        <v>0</v>
      </c>
      <c r="AT114" s="510"/>
      <c r="AU114" s="556">
        <v>0</v>
      </c>
      <c r="AV114" s="510"/>
      <c r="AW114" s="556">
        <v>0</v>
      </c>
      <c r="AX114" s="510"/>
      <c r="AY114" s="556">
        <v>0</v>
      </c>
      <c r="AZ114" s="510"/>
      <c r="BA114" s="130"/>
      <c r="BB114" s="130"/>
      <c r="BC114" s="130"/>
      <c r="BD114" s="130"/>
      <c r="BE114" s="130"/>
      <c r="BF114" s="130"/>
      <c r="BG114" s="130"/>
      <c r="BH114" s="130"/>
      <c r="BI114" s="130"/>
      <c r="BJ114" s="130"/>
      <c r="BK114" s="130"/>
      <c r="BL114" s="130"/>
      <c r="BM114" s="130"/>
      <c r="BN114" s="130"/>
      <c r="BO114" s="130"/>
      <c r="BP114" s="130"/>
      <c r="BQ114" s="130"/>
      <c r="BR114" s="130"/>
      <c r="BS114" s="130"/>
      <c r="BT114" s="130"/>
    </row>
    <row r="115" spans="1:72" ht="15" customHeight="1">
      <c r="A115" s="525"/>
      <c r="B115" s="135" t="s">
        <v>307</v>
      </c>
      <c r="C115" s="559" t="s">
        <v>1180</v>
      </c>
      <c r="D115" s="512"/>
      <c r="E115" s="512"/>
      <c r="F115" s="512"/>
      <c r="G115" s="512"/>
      <c r="H115" s="512"/>
      <c r="I115" s="512"/>
      <c r="J115" s="512"/>
      <c r="K115" s="512"/>
      <c r="L115" s="512"/>
      <c r="M115" s="512"/>
      <c r="N115" s="512"/>
      <c r="O115" s="512"/>
      <c r="P115" s="512"/>
      <c r="Q115" s="512"/>
      <c r="R115" s="512"/>
      <c r="S115" s="512"/>
      <c r="T115" s="512"/>
      <c r="U115" s="512"/>
      <c r="V115" s="512"/>
      <c r="W115" s="512"/>
      <c r="X115" s="512"/>
      <c r="Y115" s="512"/>
      <c r="Z115" s="512"/>
      <c r="AA115" s="512"/>
      <c r="AB115" s="512"/>
      <c r="AC115" s="512"/>
      <c r="AD115" s="512"/>
      <c r="AE115" s="512"/>
      <c r="AF115" s="512"/>
      <c r="AG115" s="512"/>
      <c r="AH115" s="512"/>
      <c r="AI115" s="512"/>
      <c r="AJ115" s="512"/>
      <c r="AK115" s="512"/>
      <c r="AL115" s="512"/>
      <c r="AM115" s="512"/>
      <c r="AN115" s="512"/>
      <c r="AO115" s="512"/>
      <c r="AP115" s="512"/>
      <c r="AQ115" s="512"/>
      <c r="AR115" s="512"/>
      <c r="AS115" s="512"/>
      <c r="AT115" s="512"/>
      <c r="AU115" s="512"/>
      <c r="AV115" s="512"/>
      <c r="AW115" s="512"/>
      <c r="AX115" s="512"/>
      <c r="AY115" s="512"/>
      <c r="AZ115" s="510"/>
      <c r="BA115" s="130"/>
      <c r="BB115" s="130"/>
      <c r="BC115" s="130"/>
      <c r="BD115" s="130"/>
      <c r="BE115" s="130"/>
      <c r="BF115" s="130"/>
      <c r="BG115" s="130"/>
      <c r="BH115" s="130"/>
      <c r="BI115" s="130"/>
      <c r="BJ115" s="130"/>
      <c r="BK115" s="130"/>
      <c r="BL115" s="130"/>
      <c r="BM115" s="130"/>
      <c r="BN115" s="130"/>
      <c r="BO115" s="130"/>
      <c r="BP115" s="130"/>
      <c r="BQ115" s="130"/>
      <c r="BR115" s="130"/>
      <c r="BS115" s="130"/>
      <c r="BT115" s="130"/>
    </row>
    <row r="116" spans="1:72" ht="15.75" customHeight="1">
      <c r="A116" s="560" t="s">
        <v>511</v>
      </c>
      <c r="B116" s="93" t="s">
        <v>1181</v>
      </c>
      <c r="C116" s="556">
        <v>0</v>
      </c>
      <c r="D116" s="510"/>
      <c r="E116" s="556">
        <v>0</v>
      </c>
      <c r="F116" s="510"/>
      <c r="G116" s="556">
        <v>0</v>
      </c>
      <c r="H116" s="510"/>
      <c r="I116" s="556">
        <v>0</v>
      </c>
      <c r="J116" s="510"/>
      <c r="K116" s="556">
        <v>0</v>
      </c>
      <c r="L116" s="510"/>
      <c r="M116" s="556">
        <v>0</v>
      </c>
      <c r="N116" s="510"/>
      <c r="O116" s="556">
        <v>0</v>
      </c>
      <c r="P116" s="510"/>
      <c r="Q116" s="556">
        <v>0</v>
      </c>
      <c r="R116" s="510"/>
      <c r="S116" s="556">
        <v>0</v>
      </c>
      <c r="T116" s="510"/>
      <c r="U116" s="556">
        <v>0</v>
      </c>
      <c r="V116" s="510"/>
      <c r="W116" s="556">
        <v>0</v>
      </c>
      <c r="X116" s="510"/>
      <c r="Y116" s="556">
        <v>0</v>
      </c>
      <c r="Z116" s="510"/>
      <c r="AA116" s="556">
        <v>0</v>
      </c>
      <c r="AB116" s="510"/>
      <c r="AC116" s="556">
        <v>0</v>
      </c>
      <c r="AD116" s="510"/>
      <c r="AE116" s="556">
        <v>0</v>
      </c>
      <c r="AF116" s="510"/>
      <c r="AG116" s="556">
        <v>0</v>
      </c>
      <c r="AH116" s="510"/>
      <c r="AI116" s="556">
        <v>0</v>
      </c>
      <c r="AJ116" s="510"/>
      <c r="AK116" s="556">
        <v>0</v>
      </c>
      <c r="AL116" s="510"/>
      <c r="AM116" s="556">
        <v>0</v>
      </c>
      <c r="AN116" s="510"/>
      <c r="AO116" s="556">
        <v>0</v>
      </c>
      <c r="AP116" s="510"/>
      <c r="AQ116" s="556">
        <v>0</v>
      </c>
      <c r="AR116" s="510"/>
      <c r="AS116" s="556">
        <v>0</v>
      </c>
      <c r="AT116" s="510"/>
      <c r="AU116" s="556">
        <v>0</v>
      </c>
      <c r="AV116" s="510"/>
      <c r="AW116" s="556">
        <v>0</v>
      </c>
      <c r="AX116" s="510"/>
      <c r="AY116" s="556">
        <v>0</v>
      </c>
      <c r="AZ116" s="510"/>
      <c r="BA116" s="130"/>
      <c r="BB116" s="130"/>
      <c r="BC116" s="130"/>
      <c r="BD116" s="130"/>
      <c r="BE116" s="130"/>
      <c r="BF116" s="130"/>
      <c r="BG116" s="130"/>
      <c r="BH116" s="130"/>
      <c r="BI116" s="130"/>
      <c r="BJ116" s="130"/>
      <c r="BK116" s="130"/>
      <c r="BL116" s="130"/>
      <c r="BM116" s="130"/>
      <c r="BN116" s="130"/>
      <c r="BO116" s="130"/>
      <c r="BP116" s="130"/>
      <c r="BQ116" s="130"/>
      <c r="BR116" s="130"/>
      <c r="BS116" s="130"/>
      <c r="BT116" s="130"/>
    </row>
    <row r="117" spans="1:72" ht="15.75" customHeight="1">
      <c r="A117" s="525"/>
      <c r="B117" s="135" t="s">
        <v>307</v>
      </c>
      <c r="C117" s="553"/>
      <c r="D117" s="510"/>
      <c r="E117" s="553"/>
      <c r="F117" s="510"/>
      <c r="G117" s="553"/>
      <c r="H117" s="510"/>
      <c r="I117" s="553"/>
      <c r="J117" s="510"/>
      <c r="K117" s="553"/>
      <c r="L117" s="510"/>
      <c r="M117" s="553"/>
      <c r="N117" s="510"/>
      <c r="O117" s="553"/>
      <c r="P117" s="510"/>
      <c r="Q117" s="553"/>
      <c r="R117" s="510"/>
      <c r="S117" s="553"/>
      <c r="T117" s="510"/>
      <c r="U117" s="553"/>
      <c r="V117" s="510"/>
      <c r="W117" s="553"/>
      <c r="X117" s="510"/>
      <c r="Y117" s="553"/>
      <c r="Z117" s="510"/>
      <c r="AA117" s="553"/>
      <c r="AB117" s="510"/>
      <c r="AC117" s="553"/>
      <c r="AD117" s="510"/>
      <c r="AE117" s="553"/>
      <c r="AF117" s="510"/>
      <c r="AG117" s="553"/>
      <c r="AH117" s="510"/>
      <c r="AI117" s="553"/>
      <c r="AJ117" s="510"/>
      <c r="AK117" s="553"/>
      <c r="AL117" s="510"/>
      <c r="AM117" s="553"/>
      <c r="AN117" s="510"/>
      <c r="AO117" s="553"/>
      <c r="AP117" s="510"/>
      <c r="AQ117" s="553"/>
      <c r="AR117" s="510"/>
      <c r="AS117" s="553"/>
      <c r="AT117" s="510"/>
      <c r="AU117" s="553"/>
      <c r="AV117" s="510"/>
      <c r="AW117" s="553"/>
      <c r="AX117" s="510"/>
      <c r="AY117" s="553"/>
      <c r="AZ117" s="510"/>
      <c r="BA117" s="130"/>
      <c r="BB117" s="130"/>
      <c r="BC117" s="130"/>
      <c r="BD117" s="130"/>
      <c r="BE117" s="130"/>
      <c r="BF117" s="130"/>
      <c r="BG117" s="130"/>
      <c r="BH117" s="130"/>
      <c r="BI117" s="130"/>
      <c r="BJ117" s="130"/>
      <c r="BK117" s="130"/>
      <c r="BL117" s="130"/>
      <c r="BM117" s="130"/>
      <c r="BN117" s="130"/>
      <c r="BO117" s="130"/>
      <c r="BP117" s="130"/>
      <c r="BQ117" s="130"/>
      <c r="BR117" s="130"/>
      <c r="BS117" s="130"/>
      <c r="BT117" s="130"/>
    </row>
    <row r="118" spans="1:72" ht="15.75" customHeight="1">
      <c r="A118" s="560" t="s">
        <v>513</v>
      </c>
      <c r="B118" s="316" t="s">
        <v>1182</v>
      </c>
      <c r="C118" s="556"/>
      <c r="D118" s="510"/>
      <c r="E118" s="556"/>
      <c r="F118" s="510"/>
      <c r="G118" s="556"/>
      <c r="H118" s="510"/>
      <c r="I118" s="556"/>
      <c r="J118" s="510"/>
      <c r="K118" s="556"/>
      <c r="L118" s="510"/>
      <c r="M118" s="556"/>
      <c r="N118" s="510"/>
      <c r="O118" s="556"/>
      <c r="P118" s="510"/>
      <c r="Q118" s="556"/>
      <c r="R118" s="510"/>
      <c r="S118" s="556"/>
      <c r="T118" s="510"/>
      <c r="U118" s="556"/>
      <c r="V118" s="510"/>
      <c r="W118" s="556"/>
      <c r="X118" s="510"/>
      <c r="Y118" s="556"/>
      <c r="Z118" s="510"/>
      <c r="AA118" s="556"/>
      <c r="AB118" s="510"/>
      <c r="AC118" s="556"/>
      <c r="AD118" s="510"/>
      <c r="AE118" s="556"/>
      <c r="AF118" s="510"/>
      <c r="AG118" s="556"/>
      <c r="AH118" s="510"/>
      <c r="AI118" s="556"/>
      <c r="AJ118" s="510"/>
      <c r="AK118" s="556"/>
      <c r="AL118" s="510"/>
      <c r="AM118" s="556"/>
      <c r="AN118" s="510"/>
      <c r="AO118" s="556"/>
      <c r="AP118" s="510"/>
      <c r="AQ118" s="556"/>
      <c r="AR118" s="510"/>
      <c r="AS118" s="556"/>
      <c r="AT118" s="510"/>
      <c r="AU118" s="556"/>
      <c r="AV118" s="510"/>
      <c r="AW118" s="556"/>
      <c r="AX118" s="510"/>
      <c r="AY118" s="556"/>
      <c r="AZ118" s="510"/>
      <c r="BA118" s="130"/>
      <c r="BB118" s="130"/>
      <c r="BC118" s="130"/>
      <c r="BD118" s="130"/>
      <c r="BE118" s="130"/>
      <c r="BF118" s="130"/>
      <c r="BG118" s="130"/>
      <c r="BH118" s="130"/>
      <c r="BI118" s="130"/>
      <c r="BJ118" s="130"/>
      <c r="BK118" s="130"/>
      <c r="BL118" s="130"/>
      <c r="BM118" s="130"/>
      <c r="BN118" s="130"/>
      <c r="BO118" s="130"/>
      <c r="BP118" s="130"/>
      <c r="BQ118" s="130"/>
      <c r="BR118" s="130"/>
      <c r="BS118" s="130"/>
      <c r="BT118" s="130"/>
    </row>
    <row r="119" spans="1:72" ht="15.75" customHeight="1">
      <c r="A119" s="524"/>
      <c r="B119" s="93" t="s">
        <v>1183</v>
      </c>
      <c r="C119" s="556">
        <v>0</v>
      </c>
      <c r="D119" s="510"/>
      <c r="E119" s="556">
        <v>0</v>
      </c>
      <c r="F119" s="510"/>
      <c r="G119" s="556">
        <v>0</v>
      </c>
      <c r="H119" s="510"/>
      <c r="I119" s="556">
        <v>0</v>
      </c>
      <c r="J119" s="510"/>
      <c r="K119" s="556">
        <v>0</v>
      </c>
      <c r="L119" s="510"/>
      <c r="M119" s="556">
        <v>0</v>
      </c>
      <c r="N119" s="510"/>
      <c r="O119" s="556">
        <v>0</v>
      </c>
      <c r="P119" s="510"/>
      <c r="Q119" s="556">
        <v>0</v>
      </c>
      <c r="R119" s="510"/>
      <c r="S119" s="556">
        <v>0</v>
      </c>
      <c r="T119" s="510"/>
      <c r="U119" s="556">
        <v>0</v>
      </c>
      <c r="V119" s="510"/>
      <c r="W119" s="556">
        <v>0</v>
      </c>
      <c r="X119" s="510"/>
      <c r="Y119" s="556">
        <v>0</v>
      </c>
      <c r="Z119" s="510"/>
      <c r="AA119" s="556">
        <v>0</v>
      </c>
      <c r="AB119" s="510"/>
      <c r="AC119" s="556">
        <v>0</v>
      </c>
      <c r="AD119" s="510"/>
      <c r="AE119" s="556">
        <v>0</v>
      </c>
      <c r="AF119" s="510"/>
      <c r="AG119" s="556">
        <v>0</v>
      </c>
      <c r="AH119" s="510"/>
      <c r="AI119" s="556">
        <v>0</v>
      </c>
      <c r="AJ119" s="510"/>
      <c r="AK119" s="556">
        <v>0</v>
      </c>
      <c r="AL119" s="510"/>
      <c r="AM119" s="556">
        <v>0</v>
      </c>
      <c r="AN119" s="510"/>
      <c r="AO119" s="556">
        <v>0</v>
      </c>
      <c r="AP119" s="510"/>
      <c r="AQ119" s="556">
        <v>0</v>
      </c>
      <c r="AR119" s="510"/>
      <c r="AS119" s="556">
        <v>0</v>
      </c>
      <c r="AT119" s="510"/>
      <c r="AU119" s="556">
        <v>0</v>
      </c>
      <c r="AV119" s="510"/>
      <c r="AW119" s="556">
        <v>0</v>
      </c>
      <c r="AX119" s="510"/>
      <c r="AY119" s="556">
        <v>0</v>
      </c>
      <c r="AZ119" s="510"/>
      <c r="BA119" s="130"/>
      <c r="BB119" s="130"/>
      <c r="BC119" s="130"/>
      <c r="BD119" s="130"/>
      <c r="BE119" s="130"/>
      <c r="BF119" s="130"/>
      <c r="BG119" s="130"/>
      <c r="BH119" s="130"/>
      <c r="BI119" s="130"/>
      <c r="BJ119" s="130"/>
      <c r="BK119" s="130"/>
      <c r="BL119" s="130"/>
      <c r="BM119" s="130"/>
      <c r="BN119" s="130"/>
      <c r="BO119" s="130"/>
      <c r="BP119" s="130"/>
      <c r="BQ119" s="130"/>
      <c r="BR119" s="130"/>
      <c r="BS119" s="130"/>
      <c r="BT119" s="130"/>
    </row>
    <row r="120" spans="1:72" ht="15.75" customHeight="1">
      <c r="A120" s="524"/>
      <c r="B120" s="93" t="s">
        <v>1184</v>
      </c>
      <c r="C120" s="556">
        <v>1</v>
      </c>
      <c r="D120" s="510"/>
      <c r="E120" s="556">
        <v>1</v>
      </c>
      <c r="F120" s="510"/>
      <c r="G120" s="556">
        <v>1</v>
      </c>
      <c r="H120" s="510"/>
      <c r="I120" s="556">
        <v>1</v>
      </c>
      <c r="J120" s="510"/>
      <c r="K120" s="556">
        <v>1</v>
      </c>
      <c r="L120" s="510"/>
      <c r="M120" s="556">
        <v>1</v>
      </c>
      <c r="N120" s="510"/>
      <c r="O120" s="556">
        <v>1</v>
      </c>
      <c r="P120" s="510"/>
      <c r="Q120" s="556">
        <v>1</v>
      </c>
      <c r="R120" s="510"/>
      <c r="S120" s="556">
        <v>1</v>
      </c>
      <c r="T120" s="510"/>
      <c r="U120" s="556">
        <v>1</v>
      </c>
      <c r="V120" s="510"/>
      <c r="W120" s="556">
        <v>1</v>
      </c>
      <c r="X120" s="510"/>
      <c r="Y120" s="556">
        <v>1</v>
      </c>
      <c r="Z120" s="510"/>
      <c r="AA120" s="556">
        <v>1</v>
      </c>
      <c r="AB120" s="510"/>
      <c r="AC120" s="556">
        <v>1</v>
      </c>
      <c r="AD120" s="510"/>
      <c r="AE120" s="556">
        <v>1</v>
      </c>
      <c r="AF120" s="510"/>
      <c r="AG120" s="556">
        <v>1</v>
      </c>
      <c r="AH120" s="510"/>
      <c r="AI120" s="556">
        <v>1</v>
      </c>
      <c r="AJ120" s="510"/>
      <c r="AK120" s="556">
        <v>1</v>
      </c>
      <c r="AL120" s="510"/>
      <c r="AM120" s="556">
        <v>1</v>
      </c>
      <c r="AN120" s="510"/>
      <c r="AO120" s="556">
        <v>1</v>
      </c>
      <c r="AP120" s="510"/>
      <c r="AQ120" s="556">
        <v>1</v>
      </c>
      <c r="AR120" s="510"/>
      <c r="AS120" s="556">
        <v>1</v>
      </c>
      <c r="AT120" s="510"/>
      <c r="AU120" s="556">
        <v>1</v>
      </c>
      <c r="AV120" s="510"/>
      <c r="AW120" s="556">
        <v>1</v>
      </c>
      <c r="AX120" s="510"/>
      <c r="AY120" s="556">
        <v>1</v>
      </c>
      <c r="AZ120" s="510"/>
      <c r="BA120" s="130"/>
      <c r="BB120" s="130"/>
      <c r="BC120" s="130"/>
      <c r="BD120" s="130"/>
      <c r="BE120" s="130"/>
      <c r="BF120" s="130"/>
      <c r="BG120" s="130"/>
      <c r="BH120" s="130"/>
      <c r="BI120" s="130"/>
      <c r="BJ120" s="130"/>
      <c r="BK120" s="130"/>
      <c r="BL120" s="130"/>
      <c r="BM120" s="130"/>
      <c r="BN120" s="130"/>
      <c r="BO120" s="130"/>
      <c r="BP120" s="130"/>
      <c r="BQ120" s="130"/>
      <c r="BR120" s="130"/>
      <c r="BS120" s="130"/>
      <c r="BT120" s="130"/>
    </row>
    <row r="121" spans="1:72" ht="15.75" customHeight="1">
      <c r="A121" s="524"/>
      <c r="B121" s="93" t="s">
        <v>1185</v>
      </c>
      <c r="C121" s="556">
        <v>0</v>
      </c>
      <c r="D121" s="510"/>
      <c r="E121" s="556">
        <v>0</v>
      </c>
      <c r="F121" s="510"/>
      <c r="G121" s="556">
        <v>0</v>
      </c>
      <c r="H121" s="510"/>
      <c r="I121" s="556">
        <v>0</v>
      </c>
      <c r="J121" s="510"/>
      <c r="K121" s="556">
        <v>0</v>
      </c>
      <c r="L121" s="510"/>
      <c r="M121" s="556">
        <v>0</v>
      </c>
      <c r="N121" s="510"/>
      <c r="O121" s="556">
        <v>0</v>
      </c>
      <c r="P121" s="510"/>
      <c r="Q121" s="556">
        <v>0</v>
      </c>
      <c r="R121" s="510"/>
      <c r="S121" s="556">
        <v>0</v>
      </c>
      <c r="T121" s="510"/>
      <c r="U121" s="556">
        <v>0</v>
      </c>
      <c r="V121" s="510"/>
      <c r="W121" s="556">
        <v>0</v>
      </c>
      <c r="X121" s="510"/>
      <c r="Y121" s="556">
        <v>0</v>
      </c>
      <c r="Z121" s="510"/>
      <c r="AA121" s="556">
        <v>0</v>
      </c>
      <c r="AB121" s="510"/>
      <c r="AC121" s="556">
        <v>0</v>
      </c>
      <c r="AD121" s="510"/>
      <c r="AE121" s="556">
        <v>0</v>
      </c>
      <c r="AF121" s="510"/>
      <c r="AG121" s="556">
        <v>0</v>
      </c>
      <c r="AH121" s="510"/>
      <c r="AI121" s="556">
        <v>0</v>
      </c>
      <c r="AJ121" s="510"/>
      <c r="AK121" s="556">
        <v>0</v>
      </c>
      <c r="AL121" s="510"/>
      <c r="AM121" s="556">
        <v>0</v>
      </c>
      <c r="AN121" s="510"/>
      <c r="AO121" s="556">
        <v>0</v>
      </c>
      <c r="AP121" s="510"/>
      <c r="AQ121" s="556">
        <v>0</v>
      </c>
      <c r="AR121" s="510"/>
      <c r="AS121" s="556">
        <v>0</v>
      </c>
      <c r="AT121" s="510"/>
      <c r="AU121" s="556">
        <v>0</v>
      </c>
      <c r="AV121" s="510"/>
      <c r="AW121" s="556">
        <v>0</v>
      </c>
      <c r="AX121" s="510"/>
      <c r="AY121" s="556">
        <v>0</v>
      </c>
      <c r="AZ121" s="510"/>
      <c r="BA121" s="130"/>
      <c r="BB121" s="130"/>
      <c r="BC121" s="130"/>
      <c r="BD121" s="130"/>
      <c r="BE121" s="130"/>
      <c r="BF121" s="130"/>
      <c r="BG121" s="130"/>
      <c r="BH121" s="130"/>
      <c r="BI121" s="130"/>
      <c r="BJ121" s="130"/>
      <c r="BK121" s="130"/>
      <c r="BL121" s="130"/>
      <c r="BM121" s="130"/>
      <c r="BN121" s="130"/>
      <c r="BO121" s="130"/>
      <c r="BP121" s="130"/>
      <c r="BQ121" s="130"/>
      <c r="BR121" s="130"/>
      <c r="BS121" s="130"/>
      <c r="BT121" s="130"/>
    </row>
    <row r="122" spans="1:72" ht="15.75" customHeight="1">
      <c r="A122" s="524"/>
      <c r="B122" s="93" t="s">
        <v>1186</v>
      </c>
      <c r="C122" s="556">
        <v>0</v>
      </c>
      <c r="D122" s="510"/>
      <c r="E122" s="556">
        <v>0</v>
      </c>
      <c r="F122" s="510"/>
      <c r="G122" s="556">
        <v>0</v>
      </c>
      <c r="H122" s="510"/>
      <c r="I122" s="556">
        <v>0</v>
      </c>
      <c r="J122" s="510"/>
      <c r="K122" s="556">
        <v>0</v>
      </c>
      <c r="L122" s="510"/>
      <c r="M122" s="556">
        <v>0</v>
      </c>
      <c r="N122" s="510"/>
      <c r="O122" s="556">
        <v>0</v>
      </c>
      <c r="P122" s="510"/>
      <c r="Q122" s="556">
        <v>0</v>
      </c>
      <c r="R122" s="510"/>
      <c r="S122" s="556">
        <v>0</v>
      </c>
      <c r="T122" s="510"/>
      <c r="U122" s="556">
        <v>0</v>
      </c>
      <c r="V122" s="510"/>
      <c r="W122" s="556">
        <v>0</v>
      </c>
      <c r="X122" s="510"/>
      <c r="Y122" s="556">
        <v>0</v>
      </c>
      <c r="Z122" s="510"/>
      <c r="AA122" s="556">
        <v>0</v>
      </c>
      <c r="AB122" s="510"/>
      <c r="AC122" s="556">
        <v>0</v>
      </c>
      <c r="AD122" s="510"/>
      <c r="AE122" s="556">
        <v>0</v>
      </c>
      <c r="AF122" s="510"/>
      <c r="AG122" s="556">
        <v>0</v>
      </c>
      <c r="AH122" s="510"/>
      <c r="AI122" s="556">
        <v>0</v>
      </c>
      <c r="AJ122" s="510"/>
      <c r="AK122" s="556">
        <v>0</v>
      </c>
      <c r="AL122" s="510"/>
      <c r="AM122" s="556">
        <v>0</v>
      </c>
      <c r="AN122" s="510"/>
      <c r="AO122" s="556">
        <v>0</v>
      </c>
      <c r="AP122" s="510"/>
      <c r="AQ122" s="556">
        <v>0</v>
      </c>
      <c r="AR122" s="510"/>
      <c r="AS122" s="556">
        <v>0</v>
      </c>
      <c r="AT122" s="510"/>
      <c r="AU122" s="556">
        <v>0</v>
      </c>
      <c r="AV122" s="510"/>
      <c r="AW122" s="556">
        <v>0</v>
      </c>
      <c r="AX122" s="510"/>
      <c r="AY122" s="556">
        <v>0</v>
      </c>
      <c r="AZ122" s="510"/>
      <c r="BA122" s="130"/>
      <c r="BB122" s="130"/>
      <c r="BC122" s="130"/>
      <c r="BD122" s="130"/>
      <c r="BE122" s="130"/>
      <c r="BF122" s="130"/>
      <c r="BG122" s="130"/>
      <c r="BH122" s="130"/>
      <c r="BI122" s="130"/>
      <c r="BJ122" s="130"/>
      <c r="BK122" s="130"/>
      <c r="BL122" s="130"/>
      <c r="BM122" s="130"/>
      <c r="BN122" s="130"/>
      <c r="BO122" s="130"/>
      <c r="BP122" s="130"/>
      <c r="BQ122" s="130"/>
      <c r="BR122" s="130"/>
      <c r="BS122" s="130"/>
      <c r="BT122" s="130"/>
    </row>
    <row r="123" spans="1:72" ht="15.75" customHeight="1">
      <c r="A123" s="524"/>
      <c r="B123" s="93" t="s">
        <v>1187</v>
      </c>
      <c r="C123" s="556">
        <v>0</v>
      </c>
      <c r="D123" s="510"/>
      <c r="E123" s="556">
        <v>0</v>
      </c>
      <c r="F123" s="510"/>
      <c r="G123" s="556">
        <v>0</v>
      </c>
      <c r="H123" s="510"/>
      <c r="I123" s="556">
        <v>0</v>
      </c>
      <c r="J123" s="510"/>
      <c r="K123" s="556">
        <v>0</v>
      </c>
      <c r="L123" s="510"/>
      <c r="M123" s="556">
        <v>0</v>
      </c>
      <c r="N123" s="510"/>
      <c r="O123" s="556">
        <v>0</v>
      </c>
      <c r="P123" s="510"/>
      <c r="Q123" s="556">
        <v>0</v>
      </c>
      <c r="R123" s="510"/>
      <c r="S123" s="556">
        <v>0</v>
      </c>
      <c r="T123" s="510"/>
      <c r="U123" s="556">
        <v>0</v>
      </c>
      <c r="V123" s="510"/>
      <c r="W123" s="556">
        <v>0</v>
      </c>
      <c r="X123" s="510"/>
      <c r="Y123" s="556">
        <v>0</v>
      </c>
      <c r="Z123" s="510"/>
      <c r="AA123" s="556">
        <v>0</v>
      </c>
      <c r="AB123" s="510"/>
      <c r="AC123" s="556">
        <v>0</v>
      </c>
      <c r="AD123" s="510"/>
      <c r="AE123" s="556">
        <v>0</v>
      </c>
      <c r="AF123" s="510"/>
      <c r="AG123" s="556">
        <v>0</v>
      </c>
      <c r="AH123" s="510"/>
      <c r="AI123" s="556">
        <v>0</v>
      </c>
      <c r="AJ123" s="510"/>
      <c r="AK123" s="556">
        <v>0</v>
      </c>
      <c r="AL123" s="510"/>
      <c r="AM123" s="556">
        <v>0</v>
      </c>
      <c r="AN123" s="510"/>
      <c r="AO123" s="556">
        <v>0</v>
      </c>
      <c r="AP123" s="510"/>
      <c r="AQ123" s="556">
        <v>0</v>
      </c>
      <c r="AR123" s="510"/>
      <c r="AS123" s="556">
        <v>0</v>
      </c>
      <c r="AT123" s="510"/>
      <c r="AU123" s="556">
        <v>0</v>
      </c>
      <c r="AV123" s="510"/>
      <c r="AW123" s="556">
        <v>0</v>
      </c>
      <c r="AX123" s="510"/>
      <c r="AY123" s="556">
        <v>0</v>
      </c>
      <c r="AZ123" s="510"/>
      <c r="BA123" s="130"/>
      <c r="BB123" s="130"/>
      <c r="BC123" s="130"/>
      <c r="BD123" s="130"/>
      <c r="BE123" s="130"/>
      <c r="BF123" s="130"/>
      <c r="BG123" s="130"/>
      <c r="BH123" s="130"/>
      <c r="BI123" s="130"/>
      <c r="BJ123" s="130"/>
      <c r="BK123" s="130"/>
      <c r="BL123" s="130"/>
      <c r="BM123" s="130"/>
      <c r="BN123" s="130"/>
      <c r="BO123" s="130"/>
      <c r="BP123" s="130"/>
      <c r="BQ123" s="130"/>
      <c r="BR123" s="130"/>
      <c r="BS123" s="130"/>
      <c r="BT123" s="130"/>
    </row>
    <row r="124" spans="1:72" ht="15.75" customHeight="1">
      <c r="A124" s="524"/>
      <c r="B124" s="93" t="s">
        <v>500</v>
      </c>
      <c r="C124" s="556">
        <v>0</v>
      </c>
      <c r="D124" s="510"/>
      <c r="E124" s="556">
        <v>0</v>
      </c>
      <c r="F124" s="510"/>
      <c r="G124" s="556">
        <v>0</v>
      </c>
      <c r="H124" s="510"/>
      <c r="I124" s="556">
        <v>0</v>
      </c>
      <c r="J124" s="510"/>
      <c r="K124" s="556">
        <v>0</v>
      </c>
      <c r="L124" s="510"/>
      <c r="M124" s="556">
        <v>0</v>
      </c>
      <c r="N124" s="510"/>
      <c r="O124" s="556">
        <v>0</v>
      </c>
      <c r="P124" s="510"/>
      <c r="Q124" s="556">
        <v>0</v>
      </c>
      <c r="R124" s="510"/>
      <c r="S124" s="556">
        <v>0</v>
      </c>
      <c r="T124" s="510"/>
      <c r="U124" s="556">
        <v>0</v>
      </c>
      <c r="V124" s="510"/>
      <c r="W124" s="556">
        <v>0</v>
      </c>
      <c r="X124" s="510"/>
      <c r="Y124" s="556">
        <v>0</v>
      </c>
      <c r="Z124" s="510"/>
      <c r="AA124" s="556">
        <v>0</v>
      </c>
      <c r="AB124" s="510"/>
      <c r="AC124" s="556">
        <v>0</v>
      </c>
      <c r="AD124" s="510"/>
      <c r="AE124" s="556">
        <v>0</v>
      </c>
      <c r="AF124" s="510"/>
      <c r="AG124" s="556">
        <v>0</v>
      </c>
      <c r="AH124" s="510"/>
      <c r="AI124" s="556">
        <v>0</v>
      </c>
      <c r="AJ124" s="510"/>
      <c r="AK124" s="556">
        <v>0</v>
      </c>
      <c r="AL124" s="510"/>
      <c r="AM124" s="556">
        <v>0</v>
      </c>
      <c r="AN124" s="510"/>
      <c r="AO124" s="556">
        <v>0</v>
      </c>
      <c r="AP124" s="510"/>
      <c r="AQ124" s="556">
        <v>0</v>
      </c>
      <c r="AR124" s="510"/>
      <c r="AS124" s="556">
        <v>0</v>
      </c>
      <c r="AT124" s="510"/>
      <c r="AU124" s="556">
        <v>0</v>
      </c>
      <c r="AV124" s="510"/>
      <c r="AW124" s="556">
        <v>0</v>
      </c>
      <c r="AX124" s="510"/>
      <c r="AY124" s="556">
        <v>0</v>
      </c>
      <c r="AZ124" s="510"/>
      <c r="BA124" s="130"/>
      <c r="BB124" s="130"/>
      <c r="BC124" s="130"/>
      <c r="BD124" s="130"/>
      <c r="BE124" s="130"/>
      <c r="BF124" s="130"/>
      <c r="BG124" s="130"/>
      <c r="BH124" s="130"/>
      <c r="BI124" s="130"/>
      <c r="BJ124" s="130"/>
      <c r="BK124" s="130"/>
      <c r="BL124" s="130"/>
      <c r="BM124" s="130"/>
      <c r="BN124" s="130"/>
      <c r="BO124" s="130"/>
      <c r="BP124" s="130"/>
      <c r="BQ124" s="130"/>
      <c r="BR124" s="130"/>
      <c r="BS124" s="130"/>
      <c r="BT124" s="130"/>
    </row>
    <row r="125" spans="1:72" ht="15.75" customHeight="1">
      <c r="A125" s="524"/>
      <c r="B125" s="140" t="s">
        <v>721</v>
      </c>
      <c r="C125" s="554"/>
      <c r="D125" s="510"/>
      <c r="E125" s="554"/>
      <c r="F125" s="510"/>
      <c r="G125" s="554"/>
      <c r="H125" s="510"/>
      <c r="I125" s="554"/>
      <c r="J125" s="510"/>
      <c r="K125" s="554"/>
      <c r="L125" s="510"/>
      <c r="M125" s="554"/>
      <c r="N125" s="510"/>
      <c r="O125" s="554"/>
      <c r="P125" s="510"/>
      <c r="Q125" s="554"/>
      <c r="R125" s="510"/>
      <c r="S125" s="554"/>
      <c r="T125" s="510"/>
      <c r="U125" s="554"/>
      <c r="V125" s="510"/>
      <c r="W125" s="554"/>
      <c r="X125" s="510"/>
      <c r="Y125" s="554"/>
      <c r="Z125" s="510"/>
      <c r="AA125" s="554"/>
      <c r="AB125" s="510"/>
      <c r="AC125" s="554"/>
      <c r="AD125" s="510"/>
      <c r="AE125" s="554"/>
      <c r="AF125" s="510"/>
      <c r="AG125" s="554"/>
      <c r="AH125" s="510"/>
      <c r="AI125" s="554"/>
      <c r="AJ125" s="510"/>
      <c r="AK125" s="554"/>
      <c r="AL125" s="510"/>
      <c r="AM125" s="554"/>
      <c r="AN125" s="510"/>
      <c r="AO125" s="554"/>
      <c r="AP125" s="510"/>
      <c r="AQ125" s="554"/>
      <c r="AR125" s="510"/>
      <c r="AS125" s="554"/>
      <c r="AT125" s="510"/>
      <c r="AU125" s="554"/>
      <c r="AV125" s="510"/>
      <c r="AW125" s="554"/>
      <c r="AX125" s="510"/>
      <c r="AY125" s="554"/>
      <c r="AZ125" s="510"/>
      <c r="BA125" s="130"/>
      <c r="BB125" s="130"/>
      <c r="BC125" s="130"/>
      <c r="BD125" s="130"/>
      <c r="BE125" s="130"/>
      <c r="BF125" s="130"/>
      <c r="BG125" s="130"/>
      <c r="BH125" s="130"/>
      <c r="BI125" s="130"/>
      <c r="BJ125" s="130"/>
      <c r="BK125" s="130"/>
      <c r="BL125" s="130"/>
      <c r="BM125" s="130"/>
      <c r="BN125" s="130"/>
      <c r="BO125" s="130"/>
      <c r="BP125" s="130"/>
      <c r="BQ125" s="130"/>
      <c r="BR125" s="130"/>
      <c r="BS125" s="130"/>
      <c r="BT125" s="130"/>
    </row>
    <row r="126" spans="1:72" ht="15.75" customHeight="1">
      <c r="A126" s="525"/>
      <c r="B126" s="135" t="s">
        <v>307</v>
      </c>
      <c r="C126" s="553"/>
      <c r="D126" s="510"/>
      <c r="E126" s="553"/>
      <c r="F126" s="510"/>
      <c r="G126" s="553"/>
      <c r="H126" s="510"/>
      <c r="I126" s="553"/>
      <c r="J126" s="510"/>
      <c r="K126" s="553"/>
      <c r="L126" s="510"/>
      <c r="M126" s="553"/>
      <c r="N126" s="510"/>
      <c r="O126" s="553"/>
      <c r="P126" s="510"/>
      <c r="Q126" s="553"/>
      <c r="R126" s="510"/>
      <c r="S126" s="553"/>
      <c r="T126" s="510"/>
      <c r="U126" s="553"/>
      <c r="V126" s="510"/>
      <c r="W126" s="553"/>
      <c r="X126" s="510"/>
      <c r="Y126" s="553"/>
      <c r="Z126" s="510"/>
      <c r="AA126" s="553"/>
      <c r="AB126" s="510"/>
      <c r="AC126" s="553"/>
      <c r="AD126" s="510"/>
      <c r="AE126" s="553"/>
      <c r="AF126" s="510"/>
      <c r="AG126" s="553"/>
      <c r="AH126" s="510"/>
      <c r="AI126" s="553"/>
      <c r="AJ126" s="510"/>
      <c r="AK126" s="553"/>
      <c r="AL126" s="510"/>
      <c r="AM126" s="553"/>
      <c r="AN126" s="510"/>
      <c r="AO126" s="553"/>
      <c r="AP126" s="510"/>
      <c r="AQ126" s="553"/>
      <c r="AR126" s="510"/>
      <c r="AS126" s="553"/>
      <c r="AT126" s="510"/>
      <c r="AU126" s="553"/>
      <c r="AV126" s="510"/>
      <c r="AW126" s="553"/>
      <c r="AX126" s="510"/>
      <c r="AY126" s="553"/>
      <c r="AZ126" s="510"/>
      <c r="BA126" s="130"/>
      <c r="BB126" s="130"/>
      <c r="BC126" s="130"/>
      <c r="BD126" s="130"/>
      <c r="BE126" s="130"/>
      <c r="BF126" s="130"/>
      <c r="BG126" s="130"/>
      <c r="BH126" s="130"/>
      <c r="BI126" s="130"/>
      <c r="BJ126" s="130"/>
      <c r="BK126" s="130"/>
      <c r="BL126" s="130"/>
      <c r="BM126" s="130"/>
      <c r="BN126" s="130"/>
      <c r="BO126" s="130"/>
      <c r="BP126" s="130"/>
      <c r="BQ126" s="130"/>
      <c r="BR126" s="130"/>
      <c r="BS126" s="130"/>
      <c r="BT126" s="130"/>
    </row>
    <row r="127" spans="1:72" ht="15.75" customHeight="1">
      <c r="A127" s="560" t="s">
        <v>1188</v>
      </c>
      <c r="B127" s="86" t="s">
        <v>1189</v>
      </c>
      <c r="C127" s="556">
        <v>0</v>
      </c>
      <c r="D127" s="510"/>
      <c r="E127" s="556">
        <v>0</v>
      </c>
      <c r="F127" s="510"/>
      <c r="G127" s="556">
        <v>0</v>
      </c>
      <c r="H127" s="510"/>
      <c r="I127" s="556">
        <v>0</v>
      </c>
      <c r="J127" s="510"/>
      <c r="K127" s="556">
        <v>0</v>
      </c>
      <c r="L127" s="510"/>
      <c r="M127" s="556">
        <v>0</v>
      </c>
      <c r="N127" s="510"/>
      <c r="O127" s="556">
        <v>0</v>
      </c>
      <c r="P127" s="510"/>
      <c r="Q127" s="556">
        <v>0</v>
      </c>
      <c r="R127" s="510"/>
      <c r="S127" s="556">
        <v>0</v>
      </c>
      <c r="T127" s="510"/>
      <c r="U127" s="556">
        <v>0</v>
      </c>
      <c r="V127" s="510"/>
      <c r="W127" s="556">
        <v>0</v>
      </c>
      <c r="X127" s="510"/>
      <c r="Y127" s="556">
        <v>0</v>
      </c>
      <c r="Z127" s="510"/>
      <c r="AA127" s="556">
        <v>0</v>
      </c>
      <c r="AB127" s="510"/>
      <c r="AC127" s="556">
        <v>0</v>
      </c>
      <c r="AD127" s="510"/>
      <c r="AE127" s="556">
        <v>0</v>
      </c>
      <c r="AF127" s="510"/>
      <c r="AG127" s="556">
        <v>0</v>
      </c>
      <c r="AH127" s="510"/>
      <c r="AI127" s="556">
        <v>0</v>
      </c>
      <c r="AJ127" s="510"/>
      <c r="AK127" s="556">
        <v>0</v>
      </c>
      <c r="AL127" s="510"/>
      <c r="AM127" s="556">
        <v>0</v>
      </c>
      <c r="AN127" s="510"/>
      <c r="AO127" s="556">
        <v>0</v>
      </c>
      <c r="AP127" s="510"/>
      <c r="AQ127" s="556">
        <v>0</v>
      </c>
      <c r="AR127" s="510"/>
      <c r="AS127" s="556">
        <v>0</v>
      </c>
      <c r="AT127" s="510"/>
      <c r="AU127" s="556">
        <v>0</v>
      </c>
      <c r="AV127" s="510"/>
      <c r="AW127" s="556">
        <v>0</v>
      </c>
      <c r="AX127" s="510"/>
      <c r="AY127" s="556">
        <v>0</v>
      </c>
      <c r="AZ127" s="510"/>
      <c r="BA127" s="130"/>
      <c r="BB127" s="130"/>
      <c r="BC127" s="130"/>
      <c r="BD127" s="130"/>
      <c r="BE127" s="130"/>
      <c r="BF127" s="130"/>
      <c r="BG127" s="130"/>
      <c r="BH127" s="130"/>
      <c r="BI127" s="130"/>
      <c r="BJ127" s="130"/>
      <c r="BK127" s="130"/>
      <c r="BL127" s="130"/>
      <c r="BM127" s="130"/>
      <c r="BN127" s="130"/>
      <c r="BO127" s="130"/>
      <c r="BP127" s="130"/>
      <c r="BQ127" s="130"/>
      <c r="BR127" s="130"/>
      <c r="BS127" s="130"/>
      <c r="BT127" s="130"/>
    </row>
    <row r="128" spans="1:72" ht="15" customHeight="1">
      <c r="A128" s="525"/>
      <c r="B128" s="135" t="s">
        <v>307</v>
      </c>
      <c r="C128" s="553"/>
      <c r="D128" s="510"/>
      <c r="E128" s="553"/>
      <c r="F128" s="510"/>
      <c r="G128" s="553"/>
      <c r="H128" s="510"/>
      <c r="I128" s="553"/>
      <c r="J128" s="510"/>
      <c r="K128" s="553"/>
      <c r="L128" s="510"/>
      <c r="M128" s="553"/>
      <c r="N128" s="510"/>
      <c r="O128" s="553"/>
      <c r="P128" s="510"/>
      <c r="Q128" s="553"/>
      <c r="R128" s="510"/>
      <c r="S128" s="553"/>
      <c r="T128" s="510"/>
      <c r="U128" s="553"/>
      <c r="V128" s="510"/>
      <c r="W128" s="553"/>
      <c r="X128" s="510"/>
      <c r="Y128" s="553"/>
      <c r="Z128" s="510"/>
      <c r="AA128" s="553"/>
      <c r="AB128" s="510"/>
      <c r="AC128" s="553"/>
      <c r="AD128" s="510"/>
      <c r="AE128" s="553"/>
      <c r="AF128" s="510"/>
      <c r="AG128" s="553"/>
      <c r="AH128" s="510"/>
      <c r="AI128" s="553"/>
      <c r="AJ128" s="510"/>
      <c r="AK128" s="553"/>
      <c r="AL128" s="510"/>
      <c r="AM128" s="553"/>
      <c r="AN128" s="510"/>
      <c r="AO128" s="553"/>
      <c r="AP128" s="510"/>
      <c r="AQ128" s="553"/>
      <c r="AR128" s="510"/>
      <c r="AS128" s="553"/>
      <c r="AT128" s="510"/>
      <c r="AU128" s="553"/>
      <c r="AV128" s="510"/>
      <c r="AW128" s="553"/>
      <c r="AX128" s="510"/>
      <c r="AY128" s="553"/>
      <c r="AZ128" s="510"/>
      <c r="BA128" s="130"/>
      <c r="BB128" s="130"/>
      <c r="BC128" s="130"/>
      <c r="BD128" s="130"/>
      <c r="BE128" s="130"/>
      <c r="BF128" s="130"/>
      <c r="BG128" s="130"/>
      <c r="BH128" s="130"/>
      <c r="BI128" s="130"/>
      <c r="BJ128" s="130"/>
      <c r="BK128" s="130"/>
      <c r="BL128" s="130"/>
      <c r="BM128" s="130"/>
      <c r="BN128" s="130"/>
      <c r="BO128" s="130"/>
      <c r="BP128" s="130"/>
      <c r="BQ128" s="130"/>
      <c r="BR128" s="130"/>
      <c r="BS128" s="130"/>
      <c r="BT128" s="130"/>
    </row>
    <row r="129" spans="1:72" ht="15" customHeight="1">
      <c r="A129" s="575" t="s">
        <v>1190</v>
      </c>
      <c r="B129" s="696" t="s">
        <v>809</v>
      </c>
      <c r="C129" s="613">
        <v>1</v>
      </c>
      <c r="D129" s="510"/>
      <c r="E129" s="613">
        <v>2</v>
      </c>
      <c r="F129" s="510"/>
      <c r="G129" s="613">
        <v>3</v>
      </c>
      <c r="H129" s="510"/>
      <c r="I129" s="613">
        <v>4</v>
      </c>
      <c r="J129" s="510"/>
      <c r="K129" s="613">
        <v>5</v>
      </c>
      <c r="L129" s="510"/>
      <c r="M129" s="613">
        <v>6</v>
      </c>
      <c r="N129" s="510"/>
      <c r="O129" s="613">
        <v>7</v>
      </c>
      <c r="P129" s="510"/>
      <c r="Q129" s="613">
        <v>8</v>
      </c>
      <c r="R129" s="510"/>
      <c r="S129" s="613">
        <v>9</v>
      </c>
      <c r="T129" s="510"/>
      <c r="U129" s="613">
        <v>10</v>
      </c>
      <c r="V129" s="510"/>
      <c r="W129" s="613">
        <v>11</v>
      </c>
      <c r="X129" s="510"/>
      <c r="Y129" s="613">
        <v>12</v>
      </c>
      <c r="Z129" s="510"/>
      <c r="AA129" s="613">
        <v>13</v>
      </c>
      <c r="AB129" s="510"/>
      <c r="AC129" s="613">
        <v>14</v>
      </c>
      <c r="AD129" s="510"/>
      <c r="AE129" s="613">
        <v>15</v>
      </c>
      <c r="AF129" s="510"/>
      <c r="AG129" s="613">
        <v>16</v>
      </c>
      <c r="AH129" s="510"/>
      <c r="AI129" s="613">
        <v>17</v>
      </c>
      <c r="AJ129" s="510"/>
      <c r="AK129" s="613">
        <v>18</v>
      </c>
      <c r="AL129" s="510"/>
      <c r="AM129" s="613">
        <v>19</v>
      </c>
      <c r="AN129" s="510"/>
      <c r="AO129" s="613">
        <v>20</v>
      </c>
      <c r="AP129" s="510"/>
      <c r="AQ129" s="613">
        <v>21</v>
      </c>
      <c r="AR129" s="510"/>
      <c r="AS129" s="613">
        <v>22</v>
      </c>
      <c r="AT129" s="510"/>
      <c r="AU129" s="613">
        <v>23</v>
      </c>
      <c r="AV129" s="510"/>
      <c r="AW129" s="613">
        <v>24</v>
      </c>
      <c r="AX129" s="510"/>
      <c r="AY129" s="613">
        <v>25</v>
      </c>
      <c r="AZ129" s="510"/>
      <c r="BA129" s="130"/>
      <c r="BB129" s="130"/>
      <c r="BC129" s="130"/>
      <c r="BD129" s="130"/>
      <c r="BE129" s="130"/>
      <c r="BF129" s="130"/>
      <c r="BG129" s="130"/>
      <c r="BH129" s="130"/>
      <c r="BI129" s="130"/>
      <c r="BJ129" s="130"/>
      <c r="BK129" s="130"/>
      <c r="BL129" s="130"/>
      <c r="BM129" s="130"/>
      <c r="BN129" s="130"/>
      <c r="BO129" s="130"/>
      <c r="BP129" s="130"/>
      <c r="BQ129" s="130"/>
      <c r="BR129" s="130"/>
      <c r="BS129" s="130"/>
      <c r="BT129" s="130"/>
    </row>
    <row r="130" spans="1:72" ht="15.75" customHeight="1">
      <c r="A130" s="525"/>
      <c r="B130" s="525"/>
      <c r="C130" s="154" t="s">
        <v>300</v>
      </c>
      <c r="D130" s="154" t="s">
        <v>301</v>
      </c>
      <c r="E130" s="154" t="s">
        <v>300</v>
      </c>
      <c r="F130" s="154" t="s">
        <v>301</v>
      </c>
      <c r="G130" s="154" t="s">
        <v>300</v>
      </c>
      <c r="H130" s="154" t="s">
        <v>301</v>
      </c>
      <c r="I130" s="154" t="s">
        <v>300</v>
      </c>
      <c r="J130" s="154" t="s">
        <v>301</v>
      </c>
      <c r="K130" s="154" t="s">
        <v>300</v>
      </c>
      <c r="L130" s="154" t="s">
        <v>301</v>
      </c>
      <c r="M130" s="154" t="s">
        <v>300</v>
      </c>
      <c r="N130" s="154" t="s">
        <v>301</v>
      </c>
      <c r="O130" s="154" t="s">
        <v>300</v>
      </c>
      <c r="P130" s="154" t="s">
        <v>301</v>
      </c>
      <c r="Q130" s="154" t="s">
        <v>300</v>
      </c>
      <c r="R130" s="154" t="s">
        <v>301</v>
      </c>
      <c r="S130" s="154" t="s">
        <v>300</v>
      </c>
      <c r="T130" s="154" t="s">
        <v>301</v>
      </c>
      <c r="U130" s="154" t="s">
        <v>300</v>
      </c>
      <c r="V130" s="154" t="s">
        <v>301</v>
      </c>
      <c r="W130" s="154" t="s">
        <v>300</v>
      </c>
      <c r="X130" s="154" t="s">
        <v>301</v>
      </c>
      <c r="Y130" s="154" t="s">
        <v>300</v>
      </c>
      <c r="Z130" s="154" t="s">
        <v>301</v>
      </c>
      <c r="AA130" s="154" t="s">
        <v>300</v>
      </c>
      <c r="AB130" s="154" t="s">
        <v>301</v>
      </c>
      <c r="AC130" s="154" t="s">
        <v>300</v>
      </c>
      <c r="AD130" s="154" t="s">
        <v>301</v>
      </c>
      <c r="AE130" s="154" t="s">
        <v>300</v>
      </c>
      <c r="AF130" s="154" t="s">
        <v>301</v>
      </c>
      <c r="AG130" s="154" t="s">
        <v>300</v>
      </c>
      <c r="AH130" s="154" t="s">
        <v>301</v>
      </c>
      <c r="AI130" s="154" t="s">
        <v>300</v>
      </c>
      <c r="AJ130" s="154" t="s">
        <v>301</v>
      </c>
      <c r="AK130" s="154" t="s">
        <v>300</v>
      </c>
      <c r="AL130" s="154" t="s">
        <v>301</v>
      </c>
      <c r="AM130" s="154" t="s">
        <v>300</v>
      </c>
      <c r="AN130" s="154" t="s">
        <v>301</v>
      </c>
      <c r="AO130" s="154" t="s">
        <v>300</v>
      </c>
      <c r="AP130" s="154" t="s">
        <v>301</v>
      </c>
      <c r="AQ130" s="154" t="s">
        <v>300</v>
      </c>
      <c r="AR130" s="154" t="s">
        <v>301</v>
      </c>
      <c r="AS130" s="154" t="s">
        <v>300</v>
      </c>
      <c r="AT130" s="154" t="s">
        <v>301</v>
      </c>
      <c r="AU130" s="154" t="s">
        <v>300</v>
      </c>
      <c r="AV130" s="154" t="s">
        <v>301</v>
      </c>
      <c r="AW130" s="154" t="s">
        <v>300</v>
      </c>
      <c r="AX130" s="154" t="s">
        <v>301</v>
      </c>
      <c r="AY130" s="154" t="s">
        <v>300</v>
      </c>
      <c r="AZ130" s="154" t="s">
        <v>301</v>
      </c>
      <c r="BA130" s="130"/>
      <c r="BB130" s="130"/>
      <c r="BC130" s="130"/>
      <c r="BD130" s="130"/>
      <c r="BE130" s="130"/>
      <c r="BF130" s="130"/>
      <c r="BG130" s="130"/>
      <c r="BH130" s="130"/>
      <c r="BI130" s="130"/>
      <c r="BJ130" s="130"/>
      <c r="BK130" s="130"/>
      <c r="BL130" s="130"/>
      <c r="BM130" s="130"/>
      <c r="BN130" s="130"/>
      <c r="BO130" s="130"/>
      <c r="BP130" s="130"/>
      <c r="BQ130" s="130"/>
      <c r="BR130" s="130"/>
      <c r="BS130" s="130"/>
      <c r="BT130" s="130"/>
    </row>
    <row r="131" spans="1:72" ht="15.75" customHeight="1">
      <c r="A131" s="560" t="s">
        <v>527</v>
      </c>
      <c r="B131" s="86" t="s">
        <v>1191</v>
      </c>
      <c r="C131" s="556">
        <v>0</v>
      </c>
      <c r="D131" s="510"/>
      <c r="E131" s="556">
        <v>0</v>
      </c>
      <c r="F131" s="510"/>
      <c r="G131" s="556">
        <v>0</v>
      </c>
      <c r="H131" s="510"/>
      <c r="I131" s="556">
        <v>0</v>
      </c>
      <c r="J131" s="510"/>
      <c r="K131" s="556">
        <v>0</v>
      </c>
      <c r="L131" s="510"/>
      <c r="M131" s="556">
        <v>0</v>
      </c>
      <c r="N131" s="510"/>
      <c r="O131" s="556">
        <v>0</v>
      </c>
      <c r="P131" s="510"/>
      <c r="Q131" s="556">
        <v>0</v>
      </c>
      <c r="R131" s="510"/>
      <c r="S131" s="556">
        <v>0</v>
      </c>
      <c r="T131" s="510"/>
      <c r="U131" s="556">
        <v>0</v>
      </c>
      <c r="V131" s="510"/>
      <c r="W131" s="556">
        <v>0</v>
      </c>
      <c r="X131" s="510"/>
      <c r="Y131" s="556">
        <v>0</v>
      </c>
      <c r="Z131" s="510"/>
      <c r="AA131" s="556">
        <v>0</v>
      </c>
      <c r="AB131" s="510"/>
      <c r="AC131" s="556">
        <v>0</v>
      </c>
      <c r="AD131" s="510"/>
      <c r="AE131" s="556">
        <v>0</v>
      </c>
      <c r="AF131" s="510"/>
      <c r="AG131" s="556">
        <v>0</v>
      </c>
      <c r="AH131" s="510"/>
      <c r="AI131" s="556">
        <v>0</v>
      </c>
      <c r="AJ131" s="510"/>
      <c r="AK131" s="556">
        <v>0</v>
      </c>
      <c r="AL131" s="510"/>
      <c r="AM131" s="556">
        <v>0</v>
      </c>
      <c r="AN131" s="510"/>
      <c r="AO131" s="556">
        <v>0</v>
      </c>
      <c r="AP131" s="510"/>
      <c r="AQ131" s="556">
        <v>0</v>
      </c>
      <c r="AR131" s="510"/>
      <c r="AS131" s="556">
        <v>0</v>
      </c>
      <c r="AT131" s="510"/>
      <c r="AU131" s="556">
        <v>0</v>
      </c>
      <c r="AV131" s="510"/>
      <c r="AW131" s="556">
        <v>0</v>
      </c>
      <c r="AX131" s="510"/>
      <c r="AY131" s="556">
        <v>0</v>
      </c>
      <c r="AZ131" s="510"/>
      <c r="BA131" s="130"/>
      <c r="BB131" s="130"/>
      <c r="BC131" s="130"/>
      <c r="BD131" s="130"/>
      <c r="BE131" s="130"/>
      <c r="BF131" s="130"/>
      <c r="BG131" s="130"/>
      <c r="BH131" s="130"/>
      <c r="BI131" s="130"/>
      <c r="BJ131" s="130"/>
      <c r="BK131" s="130"/>
      <c r="BL131" s="130"/>
      <c r="BM131" s="130"/>
      <c r="BN131" s="130"/>
      <c r="BO131" s="130"/>
      <c r="BP131" s="130"/>
      <c r="BQ131" s="130"/>
      <c r="BR131" s="130"/>
      <c r="BS131" s="130"/>
      <c r="BT131" s="130"/>
    </row>
    <row r="132" spans="1:72" ht="15" customHeight="1">
      <c r="A132" s="524"/>
      <c r="B132" s="138" t="s">
        <v>721</v>
      </c>
      <c r="C132" s="554"/>
      <c r="D132" s="510"/>
      <c r="E132" s="554"/>
      <c r="F132" s="510"/>
      <c r="G132" s="554"/>
      <c r="H132" s="510"/>
      <c r="I132" s="554"/>
      <c r="J132" s="510"/>
      <c r="K132" s="554"/>
      <c r="L132" s="510"/>
      <c r="M132" s="554"/>
      <c r="N132" s="510"/>
      <c r="O132" s="554"/>
      <c r="P132" s="510"/>
      <c r="Q132" s="554"/>
      <c r="R132" s="510"/>
      <c r="S132" s="554"/>
      <c r="T132" s="510"/>
      <c r="U132" s="554"/>
      <c r="V132" s="510"/>
      <c r="W132" s="554"/>
      <c r="X132" s="510"/>
      <c r="Y132" s="554"/>
      <c r="Z132" s="510"/>
      <c r="AA132" s="554"/>
      <c r="AB132" s="510"/>
      <c r="AC132" s="554"/>
      <c r="AD132" s="510"/>
      <c r="AE132" s="554"/>
      <c r="AF132" s="510"/>
      <c r="AG132" s="554"/>
      <c r="AH132" s="510"/>
      <c r="AI132" s="554"/>
      <c r="AJ132" s="510"/>
      <c r="AK132" s="554"/>
      <c r="AL132" s="510"/>
      <c r="AM132" s="554"/>
      <c r="AN132" s="510"/>
      <c r="AO132" s="554"/>
      <c r="AP132" s="510"/>
      <c r="AQ132" s="554"/>
      <c r="AR132" s="510"/>
      <c r="AS132" s="554"/>
      <c r="AT132" s="510"/>
      <c r="AU132" s="554"/>
      <c r="AV132" s="510"/>
      <c r="AW132" s="554"/>
      <c r="AX132" s="510"/>
      <c r="AY132" s="554"/>
      <c r="AZ132" s="510"/>
      <c r="BA132" s="130"/>
      <c r="BB132" s="130"/>
      <c r="BC132" s="130"/>
      <c r="BD132" s="130"/>
      <c r="BE132" s="130"/>
      <c r="BF132" s="130"/>
      <c r="BG132" s="130"/>
      <c r="BH132" s="130"/>
      <c r="BI132" s="130"/>
      <c r="BJ132" s="130"/>
      <c r="BK132" s="130"/>
      <c r="BL132" s="130"/>
      <c r="BM132" s="130"/>
      <c r="BN132" s="130"/>
      <c r="BO132" s="130"/>
      <c r="BP132" s="130"/>
      <c r="BQ132" s="130"/>
      <c r="BR132" s="130"/>
      <c r="BS132" s="130"/>
      <c r="BT132" s="130"/>
    </row>
    <row r="133" spans="1:72" ht="15.75" customHeight="1">
      <c r="A133" s="525"/>
      <c r="B133" s="135" t="s">
        <v>307</v>
      </c>
      <c r="C133" s="553"/>
      <c r="D133" s="510"/>
      <c r="E133" s="553"/>
      <c r="F133" s="510"/>
      <c r="G133" s="553"/>
      <c r="H133" s="510"/>
      <c r="I133" s="553"/>
      <c r="J133" s="510"/>
      <c r="K133" s="553"/>
      <c r="L133" s="510"/>
      <c r="M133" s="553"/>
      <c r="N133" s="510"/>
      <c r="O133" s="553"/>
      <c r="P133" s="510"/>
      <c r="Q133" s="553"/>
      <c r="R133" s="510"/>
      <c r="S133" s="553"/>
      <c r="T133" s="510"/>
      <c r="U133" s="553"/>
      <c r="V133" s="510"/>
      <c r="W133" s="553"/>
      <c r="X133" s="510"/>
      <c r="Y133" s="553"/>
      <c r="Z133" s="510"/>
      <c r="AA133" s="553"/>
      <c r="AB133" s="510"/>
      <c r="AC133" s="553"/>
      <c r="AD133" s="510"/>
      <c r="AE133" s="553"/>
      <c r="AF133" s="510"/>
      <c r="AG133" s="553"/>
      <c r="AH133" s="510"/>
      <c r="AI133" s="553"/>
      <c r="AJ133" s="510"/>
      <c r="AK133" s="553"/>
      <c r="AL133" s="510"/>
      <c r="AM133" s="553"/>
      <c r="AN133" s="510"/>
      <c r="AO133" s="553"/>
      <c r="AP133" s="510"/>
      <c r="AQ133" s="553"/>
      <c r="AR133" s="510"/>
      <c r="AS133" s="553"/>
      <c r="AT133" s="510"/>
      <c r="AU133" s="553"/>
      <c r="AV133" s="510"/>
      <c r="AW133" s="553"/>
      <c r="AX133" s="510"/>
      <c r="AY133" s="553"/>
      <c r="AZ133" s="510"/>
      <c r="BA133" s="130"/>
      <c r="BB133" s="130"/>
      <c r="BC133" s="130"/>
      <c r="BD133" s="130"/>
      <c r="BE133" s="130"/>
      <c r="BF133" s="130"/>
      <c r="BG133" s="130"/>
      <c r="BH133" s="130"/>
      <c r="BI133" s="130"/>
      <c r="BJ133" s="130"/>
      <c r="BK133" s="130"/>
      <c r="BL133" s="130"/>
      <c r="BM133" s="130"/>
      <c r="BN133" s="130"/>
      <c r="BO133" s="130"/>
      <c r="BP133" s="130"/>
      <c r="BQ133" s="130"/>
      <c r="BR133" s="130"/>
      <c r="BS133" s="130"/>
      <c r="BT133" s="130"/>
    </row>
    <row r="134" spans="1:72" ht="38.25" hidden="1" customHeight="1">
      <c r="A134" s="560" t="s">
        <v>554</v>
      </c>
      <c r="B134" s="86" t="s">
        <v>1155</v>
      </c>
      <c r="C134" s="556"/>
      <c r="D134" s="510"/>
      <c r="E134" s="556"/>
      <c r="F134" s="510"/>
      <c r="G134" s="556"/>
      <c r="H134" s="510"/>
      <c r="I134" s="556"/>
      <c r="J134" s="510"/>
      <c r="K134" s="556"/>
      <c r="L134" s="510"/>
      <c r="M134" s="556"/>
      <c r="N134" s="510"/>
      <c r="O134" s="556"/>
      <c r="P134" s="510"/>
      <c r="Q134" s="556"/>
      <c r="R134" s="510"/>
      <c r="S134" s="556"/>
      <c r="T134" s="510"/>
      <c r="U134" s="556"/>
      <c r="V134" s="510"/>
      <c r="W134" s="556"/>
      <c r="X134" s="510"/>
      <c r="Y134" s="556"/>
      <c r="Z134" s="510"/>
      <c r="AA134" s="556"/>
      <c r="AB134" s="510"/>
      <c r="AC134" s="556"/>
      <c r="AD134" s="510"/>
      <c r="AE134" s="556"/>
      <c r="AF134" s="510"/>
      <c r="AG134" s="556"/>
      <c r="AH134" s="510"/>
      <c r="AI134" s="556"/>
      <c r="AJ134" s="510"/>
      <c r="AK134" s="556"/>
      <c r="AL134" s="510"/>
      <c r="AM134" s="556"/>
      <c r="AN134" s="510"/>
      <c r="AO134" s="556"/>
      <c r="AP134" s="510"/>
      <c r="AQ134" s="556"/>
      <c r="AR134" s="510"/>
      <c r="AS134" s="556"/>
      <c r="AT134" s="510"/>
      <c r="AU134" s="556"/>
      <c r="AV134" s="510"/>
      <c r="AW134" s="556"/>
      <c r="AX134" s="510"/>
      <c r="AY134" s="556"/>
      <c r="AZ134" s="510"/>
      <c r="BA134" s="130"/>
      <c r="BB134" s="130"/>
      <c r="BC134" s="130"/>
      <c r="BD134" s="130"/>
      <c r="BE134" s="130"/>
      <c r="BF134" s="130"/>
      <c r="BG134" s="130"/>
      <c r="BH134" s="130"/>
      <c r="BI134" s="130"/>
      <c r="BJ134" s="130"/>
      <c r="BK134" s="130"/>
      <c r="BL134" s="130"/>
      <c r="BM134" s="130"/>
      <c r="BN134" s="130"/>
      <c r="BO134" s="130"/>
      <c r="BP134" s="130"/>
      <c r="BQ134" s="130"/>
      <c r="BR134" s="130"/>
      <c r="BS134" s="130"/>
      <c r="BT134" s="130"/>
    </row>
    <row r="135" spans="1:72" ht="15" hidden="1" customHeight="1">
      <c r="A135" s="525"/>
      <c r="B135" s="135" t="s">
        <v>307</v>
      </c>
      <c r="C135" s="711"/>
      <c r="D135" s="510"/>
      <c r="E135" s="711"/>
      <c r="F135" s="510"/>
      <c r="G135" s="711"/>
      <c r="H135" s="510"/>
      <c r="I135" s="711"/>
      <c r="J135" s="510"/>
      <c r="K135" s="711"/>
      <c r="L135" s="510"/>
      <c r="M135" s="711"/>
      <c r="N135" s="510"/>
      <c r="O135" s="711"/>
      <c r="P135" s="510"/>
      <c r="Q135" s="711"/>
      <c r="R135" s="510"/>
      <c r="S135" s="711"/>
      <c r="T135" s="510"/>
      <c r="U135" s="711"/>
      <c r="V135" s="510"/>
      <c r="W135" s="711"/>
      <c r="X135" s="510"/>
      <c r="Y135" s="711"/>
      <c r="Z135" s="510"/>
      <c r="AA135" s="711"/>
      <c r="AB135" s="510"/>
      <c r="AC135" s="711"/>
      <c r="AD135" s="510"/>
      <c r="AE135" s="711"/>
      <c r="AF135" s="510"/>
      <c r="AG135" s="711"/>
      <c r="AH135" s="510"/>
      <c r="AI135" s="711"/>
      <c r="AJ135" s="510"/>
      <c r="AK135" s="711"/>
      <c r="AL135" s="510"/>
      <c r="AM135" s="711"/>
      <c r="AN135" s="510"/>
      <c r="AO135" s="711"/>
      <c r="AP135" s="510"/>
      <c r="AQ135" s="711"/>
      <c r="AR135" s="510"/>
      <c r="AS135" s="711"/>
      <c r="AT135" s="510"/>
      <c r="AU135" s="711"/>
      <c r="AV135" s="510"/>
      <c r="AW135" s="711"/>
      <c r="AX135" s="510"/>
      <c r="AY135" s="711"/>
      <c r="AZ135" s="510"/>
      <c r="BA135" s="130"/>
      <c r="BB135" s="130"/>
      <c r="BC135" s="130"/>
      <c r="BD135" s="130"/>
      <c r="BE135" s="130"/>
      <c r="BF135" s="130"/>
      <c r="BG135" s="130"/>
      <c r="BH135" s="130"/>
      <c r="BI135" s="130"/>
      <c r="BJ135" s="130"/>
      <c r="BK135" s="130"/>
      <c r="BL135" s="130"/>
      <c r="BM135" s="130"/>
      <c r="BN135" s="130"/>
      <c r="BO135" s="130"/>
      <c r="BP135" s="130"/>
      <c r="BQ135" s="130"/>
      <c r="BR135" s="130"/>
      <c r="BS135" s="130"/>
      <c r="BT135" s="130"/>
    </row>
    <row r="136" spans="1:72" ht="15" customHeight="1">
      <c r="A136" s="319" t="s">
        <v>824</v>
      </c>
      <c r="B136" s="320" t="s">
        <v>825</v>
      </c>
      <c r="C136" s="613">
        <v>1</v>
      </c>
      <c r="D136" s="510"/>
      <c r="E136" s="613">
        <v>2</v>
      </c>
      <c r="F136" s="510"/>
      <c r="G136" s="613">
        <v>3</v>
      </c>
      <c r="H136" s="510"/>
      <c r="I136" s="613">
        <v>4</v>
      </c>
      <c r="J136" s="510"/>
      <c r="K136" s="613">
        <v>5</v>
      </c>
      <c r="L136" s="510"/>
      <c r="M136" s="613">
        <v>6</v>
      </c>
      <c r="N136" s="510"/>
      <c r="O136" s="613">
        <v>7</v>
      </c>
      <c r="P136" s="510"/>
      <c r="Q136" s="613">
        <v>8</v>
      </c>
      <c r="R136" s="510"/>
      <c r="S136" s="613">
        <v>9</v>
      </c>
      <c r="T136" s="510"/>
      <c r="U136" s="613">
        <v>10</v>
      </c>
      <c r="V136" s="510"/>
      <c r="W136" s="613">
        <v>11</v>
      </c>
      <c r="X136" s="510"/>
      <c r="Y136" s="613">
        <v>12</v>
      </c>
      <c r="Z136" s="510"/>
      <c r="AA136" s="613">
        <v>13</v>
      </c>
      <c r="AB136" s="510"/>
      <c r="AC136" s="613">
        <v>14</v>
      </c>
      <c r="AD136" s="510"/>
      <c r="AE136" s="613">
        <v>15</v>
      </c>
      <c r="AF136" s="510"/>
      <c r="AG136" s="613">
        <v>16</v>
      </c>
      <c r="AH136" s="510"/>
      <c r="AI136" s="613">
        <v>17</v>
      </c>
      <c r="AJ136" s="510"/>
      <c r="AK136" s="613">
        <v>18</v>
      </c>
      <c r="AL136" s="510"/>
      <c r="AM136" s="613">
        <v>19</v>
      </c>
      <c r="AN136" s="510"/>
      <c r="AO136" s="613">
        <v>20</v>
      </c>
      <c r="AP136" s="510"/>
      <c r="AQ136" s="613">
        <v>21</v>
      </c>
      <c r="AR136" s="510"/>
      <c r="AS136" s="613">
        <v>22</v>
      </c>
      <c r="AT136" s="510"/>
      <c r="AU136" s="613">
        <v>23</v>
      </c>
      <c r="AV136" s="510"/>
      <c r="AW136" s="613">
        <v>24</v>
      </c>
      <c r="AX136" s="510"/>
      <c r="AY136" s="613">
        <v>25</v>
      </c>
      <c r="AZ136" s="510"/>
      <c r="BA136" s="130"/>
      <c r="BB136" s="130"/>
      <c r="BC136" s="130"/>
      <c r="BD136" s="130"/>
      <c r="BE136" s="130"/>
      <c r="BF136" s="130"/>
      <c r="BG136" s="130"/>
      <c r="BH136" s="130"/>
      <c r="BI136" s="130"/>
      <c r="BJ136" s="130"/>
      <c r="BK136" s="130"/>
      <c r="BL136" s="130"/>
      <c r="BM136" s="130"/>
      <c r="BN136" s="130"/>
      <c r="BO136" s="130"/>
      <c r="BP136" s="130"/>
      <c r="BQ136" s="130"/>
      <c r="BR136" s="130"/>
      <c r="BS136" s="130"/>
      <c r="BT136" s="130"/>
    </row>
    <row r="137" spans="1:72" ht="15.75" customHeight="1">
      <c r="A137" s="319">
        <v>7</v>
      </c>
      <c r="B137" s="320" t="s">
        <v>1192</v>
      </c>
      <c r="C137" s="154" t="s">
        <v>300</v>
      </c>
      <c r="D137" s="154" t="s">
        <v>301</v>
      </c>
      <c r="E137" s="154" t="s">
        <v>300</v>
      </c>
      <c r="F137" s="154" t="s">
        <v>301</v>
      </c>
      <c r="G137" s="154" t="s">
        <v>300</v>
      </c>
      <c r="H137" s="154" t="s">
        <v>301</v>
      </c>
      <c r="I137" s="154" t="s">
        <v>300</v>
      </c>
      <c r="J137" s="154" t="s">
        <v>301</v>
      </c>
      <c r="K137" s="154" t="s">
        <v>300</v>
      </c>
      <c r="L137" s="154" t="s">
        <v>301</v>
      </c>
      <c r="M137" s="154" t="s">
        <v>300</v>
      </c>
      <c r="N137" s="154" t="s">
        <v>301</v>
      </c>
      <c r="O137" s="154" t="s">
        <v>300</v>
      </c>
      <c r="P137" s="154" t="s">
        <v>301</v>
      </c>
      <c r="Q137" s="154" t="s">
        <v>300</v>
      </c>
      <c r="R137" s="154" t="s">
        <v>301</v>
      </c>
      <c r="S137" s="154" t="s">
        <v>300</v>
      </c>
      <c r="T137" s="154" t="s">
        <v>301</v>
      </c>
      <c r="U137" s="154" t="s">
        <v>300</v>
      </c>
      <c r="V137" s="154" t="s">
        <v>301</v>
      </c>
      <c r="W137" s="154" t="s">
        <v>300</v>
      </c>
      <c r="X137" s="154" t="s">
        <v>301</v>
      </c>
      <c r="Y137" s="154" t="s">
        <v>300</v>
      </c>
      <c r="Z137" s="154" t="s">
        <v>301</v>
      </c>
      <c r="AA137" s="154" t="s">
        <v>300</v>
      </c>
      <c r="AB137" s="154" t="s">
        <v>301</v>
      </c>
      <c r="AC137" s="154" t="s">
        <v>300</v>
      </c>
      <c r="AD137" s="154" t="s">
        <v>301</v>
      </c>
      <c r="AE137" s="154" t="s">
        <v>300</v>
      </c>
      <c r="AF137" s="154" t="s">
        <v>301</v>
      </c>
      <c r="AG137" s="154" t="s">
        <v>300</v>
      </c>
      <c r="AH137" s="154" t="s">
        <v>301</v>
      </c>
      <c r="AI137" s="154" t="s">
        <v>300</v>
      </c>
      <c r="AJ137" s="154" t="s">
        <v>301</v>
      </c>
      <c r="AK137" s="154" t="s">
        <v>300</v>
      </c>
      <c r="AL137" s="154" t="s">
        <v>301</v>
      </c>
      <c r="AM137" s="154" t="s">
        <v>300</v>
      </c>
      <c r="AN137" s="154" t="s">
        <v>301</v>
      </c>
      <c r="AO137" s="154" t="s">
        <v>300</v>
      </c>
      <c r="AP137" s="154" t="s">
        <v>301</v>
      </c>
      <c r="AQ137" s="154" t="s">
        <v>300</v>
      </c>
      <c r="AR137" s="154" t="s">
        <v>301</v>
      </c>
      <c r="AS137" s="154" t="s">
        <v>300</v>
      </c>
      <c r="AT137" s="154" t="s">
        <v>301</v>
      </c>
      <c r="AU137" s="154" t="s">
        <v>300</v>
      </c>
      <c r="AV137" s="154" t="s">
        <v>301</v>
      </c>
      <c r="AW137" s="154" t="s">
        <v>300</v>
      </c>
      <c r="AX137" s="154" t="s">
        <v>301</v>
      </c>
      <c r="AY137" s="154" t="s">
        <v>300</v>
      </c>
      <c r="AZ137" s="154" t="s">
        <v>301</v>
      </c>
      <c r="BA137" s="130"/>
      <c r="BB137" s="130"/>
      <c r="BC137" s="130"/>
      <c r="BD137" s="130"/>
      <c r="BE137" s="130"/>
      <c r="BF137" s="130"/>
      <c r="BG137" s="130"/>
      <c r="BH137" s="130"/>
      <c r="BI137" s="130"/>
      <c r="BJ137" s="130"/>
      <c r="BK137" s="130"/>
      <c r="BL137" s="130"/>
      <c r="BM137" s="130"/>
      <c r="BN137" s="130"/>
      <c r="BO137" s="130"/>
      <c r="BP137" s="130"/>
      <c r="BQ137" s="130"/>
      <c r="BR137" s="130"/>
      <c r="BS137" s="130"/>
      <c r="BT137" s="130"/>
    </row>
    <row r="138" spans="1:72" ht="15.75" customHeight="1">
      <c r="A138" s="560" t="s">
        <v>716</v>
      </c>
      <c r="B138" s="86" t="s">
        <v>1193</v>
      </c>
      <c r="C138" s="556">
        <v>0</v>
      </c>
      <c r="D138" s="510"/>
      <c r="E138" s="556">
        <v>0</v>
      </c>
      <c r="F138" s="510"/>
      <c r="G138" s="556">
        <v>0</v>
      </c>
      <c r="H138" s="510"/>
      <c r="I138" s="556">
        <v>0</v>
      </c>
      <c r="J138" s="510"/>
      <c r="K138" s="556">
        <v>0</v>
      </c>
      <c r="L138" s="510"/>
      <c r="M138" s="556">
        <v>0</v>
      </c>
      <c r="N138" s="510"/>
      <c r="O138" s="556">
        <v>0</v>
      </c>
      <c r="P138" s="510"/>
      <c r="Q138" s="556">
        <v>0</v>
      </c>
      <c r="R138" s="510"/>
      <c r="S138" s="556">
        <v>0</v>
      </c>
      <c r="T138" s="510"/>
      <c r="U138" s="556">
        <v>0</v>
      </c>
      <c r="V138" s="510"/>
      <c r="W138" s="556">
        <v>0</v>
      </c>
      <c r="X138" s="510"/>
      <c r="Y138" s="556">
        <v>0</v>
      </c>
      <c r="Z138" s="510"/>
      <c r="AA138" s="556">
        <v>0</v>
      </c>
      <c r="AB138" s="510"/>
      <c r="AC138" s="556">
        <v>0</v>
      </c>
      <c r="AD138" s="510"/>
      <c r="AE138" s="556">
        <v>0</v>
      </c>
      <c r="AF138" s="510"/>
      <c r="AG138" s="556">
        <v>0</v>
      </c>
      <c r="AH138" s="510"/>
      <c r="AI138" s="556">
        <v>0</v>
      </c>
      <c r="AJ138" s="510"/>
      <c r="AK138" s="556">
        <v>0</v>
      </c>
      <c r="AL138" s="510"/>
      <c r="AM138" s="556">
        <v>0</v>
      </c>
      <c r="AN138" s="510"/>
      <c r="AO138" s="556">
        <v>0</v>
      </c>
      <c r="AP138" s="510"/>
      <c r="AQ138" s="556">
        <v>0</v>
      </c>
      <c r="AR138" s="510"/>
      <c r="AS138" s="556">
        <v>0</v>
      </c>
      <c r="AT138" s="510"/>
      <c r="AU138" s="556">
        <v>0</v>
      </c>
      <c r="AV138" s="510"/>
      <c r="AW138" s="556">
        <v>0</v>
      </c>
      <c r="AX138" s="510"/>
      <c r="AY138" s="556">
        <v>0</v>
      </c>
      <c r="AZ138" s="510"/>
      <c r="BA138" s="130"/>
      <c r="BB138" s="130"/>
      <c r="BC138" s="130"/>
      <c r="BD138" s="130"/>
      <c r="BE138" s="130"/>
      <c r="BF138" s="130"/>
      <c r="BG138" s="130"/>
      <c r="BH138" s="130"/>
      <c r="BI138" s="130"/>
      <c r="BJ138" s="130"/>
      <c r="BK138" s="130"/>
      <c r="BL138" s="130"/>
      <c r="BM138" s="130"/>
      <c r="BN138" s="130"/>
      <c r="BO138" s="130"/>
      <c r="BP138" s="130"/>
      <c r="BQ138" s="130"/>
      <c r="BR138" s="130"/>
      <c r="BS138" s="130"/>
      <c r="BT138" s="130"/>
    </row>
    <row r="139" spans="1:72" ht="15.75" customHeight="1">
      <c r="A139" s="525"/>
      <c r="B139" s="135" t="s">
        <v>307</v>
      </c>
      <c r="C139" s="553"/>
      <c r="D139" s="510"/>
      <c r="E139" s="553"/>
      <c r="F139" s="510"/>
      <c r="G139" s="553"/>
      <c r="H139" s="510"/>
      <c r="I139" s="553"/>
      <c r="J139" s="510"/>
      <c r="K139" s="553"/>
      <c r="L139" s="510"/>
      <c r="M139" s="553"/>
      <c r="N139" s="510"/>
      <c r="O139" s="553"/>
      <c r="P139" s="510"/>
      <c r="Q139" s="553"/>
      <c r="R139" s="510"/>
      <c r="S139" s="553"/>
      <c r="T139" s="510"/>
      <c r="U139" s="553"/>
      <c r="V139" s="510"/>
      <c r="W139" s="553"/>
      <c r="X139" s="510"/>
      <c r="Y139" s="553"/>
      <c r="Z139" s="510"/>
      <c r="AA139" s="553"/>
      <c r="AB139" s="510"/>
      <c r="AC139" s="553"/>
      <c r="AD139" s="510"/>
      <c r="AE139" s="553"/>
      <c r="AF139" s="510"/>
      <c r="AG139" s="553"/>
      <c r="AH139" s="510"/>
      <c r="AI139" s="553"/>
      <c r="AJ139" s="510"/>
      <c r="AK139" s="553"/>
      <c r="AL139" s="510"/>
      <c r="AM139" s="553"/>
      <c r="AN139" s="510"/>
      <c r="AO139" s="553"/>
      <c r="AP139" s="510"/>
      <c r="AQ139" s="553"/>
      <c r="AR139" s="510"/>
      <c r="AS139" s="553"/>
      <c r="AT139" s="510"/>
      <c r="AU139" s="553"/>
      <c r="AV139" s="510"/>
      <c r="AW139" s="553"/>
      <c r="AX139" s="510"/>
      <c r="AY139" s="553"/>
      <c r="AZ139" s="510"/>
      <c r="BA139" s="130"/>
      <c r="BB139" s="130"/>
      <c r="BC139" s="130"/>
      <c r="BD139" s="130"/>
      <c r="BE139" s="130"/>
      <c r="BF139" s="130"/>
      <c r="BG139" s="130"/>
      <c r="BH139" s="130"/>
      <c r="BI139" s="130"/>
      <c r="BJ139" s="130"/>
      <c r="BK139" s="130"/>
      <c r="BL139" s="130"/>
      <c r="BM139" s="130"/>
      <c r="BN139" s="130"/>
      <c r="BO139" s="130"/>
      <c r="BP139" s="130"/>
      <c r="BQ139" s="130"/>
      <c r="BR139" s="130"/>
      <c r="BS139" s="130"/>
      <c r="BT139" s="130"/>
    </row>
    <row r="140" spans="1:72" ht="15.75" customHeight="1">
      <c r="A140" s="321" t="s">
        <v>719</v>
      </c>
      <c r="B140" s="316" t="s">
        <v>1194</v>
      </c>
      <c r="C140" s="556"/>
      <c r="D140" s="510"/>
      <c r="E140" s="556"/>
      <c r="F140" s="510"/>
      <c r="G140" s="556"/>
      <c r="H140" s="510"/>
      <c r="I140" s="556"/>
      <c r="J140" s="510"/>
      <c r="K140" s="556"/>
      <c r="L140" s="510"/>
      <c r="M140" s="556"/>
      <c r="N140" s="510"/>
      <c r="O140" s="556"/>
      <c r="P140" s="510"/>
      <c r="Q140" s="556"/>
      <c r="R140" s="510"/>
      <c r="S140" s="556"/>
      <c r="T140" s="510"/>
      <c r="U140" s="556"/>
      <c r="V140" s="510"/>
      <c r="W140" s="556"/>
      <c r="X140" s="510"/>
      <c r="Y140" s="556"/>
      <c r="Z140" s="510"/>
      <c r="AA140" s="556"/>
      <c r="AB140" s="510"/>
      <c r="AC140" s="556"/>
      <c r="AD140" s="510"/>
      <c r="AE140" s="556"/>
      <c r="AF140" s="510"/>
      <c r="AG140" s="556"/>
      <c r="AH140" s="510"/>
      <c r="AI140" s="556"/>
      <c r="AJ140" s="510"/>
      <c r="AK140" s="556"/>
      <c r="AL140" s="510"/>
      <c r="AM140" s="556"/>
      <c r="AN140" s="510"/>
      <c r="AO140" s="556"/>
      <c r="AP140" s="510"/>
      <c r="AQ140" s="556"/>
      <c r="AR140" s="510"/>
      <c r="AS140" s="556"/>
      <c r="AT140" s="510"/>
      <c r="AU140" s="556"/>
      <c r="AV140" s="510"/>
      <c r="AW140" s="556"/>
      <c r="AX140" s="510"/>
      <c r="AY140" s="556"/>
      <c r="AZ140" s="510"/>
      <c r="BA140" s="130"/>
      <c r="BB140" s="130"/>
      <c r="BC140" s="130"/>
      <c r="BD140" s="130"/>
      <c r="BE140" s="130"/>
      <c r="BF140" s="130"/>
      <c r="BG140" s="130"/>
      <c r="BH140" s="130"/>
      <c r="BI140" s="130"/>
      <c r="BJ140" s="130"/>
      <c r="BK140" s="130"/>
      <c r="BL140" s="130"/>
      <c r="BM140" s="130"/>
      <c r="BN140" s="130"/>
      <c r="BO140" s="130"/>
      <c r="BP140" s="130"/>
      <c r="BQ140" s="130"/>
      <c r="BR140" s="130"/>
      <c r="BS140" s="130"/>
      <c r="BT140" s="130"/>
    </row>
    <row r="141" spans="1:72" ht="15.75" customHeight="1">
      <c r="A141" s="704" t="s">
        <v>1195</v>
      </c>
      <c r="B141" s="316" t="s">
        <v>1196</v>
      </c>
      <c r="C141" s="699"/>
      <c r="D141" s="510"/>
      <c r="E141" s="699"/>
      <c r="F141" s="510"/>
      <c r="G141" s="699"/>
      <c r="H141" s="510"/>
      <c r="I141" s="699"/>
      <c r="J141" s="510"/>
      <c r="K141" s="699"/>
      <c r="L141" s="510"/>
      <c r="M141" s="699"/>
      <c r="N141" s="510"/>
      <c r="O141" s="699"/>
      <c r="P141" s="510"/>
      <c r="Q141" s="699"/>
      <c r="R141" s="510"/>
      <c r="S141" s="699"/>
      <c r="T141" s="510"/>
      <c r="U141" s="699"/>
      <c r="V141" s="510"/>
      <c r="W141" s="699"/>
      <c r="X141" s="510"/>
      <c r="Y141" s="699"/>
      <c r="Z141" s="510"/>
      <c r="AA141" s="699"/>
      <c r="AB141" s="510"/>
      <c r="AC141" s="699"/>
      <c r="AD141" s="510"/>
      <c r="AE141" s="699"/>
      <c r="AF141" s="510"/>
      <c r="AG141" s="699"/>
      <c r="AH141" s="510"/>
      <c r="AI141" s="699"/>
      <c r="AJ141" s="510"/>
      <c r="AK141" s="699"/>
      <c r="AL141" s="510"/>
      <c r="AM141" s="699"/>
      <c r="AN141" s="510"/>
      <c r="AO141" s="699"/>
      <c r="AP141" s="510"/>
      <c r="AQ141" s="699"/>
      <c r="AR141" s="510"/>
      <c r="AS141" s="699"/>
      <c r="AT141" s="510"/>
      <c r="AU141" s="699"/>
      <c r="AV141" s="510"/>
      <c r="AW141" s="699"/>
      <c r="AX141" s="510"/>
      <c r="AY141" s="699"/>
      <c r="AZ141" s="510"/>
      <c r="BA141" s="130"/>
      <c r="BB141" s="130"/>
      <c r="BC141" s="130"/>
      <c r="BD141" s="130"/>
      <c r="BE141" s="130"/>
      <c r="BF141" s="130"/>
      <c r="BG141" s="130"/>
      <c r="BH141" s="130"/>
      <c r="BI141" s="130"/>
      <c r="BJ141" s="130"/>
      <c r="BK141" s="130"/>
      <c r="BL141" s="130"/>
      <c r="BM141" s="130"/>
      <c r="BN141" s="130"/>
      <c r="BO141" s="130"/>
      <c r="BP141" s="130"/>
      <c r="BQ141" s="130"/>
      <c r="BR141" s="130"/>
      <c r="BS141" s="130"/>
      <c r="BT141" s="130"/>
    </row>
    <row r="142" spans="1:72" ht="15.75" customHeight="1">
      <c r="A142" s="524"/>
      <c r="B142" s="93" t="s">
        <v>1197</v>
      </c>
      <c r="C142" s="556"/>
      <c r="D142" s="510"/>
      <c r="E142" s="556"/>
      <c r="F142" s="510"/>
      <c r="G142" s="556"/>
      <c r="H142" s="510"/>
      <c r="I142" s="556"/>
      <c r="J142" s="510"/>
      <c r="K142" s="556"/>
      <c r="L142" s="510"/>
      <c r="M142" s="556"/>
      <c r="N142" s="510"/>
      <c r="O142" s="556"/>
      <c r="P142" s="510"/>
      <c r="Q142" s="556"/>
      <c r="R142" s="510"/>
      <c r="S142" s="556"/>
      <c r="T142" s="510"/>
      <c r="U142" s="556"/>
      <c r="V142" s="510"/>
      <c r="W142" s="556"/>
      <c r="X142" s="510"/>
      <c r="Y142" s="556"/>
      <c r="Z142" s="510"/>
      <c r="AA142" s="556"/>
      <c r="AB142" s="510"/>
      <c r="AC142" s="556"/>
      <c r="AD142" s="510"/>
      <c r="AE142" s="556"/>
      <c r="AF142" s="510"/>
      <c r="AG142" s="556"/>
      <c r="AH142" s="510"/>
      <c r="AI142" s="556"/>
      <c r="AJ142" s="510"/>
      <c r="AK142" s="556"/>
      <c r="AL142" s="510"/>
      <c r="AM142" s="556"/>
      <c r="AN142" s="510"/>
      <c r="AO142" s="556"/>
      <c r="AP142" s="510"/>
      <c r="AQ142" s="556"/>
      <c r="AR142" s="510"/>
      <c r="AS142" s="556"/>
      <c r="AT142" s="510"/>
      <c r="AU142" s="556"/>
      <c r="AV142" s="510"/>
      <c r="AW142" s="556">
        <v>1</v>
      </c>
      <c r="AX142" s="510"/>
      <c r="AY142" s="556"/>
      <c r="AZ142" s="510"/>
      <c r="BA142" s="130"/>
      <c r="BB142" s="130"/>
      <c r="BC142" s="130"/>
      <c r="BD142" s="130"/>
      <c r="BE142" s="130"/>
      <c r="BF142" s="130"/>
      <c r="BG142" s="130"/>
      <c r="BH142" s="130"/>
      <c r="BI142" s="130"/>
      <c r="BJ142" s="130"/>
      <c r="BK142" s="130"/>
      <c r="BL142" s="130"/>
      <c r="BM142" s="130"/>
      <c r="BN142" s="130"/>
      <c r="BO142" s="130"/>
      <c r="BP142" s="130"/>
      <c r="BQ142" s="130"/>
      <c r="BR142" s="130"/>
      <c r="BS142" s="130"/>
      <c r="BT142" s="130"/>
    </row>
    <row r="143" spans="1:72" ht="15.75" customHeight="1">
      <c r="A143" s="524"/>
      <c r="B143" s="93" t="s">
        <v>1198</v>
      </c>
      <c r="C143" s="556"/>
      <c r="D143" s="510"/>
      <c r="E143" s="556"/>
      <c r="F143" s="510"/>
      <c r="G143" s="556"/>
      <c r="H143" s="510"/>
      <c r="I143" s="556"/>
      <c r="J143" s="510"/>
      <c r="K143" s="556"/>
      <c r="L143" s="510"/>
      <c r="M143" s="556"/>
      <c r="N143" s="510"/>
      <c r="O143" s="556"/>
      <c r="P143" s="510"/>
      <c r="Q143" s="556"/>
      <c r="R143" s="510"/>
      <c r="S143" s="556"/>
      <c r="T143" s="510"/>
      <c r="U143" s="556"/>
      <c r="V143" s="510"/>
      <c r="W143" s="556"/>
      <c r="X143" s="510"/>
      <c r="Y143" s="556"/>
      <c r="Z143" s="510"/>
      <c r="AA143" s="556"/>
      <c r="AB143" s="510"/>
      <c r="AC143" s="556"/>
      <c r="AD143" s="510"/>
      <c r="AE143" s="556"/>
      <c r="AF143" s="510"/>
      <c r="AG143" s="556"/>
      <c r="AH143" s="510"/>
      <c r="AI143" s="556"/>
      <c r="AJ143" s="510"/>
      <c r="AK143" s="556"/>
      <c r="AL143" s="510"/>
      <c r="AM143" s="556"/>
      <c r="AN143" s="510"/>
      <c r="AO143" s="556"/>
      <c r="AP143" s="510"/>
      <c r="AQ143" s="556"/>
      <c r="AR143" s="510"/>
      <c r="AS143" s="556"/>
      <c r="AT143" s="510"/>
      <c r="AU143" s="556"/>
      <c r="AV143" s="510"/>
      <c r="AW143" s="556"/>
      <c r="AX143" s="510"/>
      <c r="AY143" s="556"/>
      <c r="AZ143" s="510"/>
      <c r="BA143" s="130"/>
      <c r="BB143" s="130"/>
      <c r="BC143" s="130"/>
      <c r="BD143" s="130"/>
      <c r="BE143" s="130"/>
      <c r="BF143" s="130"/>
      <c r="BG143" s="130"/>
      <c r="BH143" s="130"/>
      <c r="BI143" s="130"/>
      <c r="BJ143" s="130"/>
      <c r="BK143" s="130"/>
      <c r="BL143" s="130"/>
      <c r="BM143" s="130"/>
      <c r="BN143" s="130"/>
      <c r="BO143" s="130"/>
      <c r="BP143" s="130"/>
      <c r="BQ143" s="130"/>
      <c r="BR143" s="130"/>
      <c r="BS143" s="130"/>
      <c r="BT143" s="130"/>
    </row>
    <row r="144" spans="1:72" ht="15.75" customHeight="1">
      <c r="A144" s="524"/>
      <c r="B144" s="93" t="s">
        <v>1199</v>
      </c>
      <c r="C144" s="556"/>
      <c r="D144" s="510"/>
      <c r="E144" s="556"/>
      <c r="F144" s="510"/>
      <c r="G144" s="556"/>
      <c r="H144" s="510"/>
      <c r="I144" s="556"/>
      <c r="J144" s="510"/>
      <c r="K144" s="556"/>
      <c r="L144" s="510"/>
      <c r="M144" s="556"/>
      <c r="N144" s="510"/>
      <c r="O144" s="556"/>
      <c r="P144" s="510"/>
      <c r="Q144" s="556"/>
      <c r="R144" s="510"/>
      <c r="S144" s="556"/>
      <c r="T144" s="510"/>
      <c r="U144" s="556"/>
      <c r="V144" s="510"/>
      <c r="W144" s="556"/>
      <c r="X144" s="510"/>
      <c r="Y144" s="556"/>
      <c r="Z144" s="510"/>
      <c r="AA144" s="556"/>
      <c r="AB144" s="510"/>
      <c r="AC144" s="556"/>
      <c r="AD144" s="510"/>
      <c r="AE144" s="556"/>
      <c r="AF144" s="510"/>
      <c r="AG144" s="556"/>
      <c r="AH144" s="510"/>
      <c r="AI144" s="556"/>
      <c r="AJ144" s="510"/>
      <c r="AK144" s="556"/>
      <c r="AL144" s="510"/>
      <c r="AM144" s="556"/>
      <c r="AN144" s="510"/>
      <c r="AO144" s="556"/>
      <c r="AP144" s="510"/>
      <c r="AQ144" s="556"/>
      <c r="AR144" s="510"/>
      <c r="AS144" s="556"/>
      <c r="AT144" s="510"/>
      <c r="AU144" s="556"/>
      <c r="AV144" s="510"/>
      <c r="AW144" s="556"/>
      <c r="AX144" s="510"/>
      <c r="AY144" s="556"/>
      <c r="AZ144" s="510"/>
      <c r="BA144" s="130"/>
      <c r="BB144" s="130"/>
      <c r="BC144" s="130"/>
      <c r="BD144" s="130"/>
      <c r="BE144" s="130"/>
      <c r="BF144" s="130"/>
      <c r="BG144" s="130"/>
      <c r="BH144" s="130"/>
      <c r="BI144" s="130"/>
      <c r="BJ144" s="130"/>
      <c r="BK144" s="130"/>
      <c r="BL144" s="130"/>
      <c r="BM144" s="130"/>
      <c r="BN144" s="130"/>
      <c r="BO144" s="130"/>
      <c r="BP144" s="130"/>
      <c r="BQ144" s="130"/>
      <c r="BR144" s="130"/>
      <c r="BS144" s="130"/>
      <c r="BT144" s="130"/>
    </row>
    <row r="145" spans="1:72" ht="15.75" customHeight="1">
      <c r="A145" s="524"/>
      <c r="B145" s="93" t="s">
        <v>1200</v>
      </c>
      <c r="C145" s="556"/>
      <c r="D145" s="510"/>
      <c r="E145" s="556"/>
      <c r="F145" s="510"/>
      <c r="G145" s="556"/>
      <c r="H145" s="510"/>
      <c r="I145" s="556"/>
      <c r="J145" s="510"/>
      <c r="K145" s="556"/>
      <c r="L145" s="510"/>
      <c r="M145" s="556"/>
      <c r="N145" s="510"/>
      <c r="O145" s="556"/>
      <c r="P145" s="510"/>
      <c r="Q145" s="556"/>
      <c r="R145" s="510"/>
      <c r="S145" s="556"/>
      <c r="T145" s="510"/>
      <c r="U145" s="556"/>
      <c r="V145" s="510"/>
      <c r="W145" s="556"/>
      <c r="X145" s="510"/>
      <c r="Y145" s="556"/>
      <c r="Z145" s="510"/>
      <c r="AA145" s="556"/>
      <c r="AB145" s="510"/>
      <c r="AC145" s="556"/>
      <c r="AD145" s="510"/>
      <c r="AE145" s="556"/>
      <c r="AF145" s="510"/>
      <c r="AG145" s="556"/>
      <c r="AH145" s="510"/>
      <c r="AI145" s="556"/>
      <c r="AJ145" s="510"/>
      <c r="AK145" s="556"/>
      <c r="AL145" s="510"/>
      <c r="AM145" s="556"/>
      <c r="AN145" s="510"/>
      <c r="AO145" s="556"/>
      <c r="AP145" s="510"/>
      <c r="AQ145" s="556"/>
      <c r="AR145" s="510"/>
      <c r="AS145" s="556"/>
      <c r="AT145" s="510"/>
      <c r="AU145" s="556"/>
      <c r="AV145" s="510"/>
      <c r="AW145" s="556"/>
      <c r="AX145" s="510"/>
      <c r="AY145" s="556"/>
      <c r="AZ145" s="510"/>
      <c r="BA145" s="130"/>
      <c r="BB145" s="130"/>
      <c r="BC145" s="130"/>
      <c r="BD145" s="130"/>
      <c r="BE145" s="130"/>
      <c r="BF145" s="130"/>
      <c r="BG145" s="130"/>
      <c r="BH145" s="130"/>
      <c r="BI145" s="130"/>
      <c r="BJ145" s="130"/>
      <c r="BK145" s="130"/>
      <c r="BL145" s="130"/>
      <c r="BM145" s="130"/>
      <c r="BN145" s="130"/>
      <c r="BO145" s="130"/>
      <c r="BP145" s="130"/>
      <c r="BQ145" s="130"/>
      <c r="BR145" s="130"/>
      <c r="BS145" s="130"/>
      <c r="BT145" s="130"/>
    </row>
    <row r="146" spans="1:72" ht="15.75" customHeight="1">
      <c r="A146" s="524"/>
      <c r="B146" s="93" t="s">
        <v>1201</v>
      </c>
      <c r="C146" s="556"/>
      <c r="D146" s="510"/>
      <c r="E146" s="556"/>
      <c r="F146" s="510"/>
      <c r="G146" s="556"/>
      <c r="H146" s="510"/>
      <c r="I146" s="556"/>
      <c r="J146" s="510"/>
      <c r="K146" s="556"/>
      <c r="L146" s="510"/>
      <c r="M146" s="556"/>
      <c r="N146" s="510"/>
      <c r="O146" s="556"/>
      <c r="P146" s="510"/>
      <c r="Q146" s="556"/>
      <c r="R146" s="510"/>
      <c r="S146" s="556"/>
      <c r="T146" s="510"/>
      <c r="U146" s="556"/>
      <c r="V146" s="510"/>
      <c r="W146" s="556"/>
      <c r="X146" s="510"/>
      <c r="Y146" s="556"/>
      <c r="Z146" s="510"/>
      <c r="AA146" s="556"/>
      <c r="AB146" s="510"/>
      <c r="AC146" s="556"/>
      <c r="AD146" s="510"/>
      <c r="AE146" s="556"/>
      <c r="AF146" s="510"/>
      <c r="AG146" s="556"/>
      <c r="AH146" s="510"/>
      <c r="AI146" s="556"/>
      <c r="AJ146" s="510"/>
      <c r="AK146" s="556"/>
      <c r="AL146" s="510"/>
      <c r="AM146" s="556"/>
      <c r="AN146" s="510"/>
      <c r="AO146" s="556"/>
      <c r="AP146" s="510"/>
      <c r="AQ146" s="556"/>
      <c r="AR146" s="510"/>
      <c r="AS146" s="556"/>
      <c r="AT146" s="510"/>
      <c r="AU146" s="556"/>
      <c r="AV146" s="510"/>
      <c r="AW146" s="556"/>
      <c r="AX146" s="510"/>
      <c r="AY146" s="556"/>
      <c r="AZ146" s="510"/>
      <c r="BA146" s="130"/>
      <c r="BB146" s="130"/>
      <c r="BC146" s="130"/>
      <c r="BD146" s="130"/>
      <c r="BE146" s="130"/>
      <c r="BF146" s="130"/>
      <c r="BG146" s="130"/>
      <c r="BH146" s="130"/>
      <c r="BI146" s="130"/>
      <c r="BJ146" s="130"/>
      <c r="BK146" s="130"/>
      <c r="BL146" s="130"/>
      <c r="BM146" s="130"/>
      <c r="BN146" s="130"/>
      <c r="BO146" s="130"/>
      <c r="BP146" s="130"/>
      <c r="BQ146" s="130"/>
      <c r="BR146" s="130"/>
      <c r="BS146" s="130"/>
      <c r="BT146" s="130"/>
    </row>
    <row r="147" spans="1:72" ht="15.75" customHeight="1">
      <c r="A147" s="525"/>
      <c r="B147" s="135" t="s">
        <v>307</v>
      </c>
      <c r="C147" s="553"/>
      <c r="D147" s="510"/>
      <c r="E147" s="553"/>
      <c r="F147" s="510"/>
      <c r="G147" s="553"/>
      <c r="H147" s="510"/>
      <c r="I147" s="553"/>
      <c r="J147" s="510"/>
      <c r="K147" s="553"/>
      <c r="L147" s="510"/>
      <c r="M147" s="553"/>
      <c r="N147" s="510"/>
      <c r="O147" s="553"/>
      <c r="P147" s="510"/>
      <c r="Q147" s="553"/>
      <c r="R147" s="510"/>
      <c r="S147" s="553"/>
      <c r="T147" s="510"/>
      <c r="U147" s="553"/>
      <c r="V147" s="510"/>
      <c r="W147" s="553"/>
      <c r="X147" s="510"/>
      <c r="Y147" s="553"/>
      <c r="Z147" s="510"/>
      <c r="AA147" s="553"/>
      <c r="AB147" s="510"/>
      <c r="AC147" s="553"/>
      <c r="AD147" s="510"/>
      <c r="AE147" s="553"/>
      <c r="AF147" s="510"/>
      <c r="AG147" s="553"/>
      <c r="AH147" s="510"/>
      <c r="AI147" s="553"/>
      <c r="AJ147" s="510"/>
      <c r="AK147" s="553"/>
      <c r="AL147" s="510"/>
      <c r="AM147" s="553"/>
      <c r="AN147" s="510"/>
      <c r="AO147" s="553"/>
      <c r="AP147" s="510"/>
      <c r="AQ147" s="553"/>
      <c r="AR147" s="510"/>
      <c r="AS147" s="553"/>
      <c r="AT147" s="510"/>
      <c r="AU147" s="553"/>
      <c r="AV147" s="510"/>
      <c r="AW147" s="553" t="s">
        <v>4</v>
      </c>
      <c r="AX147" s="510"/>
      <c r="AY147" s="553"/>
      <c r="AZ147" s="510"/>
      <c r="BA147" s="130"/>
      <c r="BB147" s="130"/>
      <c r="BC147" s="130"/>
      <c r="BD147" s="130"/>
      <c r="BE147" s="130"/>
      <c r="BF147" s="130"/>
      <c r="BG147" s="130"/>
      <c r="BH147" s="130"/>
      <c r="BI147" s="130"/>
      <c r="BJ147" s="130"/>
      <c r="BK147" s="130"/>
      <c r="BL147" s="130"/>
      <c r="BM147" s="130"/>
      <c r="BN147" s="130"/>
      <c r="BO147" s="130"/>
      <c r="BP147" s="130"/>
      <c r="BQ147" s="130"/>
      <c r="BR147" s="130"/>
      <c r="BS147" s="130"/>
      <c r="BT147" s="130"/>
    </row>
    <row r="148" spans="1:72" ht="15" customHeight="1">
      <c r="A148" s="560" t="s">
        <v>1202</v>
      </c>
      <c r="B148" s="316" t="s">
        <v>1203</v>
      </c>
      <c r="C148" s="699"/>
      <c r="D148" s="510"/>
      <c r="E148" s="699"/>
      <c r="F148" s="510"/>
      <c r="G148" s="699"/>
      <c r="H148" s="510"/>
      <c r="I148" s="699"/>
      <c r="J148" s="510"/>
      <c r="K148" s="699"/>
      <c r="L148" s="510"/>
      <c r="M148" s="699"/>
      <c r="N148" s="510"/>
      <c r="O148" s="699"/>
      <c r="P148" s="510"/>
      <c r="Q148" s="699"/>
      <c r="R148" s="510"/>
      <c r="S148" s="699"/>
      <c r="T148" s="510"/>
      <c r="U148" s="699"/>
      <c r="V148" s="510"/>
      <c r="W148" s="699"/>
      <c r="X148" s="510"/>
      <c r="Y148" s="699"/>
      <c r="Z148" s="510"/>
      <c r="AA148" s="699"/>
      <c r="AB148" s="510"/>
      <c r="AC148" s="699"/>
      <c r="AD148" s="510"/>
      <c r="AE148" s="699"/>
      <c r="AF148" s="510"/>
      <c r="AG148" s="699"/>
      <c r="AH148" s="510"/>
      <c r="AI148" s="699"/>
      <c r="AJ148" s="510"/>
      <c r="AK148" s="699"/>
      <c r="AL148" s="510"/>
      <c r="AM148" s="699"/>
      <c r="AN148" s="510"/>
      <c r="AO148" s="699"/>
      <c r="AP148" s="510"/>
      <c r="AQ148" s="699"/>
      <c r="AR148" s="510"/>
      <c r="AS148" s="699"/>
      <c r="AT148" s="510"/>
      <c r="AU148" s="699"/>
      <c r="AV148" s="510"/>
      <c r="AW148" s="699"/>
      <c r="AX148" s="510"/>
      <c r="AY148" s="699"/>
      <c r="AZ148" s="51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row>
    <row r="149" spans="1:72" ht="15" customHeight="1">
      <c r="A149" s="524"/>
      <c r="B149" s="93" t="s">
        <v>1204</v>
      </c>
      <c r="C149" s="556"/>
      <c r="D149" s="510"/>
      <c r="E149" s="556"/>
      <c r="F149" s="510"/>
      <c r="G149" s="556"/>
      <c r="H149" s="510"/>
      <c r="I149" s="556"/>
      <c r="J149" s="510"/>
      <c r="K149" s="556"/>
      <c r="L149" s="510"/>
      <c r="M149" s="556"/>
      <c r="N149" s="510"/>
      <c r="O149" s="556"/>
      <c r="P149" s="510"/>
      <c r="Q149" s="556"/>
      <c r="R149" s="510"/>
      <c r="S149" s="556"/>
      <c r="T149" s="510"/>
      <c r="U149" s="556"/>
      <c r="V149" s="510"/>
      <c r="W149" s="556"/>
      <c r="X149" s="510"/>
      <c r="Y149" s="556"/>
      <c r="Z149" s="510"/>
      <c r="AA149" s="556"/>
      <c r="AB149" s="510"/>
      <c r="AC149" s="556"/>
      <c r="AD149" s="510"/>
      <c r="AE149" s="556"/>
      <c r="AF149" s="510"/>
      <c r="AG149" s="556"/>
      <c r="AH149" s="510"/>
      <c r="AI149" s="556"/>
      <c r="AJ149" s="510"/>
      <c r="AK149" s="556"/>
      <c r="AL149" s="510"/>
      <c r="AM149" s="556"/>
      <c r="AN149" s="510"/>
      <c r="AO149" s="556"/>
      <c r="AP149" s="510"/>
      <c r="AQ149" s="556"/>
      <c r="AR149" s="510"/>
      <c r="AS149" s="556"/>
      <c r="AT149" s="510"/>
      <c r="AU149" s="556"/>
      <c r="AV149" s="510"/>
      <c r="AW149" s="556">
        <v>0</v>
      </c>
      <c r="AX149" s="510"/>
      <c r="AY149" s="556"/>
      <c r="AZ149" s="510"/>
      <c r="BA149" s="130"/>
      <c r="BB149" s="130"/>
      <c r="BC149" s="130"/>
      <c r="BD149" s="130"/>
      <c r="BE149" s="130"/>
      <c r="BF149" s="130"/>
      <c r="BG149" s="130"/>
      <c r="BH149" s="130"/>
      <c r="BI149" s="130"/>
      <c r="BJ149" s="130"/>
      <c r="BK149" s="130"/>
      <c r="BL149" s="130"/>
      <c r="BM149" s="130"/>
      <c r="BN149" s="130"/>
      <c r="BO149" s="130"/>
      <c r="BP149" s="130"/>
      <c r="BQ149" s="130"/>
      <c r="BR149" s="130"/>
      <c r="BS149" s="130"/>
      <c r="BT149" s="130"/>
    </row>
    <row r="150" spans="1:72" ht="15.75" customHeight="1">
      <c r="A150" s="524"/>
      <c r="B150" s="93" t="s">
        <v>1205</v>
      </c>
      <c r="C150" s="556"/>
      <c r="D150" s="510"/>
      <c r="E150" s="556"/>
      <c r="F150" s="510"/>
      <c r="G150" s="556"/>
      <c r="H150" s="510"/>
      <c r="I150" s="556"/>
      <c r="J150" s="510"/>
      <c r="K150" s="556"/>
      <c r="L150" s="510"/>
      <c r="M150" s="556"/>
      <c r="N150" s="510"/>
      <c r="O150" s="556"/>
      <c r="P150" s="510"/>
      <c r="Q150" s="556"/>
      <c r="R150" s="510"/>
      <c r="S150" s="556"/>
      <c r="T150" s="510"/>
      <c r="U150" s="556"/>
      <c r="V150" s="510"/>
      <c r="W150" s="556"/>
      <c r="X150" s="510"/>
      <c r="Y150" s="556"/>
      <c r="Z150" s="510"/>
      <c r="AA150" s="556"/>
      <c r="AB150" s="510"/>
      <c r="AC150" s="556"/>
      <c r="AD150" s="510"/>
      <c r="AE150" s="556"/>
      <c r="AF150" s="510"/>
      <c r="AG150" s="556"/>
      <c r="AH150" s="510"/>
      <c r="AI150" s="556"/>
      <c r="AJ150" s="510"/>
      <c r="AK150" s="556"/>
      <c r="AL150" s="510"/>
      <c r="AM150" s="556"/>
      <c r="AN150" s="510"/>
      <c r="AO150" s="556"/>
      <c r="AP150" s="510"/>
      <c r="AQ150" s="556"/>
      <c r="AR150" s="510"/>
      <c r="AS150" s="556"/>
      <c r="AT150" s="510"/>
      <c r="AU150" s="556"/>
      <c r="AV150" s="510"/>
      <c r="AW150" s="556">
        <v>0</v>
      </c>
      <c r="AX150" s="510"/>
      <c r="AY150" s="556"/>
      <c r="AZ150" s="510"/>
      <c r="BA150" s="130"/>
      <c r="BB150" s="130"/>
      <c r="BC150" s="130"/>
      <c r="BD150" s="130"/>
      <c r="BE150" s="130"/>
      <c r="BF150" s="130"/>
      <c r="BG150" s="130"/>
      <c r="BH150" s="130"/>
      <c r="BI150" s="130"/>
      <c r="BJ150" s="130"/>
      <c r="BK150" s="130"/>
      <c r="BL150" s="130"/>
      <c r="BM150" s="130"/>
      <c r="BN150" s="130"/>
      <c r="BO150" s="130"/>
      <c r="BP150" s="130"/>
      <c r="BQ150" s="130"/>
      <c r="BR150" s="130"/>
      <c r="BS150" s="130"/>
      <c r="BT150" s="130"/>
    </row>
    <row r="151" spans="1:72" ht="15.75" customHeight="1">
      <c r="A151" s="524"/>
      <c r="B151" s="93" t="s">
        <v>1206</v>
      </c>
      <c r="C151" s="556"/>
      <c r="D151" s="510"/>
      <c r="E151" s="556"/>
      <c r="F151" s="510"/>
      <c r="G151" s="556"/>
      <c r="H151" s="510"/>
      <c r="I151" s="556"/>
      <c r="J151" s="510"/>
      <c r="K151" s="556"/>
      <c r="L151" s="510"/>
      <c r="M151" s="556"/>
      <c r="N151" s="510"/>
      <c r="O151" s="556"/>
      <c r="P151" s="510"/>
      <c r="Q151" s="556"/>
      <c r="R151" s="510"/>
      <c r="S151" s="556"/>
      <c r="T151" s="510"/>
      <c r="U151" s="556"/>
      <c r="V151" s="510"/>
      <c r="W151" s="556"/>
      <c r="X151" s="510"/>
      <c r="Y151" s="556"/>
      <c r="Z151" s="510"/>
      <c r="AA151" s="556"/>
      <c r="AB151" s="510"/>
      <c r="AC151" s="556"/>
      <c r="AD151" s="510"/>
      <c r="AE151" s="556"/>
      <c r="AF151" s="510"/>
      <c r="AG151" s="556"/>
      <c r="AH151" s="510"/>
      <c r="AI151" s="556"/>
      <c r="AJ151" s="510"/>
      <c r="AK151" s="556"/>
      <c r="AL151" s="510"/>
      <c r="AM151" s="556"/>
      <c r="AN151" s="510"/>
      <c r="AO151" s="556"/>
      <c r="AP151" s="510"/>
      <c r="AQ151" s="556"/>
      <c r="AR151" s="510"/>
      <c r="AS151" s="556"/>
      <c r="AT151" s="510"/>
      <c r="AU151" s="556"/>
      <c r="AV151" s="510"/>
      <c r="AW151" s="556">
        <v>0</v>
      </c>
      <c r="AX151" s="510"/>
      <c r="AY151" s="556"/>
      <c r="AZ151" s="510"/>
      <c r="BA151" s="130"/>
      <c r="BB151" s="130"/>
      <c r="BC151" s="130"/>
      <c r="BD151" s="130"/>
      <c r="BE151" s="130"/>
      <c r="BF151" s="130"/>
      <c r="BG151" s="130"/>
      <c r="BH151" s="130"/>
      <c r="BI151" s="130"/>
      <c r="BJ151" s="130"/>
      <c r="BK151" s="130"/>
      <c r="BL151" s="130"/>
      <c r="BM151" s="130"/>
      <c r="BN151" s="130"/>
      <c r="BO151" s="130"/>
      <c r="BP151" s="130"/>
      <c r="BQ151" s="130"/>
      <c r="BR151" s="130"/>
      <c r="BS151" s="130"/>
      <c r="BT151" s="130"/>
    </row>
    <row r="152" spans="1:72" ht="15.75" customHeight="1">
      <c r="A152" s="524"/>
      <c r="B152" s="93" t="s">
        <v>1207</v>
      </c>
      <c r="C152" s="556"/>
      <c r="D152" s="510"/>
      <c r="E152" s="556"/>
      <c r="F152" s="510"/>
      <c r="G152" s="556"/>
      <c r="H152" s="510"/>
      <c r="I152" s="556"/>
      <c r="J152" s="510"/>
      <c r="K152" s="556"/>
      <c r="L152" s="510"/>
      <c r="M152" s="556"/>
      <c r="N152" s="510"/>
      <c r="O152" s="556"/>
      <c r="P152" s="510"/>
      <c r="Q152" s="556"/>
      <c r="R152" s="510"/>
      <c r="S152" s="556"/>
      <c r="T152" s="510"/>
      <c r="U152" s="556"/>
      <c r="V152" s="510"/>
      <c r="W152" s="556"/>
      <c r="X152" s="510"/>
      <c r="Y152" s="556"/>
      <c r="Z152" s="510"/>
      <c r="AA152" s="556"/>
      <c r="AB152" s="510"/>
      <c r="AC152" s="556"/>
      <c r="AD152" s="510"/>
      <c r="AE152" s="556"/>
      <c r="AF152" s="510"/>
      <c r="AG152" s="556"/>
      <c r="AH152" s="510"/>
      <c r="AI152" s="556"/>
      <c r="AJ152" s="510"/>
      <c r="AK152" s="556"/>
      <c r="AL152" s="510"/>
      <c r="AM152" s="556"/>
      <c r="AN152" s="510"/>
      <c r="AO152" s="556"/>
      <c r="AP152" s="510"/>
      <c r="AQ152" s="556"/>
      <c r="AR152" s="510"/>
      <c r="AS152" s="556"/>
      <c r="AT152" s="510"/>
      <c r="AU152" s="556"/>
      <c r="AV152" s="510"/>
      <c r="AW152" s="556">
        <v>1</v>
      </c>
      <c r="AX152" s="510"/>
      <c r="AY152" s="556"/>
      <c r="AZ152" s="510"/>
      <c r="BA152" s="130"/>
      <c r="BB152" s="130"/>
      <c r="BC152" s="130"/>
      <c r="BD152" s="130"/>
      <c r="BE152" s="130"/>
      <c r="BF152" s="130"/>
      <c r="BG152" s="130"/>
      <c r="BH152" s="130"/>
      <c r="BI152" s="130"/>
      <c r="BJ152" s="130"/>
      <c r="BK152" s="130"/>
      <c r="BL152" s="130"/>
      <c r="BM152" s="130"/>
      <c r="BN152" s="130"/>
      <c r="BO152" s="130"/>
      <c r="BP152" s="130"/>
      <c r="BQ152" s="130"/>
      <c r="BR152" s="130"/>
      <c r="BS152" s="130"/>
      <c r="BT152" s="130"/>
    </row>
    <row r="153" spans="1:72" ht="15.75" customHeight="1">
      <c r="A153" s="524"/>
      <c r="B153" s="93" t="s">
        <v>1208</v>
      </c>
      <c r="C153" s="556"/>
      <c r="D153" s="510"/>
      <c r="E153" s="556"/>
      <c r="F153" s="510"/>
      <c r="G153" s="556"/>
      <c r="H153" s="510"/>
      <c r="I153" s="556"/>
      <c r="J153" s="510"/>
      <c r="K153" s="556"/>
      <c r="L153" s="510"/>
      <c r="M153" s="556"/>
      <c r="N153" s="510"/>
      <c r="O153" s="556"/>
      <c r="P153" s="510"/>
      <c r="Q153" s="556"/>
      <c r="R153" s="510"/>
      <c r="S153" s="556"/>
      <c r="T153" s="510"/>
      <c r="U153" s="556"/>
      <c r="V153" s="510"/>
      <c r="W153" s="556"/>
      <c r="X153" s="510"/>
      <c r="Y153" s="556"/>
      <c r="Z153" s="510"/>
      <c r="AA153" s="556"/>
      <c r="AB153" s="510"/>
      <c r="AC153" s="556"/>
      <c r="AD153" s="510"/>
      <c r="AE153" s="556"/>
      <c r="AF153" s="510"/>
      <c r="AG153" s="556"/>
      <c r="AH153" s="510"/>
      <c r="AI153" s="556"/>
      <c r="AJ153" s="510"/>
      <c r="AK153" s="556"/>
      <c r="AL153" s="510"/>
      <c r="AM153" s="556"/>
      <c r="AN153" s="510"/>
      <c r="AO153" s="556"/>
      <c r="AP153" s="510"/>
      <c r="AQ153" s="556"/>
      <c r="AR153" s="510"/>
      <c r="AS153" s="556"/>
      <c r="AT153" s="510"/>
      <c r="AU153" s="556"/>
      <c r="AV153" s="510"/>
      <c r="AW153" s="556">
        <v>0</v>
      </c>
      <c r="AX153" s="510"/>
      <c r="AY153" s="556"/>
      <c r="AZ153" s="510"/>
      <c r="BA153" s="130"/>
      <c r="BB153" s="130"/>
      <c r="BC153" s="130"/>
      <c r="BD153" s="130"/>
      <c r="BE153" s="130"/>
      <c r="BF153" s="130"/>
      <c r="BG153" s="130"/>
      <c r="BH153" s="130"/>
      <c r="BI153" s="130"/>
      <c r="BJ153" s="130"/>
      <c r="BK153" s="130"/>
      <c r="BL153" s="130"/>
      <c r="BM153" s="130"/>
      <c r="BN153" s="130"/>
      <c r="BO153" s="130"/>
      <c r="BP153" s="130"/>
      <c r="BQ153" s="130"/>
      <c r="BR153" s="130"/>
      <c r="BS153" s="130"/>
      <c r="BT153" s="130"/>
    </row>
    <row r="154" spans="1:72" ht="15" customHeight="1">
      <c r="A154" s="525"/>
      <c r="B154" s="135" t="s">
        <v>307</v>
      </c>
      <c r="C154" s="553"/>
      <c r="D154" s="510"/>
      <c r="E154" s="553"/>
      <c r="F154" s="510"/>
      <c r="G154" s="553"/>
      <c r="H154" s="510"/>
      <c r="I154" s="553"/>
      <c r="J154" s="510"/>
      <c r="K154" s="553"/>
      <c r="L154" s="510"/>
      <c r="M154" s="553"/>
      <c r="N154" s="510"/>
      <c r="O154" s="553"/>
      <c r="P154" s="510"/>
      <c r="Q154" s="553"/>
      <c r="R154" s="510"/>
      <c r="S154" s="553"/>
      <c r="T154" s="510"/>
      <c r="U154" s="553"/>
      <c r="V154" s="510"/>
      <c r="W154" s="553"/>
      <c r="X154" s="510"/>
      <c r="Y154" s="553"/>
      <c r="Z154" s="510"/>
      <c r="AA154" s="553"/>
      <c r="AB154" s="510"/>
      <c r="AC154" s="553"/>
      <c r="AD154" s="510"/>
      <c r="AE154" s="553"/>
      <c r="AF154" s="510"/>
      <c r="AG154" s="553"/>
      <c r="AH154" s="510"/>
      <c r="AI154" s="553"/>
      <c r="AJ154" s="510"/>
      <c r="AK154" s="553"/>
      <c r="AL154" s="510"/>
      <c r="AM154" s="553"/>
      <c r="AN154" s="510"/>
      <c r="AO154" s="553"/>
      <c r="AP154" s="510"/>
      <c r="AQ154" s="553"/>
      <c r="AR154" s="510"/>
      <c r="AS154" s="553"/>
      <c r="AT154" s="510"/>
      <c r="AU154" s="553"/>
      <c r="AV154" s="510"/>
      <c r="AW154" s="553"/>
      <c r="AX154" s="510"/>
      <c r="AY154" s="553"/>
      <c r="AZ154" s="510"/>
      <c r="BA154" s="130"/>
      <c r="BB154" s="130"/>
      <c r="BC154" s="130"/>
      <c r="BD154" s="130"/>
      <c r="BE154" s="130"/>
      <c r="BF154" s="130"/>
      <c r="BG154" s="130"/>
      <c r="BH154" s="130"/>
      <c r="BI154" s="130"/>
      <c r="BJ154" s="130"/>
      <c r="BK154" s="130"/>
      <c r="BL154" s="130"/>
      <c r="BM154" s="130"/>
      <c r="BN154" s="130"/>
      <c r="BO154" s="130"/>
      <c r="BP154" s="130"/>
      <c r="BQ154" s="130"/>
      <c r="BR154" s="130"/>
      <c r="BS154" s="130"/>
      <c r="BT154" s="130"/>
    </row>
    <row r="155" spans="1:72" ht="15.75" customHeight="1">
      <c r="A155" s="560" t="s">
        <v>724</v>
      </c>
      <c r="B155" s="93" t="s">
        <v>1209</v>
      </c>
      <c r="C155" s="556"/>
      <c r="D155" s="510"/>
      <c r="E155" s="556"/>
      <c r="F155" s="510"/>
      <c r="G155" s="556"/>
      <c r="H155" s="510"/>
      <c r="I155" s="556"/>
      <c r="J155" s="510"/>
      <c r="K155" s="556"/>
      <c r="L155" s="510"/>
      <c r="M155" s="556"/>
      <c r="N155" s="510"/>
      <c r="O155" s="556"/>
      <c r="P155" s="510"/>
      <c r="Q155" s="556"/>
      <c r="R155" s="510"/>
      <c r="S155" s="556"/>
      <c r="T155" s="510"/>
      <c r="U155" s="556"/>
      <c r="V155" s="510"/>
      <c r="W155" s="556"/>
      <c r="X155" s="510"/>
      <c r="Y155" s="556"/>
      <c r="Z155" s="510"/>
      <c r="AA155" s="556"/>
      <c r="AB155" s="510"/>
      <c r="AC155" s="556"/>
      <c r="AD155" s="510"/>
      <c r="AE155" s="556"/>
      <c r="AF155" s="510"/>
      <c r="AG155" s="556"/>
      <c r="AH155" s="510"/>
      <c r="AI155" s="556"/>
      <c r="AJ155" s="510"/>
      <c r="AK155" s="556"/>
      <c r="AL155" s="510"/>
      <c r="AM155" s="556"/>
      <c r="AN155" s="510"/>
      <c r="AO155" s="556"/>
      <c r="AP155" s="510"/>
      <c r="AQ155" s="556"/>
      <c r="AR155" s="510"/>
      <c r="AS155" s="556"/>
      <c r="AT155" s="510"/>
      <c r="AU155" s="556"/>
      <c r="AV155" s="510"/>
      <c r="AW155" s="556">
        <v>0</v>
      </c>
      <c r="AX155" s="510"/>
      <c r="AY155" s="556"/>
      <c r="AZ155" s="510"/>
      <c r="BA155" s="130"/>
      <c r="BB155" s="130"/>
      <c r="BC155" s="130"/>
      <c r="BD155" s="130"/>
      <c r="BE155" s="130"/>
      <c r="BF155" s="130"/>
      <c r="BG155" s="130"/>
      <c r="BH155" s="130"/>
      <c r="BI155" s="130"/>
      <c r="BJ155" s="130"/>
      <c r="BK155" s="130"/>
      <c r="BL155" s="130"/>
      <c r="BM155" s="130"/>
      <c r="BN155" s="130"/>
      <c r="BO155" s="130"/>
      <c r="BP155" s="130"/>
      <c r="BQ155" s="130"/>
      <c r="BR155" s="130"/>
      <c r="BS155" s="130"/>
      <c r="BT155" s="130"/>
    </row>
    <row r="156" spans="1:72" ht="15.75" customHeight="1">
      <c r="A156" s="525"/>
      <c r="B156" s="135" t="s">
        <v>307</v>
      </c>
      <c r="C156" s="553"/>
      <c r="D156" s="510"/>
      <c r="E156" s="553"/>
      <c r="F156" s="510"/>
      <c r="G156" s="553"/>
      <c r="H156" s="510"/>
      <c r="I156" s="553"/>
      <c r="J156" s="510"/>
      <c r="K156" s="553"/>
      <c r="L156" s="510"/>
      <c r="M156" s="553"/>
      <c r="N156" s="510"/>
      <c r="O156" s="553"/>
      <c r="P156" s="510"/>
      <c r="Q156" s="553"/>
      <c r="R156" s="510"/>
      <c r="S156" s="553"/>
      <c r="T156" s="510"/>
      <c r="U156" s="553"/>
      <c r="V156" s="510"/>
      <c r="W156" s="553"/>
      <c r="X156" s="510"/>
      <c r="Y156" s="553"/>
      <c r="Z156" s="510"/>
      <c r="AA156" s="553"/>
      <c r="AB156" s="510"/>
      <c r="AC156" s="553"/>
      <c r="AD156" s="510"/>
      <c r="AE156" s="553"/>
      <c r="AF156" s="510"/>
      <c r="AG156" s="553"/>
      <c r="AH156" s="510"/>
      <c r="AI156" s="553"/>
      <c r="AJ156" s="510"/>
      <c r="AK156" s="553"/>
      <c r="AL156" s="510"/>
      <c r="AM156" s="553"/>
      <c r="AN156" s="510"/>
      <c r="AO156" s="553"/>
      <c r="AP156" s="510"/>
      <c r="AQ156" s="553"/>
      <c r="AR156" s="510"/>
      <c r="AS156" s="553"/>
      <c r="AT156" s="510"/>
      <c r="AU156" s="553"/>
      <c r="AV156" s="510"/>
      <c r="AW156" s="553"/>
      <c r="AX156" s="510"/>
      <c r="AY156" s="553"/>
      <c r="AZ156" s="510"/>
      <c r="BA156" s="130"/>
      <c r="BB156" s="130"/>
      <c r="BC156" s="130"/>
      <c r="BD156" s="130"/>
      <c r="BE156" s="130"/>
      <c r="BF156" s="130"/>
      <c r="BG156" s="130"/>
      <c r="BH156" s="130"/>
      <c r="BI156" s="130"/>
      <c r="BJ156" s="130"/>
      <c r="BK156" s="130"/>
      <c r="BL156" s="130"/>
      <c r="BM156" s="130"/>
      <c r="BN156" s="130"/>
      <c r="BO156" s="130"/>
      <c r="BP156" s="130"/>
      <c r="BQ156" s="130"/>
      <c r="BR156" s="130"/>
      <c r="BS156" s="130"/>
      <c r="BT156" s="130"/>
    </row>
    <row r="157" spans="1:72" ht="15.75" customHeight="1">
      <c r="A157" s="560" t="s">
        <v>728</v>
      </c>
      <c r="B157" s="93" t="s">
        <v>1210</v>
      </c>
      <c r="C157" s="556"/>
      <c r="D157" s="510"/>
      <c r="E157" s="556"/>
      <c r="F157" s="510"/>
      <c r="G157" s="556"/>
      <c r="H157" s="510"/>
      <c r="I157" s="556"/>
      <c r="J157" s="510"/>
      <c r="K157" s="556"/>
      <c r="L157" s="510"/>
      <c r="M157" s="556"/>
      <c r="N157" s="510"/>
      <c r="O157" s="556"/>
      <c r="P157" s="510"/>
      <c r="Q157" s="556"/>
      <c r="R157" s="510"/>
      <c r="S157" s="556"/>
      <c r="T157" s="510"/>
      <c r="U157" s="556"/>
      <c r="V157" s="510"/>
      <c r="W157" s="556"/>
      <c r="X157" s="510"/>
      <c r="Y157" s="556"/>
      <c r="Z157" s="510"/>
      <c r="AA157" s="556"/>
      <c r="AB157" s="510"/>
      <c r="AC157" s="556"/>
      <c r="AD157" s="510"/>
      <c r="AE157" s="556"/>
      <c r="AF157" s="510"/>
      <c r="AG157" s="556"/>
      <c r="AH157" s="510"/>
      <c r="AI157" s="556"/>
      <c r="AJ157" s="510"/>
      <c r="AK157" s="556"/>
      <c r="AL157" s="510"/>
      <c r="AM157" s="556"/>
      <c r="AN157" s="510"/>
      <c r="AO157" s="556"/>
      <c r="AP157" s="510"/>
      <c r="AQ157" s="556"/>
      <c r="AR157" s="510"/>
      <c r="AS157" s="556"/>
      <c r="AT157" s="510"/>
      <c r="AU157" s="556"/>
      <c r="AV157" s="510"/>
      <c r="AW157" s="556">
        <v>1</v>
      </c>
      <c r="AX157" s="510"/>
      <c r="AY157" s="556"/>
      <c r="AZ157" s="510"/>
      <c r="BA157" s="130"/>
      <c r="BB157" s="130"/>
      <c r="BC157" s="130"/>
      <c r="BD157" s="130"/>
      <c r="BE157" s="130"/>
      <c r="BF157" s="130"/>
      <c r="BG157" s="130"/>
      <c r="BH157" s="130"/>
      <c r="BI157" s="130"/>
      <c r="BJ157" s="130"/>
      <c r="BK157" s="130"/>
      <c r="BL157" s="130"/>
      <c r="BM157" s="130"/>
      <c r="BN157" s="130"/>
      <c r="BO157" s="130"/>
      <c r="BP157" s="130"/>
      <c r="BQ157" s="130"/>
      <c r="BR157" s="130"/>
      <c r="BS157" s="130"/>
      <c r="BT157" s="130"/>
    </row>
    <row r="158" spans="1:72" ht="15.75" customHeight="1">
      <c r="A158" s="525"/>
      <c r="B158" s="135" t="s">
        <v>307</v>
      </c>
      <c r="C158" s="553"/>
      <c r="D158" s="510"/>
      <c r="E158" s="553"/>
      <c r="F158" s="510"/>
      <c r="G158" s="553"/>
      <c r="H158" s="510"/>
      <c r="I158" s="553"/>
      <c r="J158" s="510"/>
      <c r="K158" s="553"/>
      <c r="L158" s="510"/>
      <c r="M158" s="553"/>
      <c r="N158" s="510"/>
      <c r="O158" s="553"/>
      <c r="P158" s="510"/>
      <c r="Q158" s="553"/>
      <c r="R158" s="510"/>
      <c r="S158" s="553"/>
      <c r="T158" s="510"/>
      <c r="U158" s="553"/>
      <c r="V158" s="510"/>
      <c r="W158" s="553"/>
      <c r="X158" s="510"/>
      <c r="Y158" s="553"/>
      <c r="Z158" s="510"/>
      <c r="AA158" s="553"/>
      <c r="AB158" s="510"/>
      <c r="AC158" s="553"/>
      <c r="AD158" s="510"/>
      <c r="AE158" s="553"/>
      <c r="AF158" s="510"/>
      <c r="AG158" s="553"/>
      <c r="AH158" s="510"/>
      <c r="AI158" s="553"/>
      <c r="AJ158" s="510"/>
      <c r="AK158" s="553"/>
      <c r="AL158" s="510"/>
      <c r="AM158" s="553"/>
      <c r="AN158" s="510"/>
      <c r="AO158" s="553"/>
      <c r="AP158" s="510"/>
      <c r="AQ158" s="553"/>
      <c r="AR158" s="510"/>
      <c r="AS158" s="553"/>
      <c r="AT158" s="510"/>
      <c r="AU158" s="553"/>
      <c r="AV158" s="510"/>
      <c r="AW158" s="553"/>
      <c r="AX158" s="510"/>
      <c r="AY158" s="553"/>
      <c r="AZ158" s="510"/>
      <c r="BA158" s="130"/>
      <c r="BB158" s="130"/>
      <c r="BC158" s="130"/>
      <c r="BD158" s="130"/>
      <c r="BE158" s="130"/>
      <c r="BF158" s="130"/>
      <c r="BG158" s="130"/>
      <c r="BH158" s="130"/>
      <c r="BI158" s="130"/>
      <c r="BJ158" s="130"/>
      <c r="BK158" s="130"/>
      <c r="BL158" s="130"/>
      <c r="BM158" s="130"/>
      <c r="BN158" s="130"/>
      <c r="BO158" s="130"/>
      <c r="BP158" s="130"/>
      <c r="BQ158" s="130"/>
      <c r="BR158" s="130"/>
      <c r="BS158" s="130"/>
      <c r="BT158" s="130"/>
    </row>
    <row r="159" spans="1:72" ht="15.75" customHeight="1">
      <c r="A159" s="560" t="s">
        <v>732</v>
      </c>
      <c r="B159" s="93" t="s">
        <v>1211</v>
      </c>
      <c r="C159" s="556"/>
      <c r="D159" s="510"/>
      <c r="E159" s="556"/>
      <c r="F159" s="510"/>
      <c r="G159" s="556"/>
      <c r="H159" s="510"/>
      <c r="I159" s="556"/>
      <c r="J159" s="510"/>
      <c r="K159" s="556"/>
      <c r="L159" s="510"/>
      <c r="M159" s="556"/>
      <c r="N159" s="510"/>
      <c r="O159" s="556"/>
      <c r="P159" s="510"/>
      <c r="Q159" s="556"/>
      <c r="R159" s="510"/>
      <c r="S159" s="556"/>
      <c r="T159" s="510"/>
      <c r="U159" s="556"/>
      <c r="V159" s="510"/>
      <c r="W159" s="556"/>
      <c r="X159" s="510"/>
      <c r="Y159" s="556"/>
      <c r="Z159" s="510"/>
      <c r="AA159" s="556"/>
      <c r="AB159" s="510"/>
      <c r="AC159" s="556"/>
      <c r="AD159" s="510"/>
      <c r="AE159" s="556"/>
      <c r="AF159" s="510"/>
      <c r="AG159" s="556"/>
      <c r="AH159" s="510"/>
      <c r="AI159" s="556"/>
      <c r="AJ159" s="510"/>
      <c r="AK159" s="556"/>
      <c r="AL159" s="510"/>
      <c r="AM159" s="556"/>
      <c r="AN159" s="510"/>
      <c r="AO159" s="556"/>
      <c r="AP159" s="510"/>
      <c r="AQ159" s="556"/>
      <c r="AR159" s="510"/>
      <c r="AS159" s="556"/>
      <c r="AT159" s="510"/>
      <c r="AU159" s="556"/>
      <c r="AV159" s="510"/>
      <c r="AW159" s="556">
        <v>1</v>
      </c>
      <c r="AX159" s="510"/>
      <c r="AY159" s="556"/>
      <c r="AZ159" s="510"/>
      <c r="BA159" s="130"/>
      <c r="BB159" s="130"/>
      <c r="BC159" s="130"/>
      <c r="BD159" s="130"/>
      <c r="BE159" s="130"/>
      <c r="BF159" s="130"/>
      <c r="BG159" s="130"/>
      <c r="BH159" s="130"/>
      <c r="BI159" s="130"/>
      <c r="BJ159" s="130"/>
      <c r="BK159" s="130"/>
      <c r="BL159" s="130"/>
      <c r="BM159" s="130"/>
      <c r="BN159" s="130"/>
      <c r="BO159" s="130"/>
      <c r="BP159" s="130"/>
      <c r="BQ159" s="130"/>
      <c r="BR159" s="130"/>
      <c r="BS159" s="130"/>
      <c r="BT159" s="130"/>
    </row>
    <row r="160" spans="1:72" ht="15.75" customHeight="1">
      <c r="A160" s="525"/>
      <c r="B160" s="135" t="s">
        <v>307</v>
      </c>
      <c r="C160" s="553"/>
      <c r="D160" s="510"/>
      <c r="E160" s="553"/>
      <c r="F160" s="510"/>
      <c r="G160" s="553"/>
      <c r="H160" s="510"/>
      <c r="I160" s="553"/>
      <c r="J160" s="510"/>
      <c r="K160" s="553"/>
      <c r="L160" s="510"/>
      <c r="M160" s="553"/>
      <c r="N160" s="510"/>
      <c r="O160" s="553"/>
      <c r="P160" s="510"/>
      <c r="Q160" s="553"/>
      <c r="R160" s="510"/>
      <c r="S160" s="553"/>
      <c r="T160" s="510"/>
      <c r="U160" s="553"/>
      <c r="V160" s="510"/>
      <c r="W160" s="553"/>
      <c r="X160" s="510"/>
      <c r="Y160" s="553"/>
      <c r="Z160" s="510"/>
      <c r="AA160" s="553"/>
      <c r="AB160" s="510"/>
      <c r="AC160" s="553"/>
      <c r="AD160" s="510"/>
      <c r="AE160" s="553"/>
      <c r="AF160" s="510"/>
      <c r="AG160" s="553"/>
      <c r="AH160" s="510"/>
      <c r="AI160" s="553"/>
      <c r="AJ160" s="510"/>
      <c r="AK160" s="553"/>
      <c r="AL160" s="510"/>
      <c r="AM160" s="553"/>
      <c r="AN160" s="510"/>
      <c r="AO160" s="553"/>
      <c r="AP160" s="510"/>
      <c r="AQ160" s="553"/>
      <c r="AR160" s="510"/>
      <c r="AS160" s="553"/>
      <c r="AT160" s="510"/>
      <c r="AU160" s="553"/>
      <c r="AV160" s="510"/>
      <c r="AW160" s="553"/>
      <c r="AX160" s="510"/>
      <c r="AY160" s="553"/>
      <c r="AZ160" s="510"/>
      <c r="BA160" s="130"/>
      <c r="BB160" s="130"/>
      <c r="BC160" s="130"/>
      <c r="BD160" s="130"/>
      <c r="BE160" s="130"/>
      <c r="BF160" s="130"/>
      <c r="BG160" s="130"/>
      <c r="BH160" s="130"/>
      <c r="BI160" s="130"/>
      <c r="BJ160" s="130"/>
      <c r="BK160" s="130"/>
      <c r="BL160" s="130"/>
      <c r="BM160" s="130"/>
      <c r="BN160" s="130"/>
      <c r="BO160" s="130"/>
      <c r="BP160" s="130"/>
      <c r="BQ160" s="130"/>
      <c r="BR160" s="130"/>
      <c r="BS160" s="130"/>
      <c r="BT160" s="130"/>
    </row>
    <row r="161" spans="1:72" ht="15.75" customHeight="1">
      <c r="A161" s="560" t="s">
        <v>735</v>
      </c>
      <c r="B161" s="316" t="s">
        <v>1212</v>
      </c>
      <c r="C161" s="556"/>
      <c r="D161" s="510"/>
      <c r="E161" s="556"/>
      <c r="F161" s="510"/>
      <c r="G161" s="556"/>
      <c r="H161" s="510"/>
      <c r="I161" s="556"/>
      <c r="J161" s="510"/>
      <c r="K161" s="556"/>
      <c r="L161" s="510"/>
      <c r="M161" s="556"/>
      <c r="N161" s="510"/>
      <c r="O161" s="556"/>
      <c r="P161" s="510"/>
      <c r="Q161" s="556"/>
      <c r="R161" s="510"/>
      <c r="S161" s="556"/>
      <c r="T161" s="510"/>
      <c r="U161" s="556"/>
      <c r="V161" s="510"/>
      <c r="W161" s="556"/>
      <c r="X161" s="510"/>
      <c r="Y161" s="556"/>
      <c r="Z161" s="510"/>
      <c r="AA161" s="556"/>
      <c r="AB161" s="510"/>
      <c r="AC161" s="556"/>
      <c r="AD161" s="510"/>
      <c r="AE161" s="556"/>
      <c r="AF161" s="510"/>
      <c r="AG161" s="556"/>
      <c r="AH161" s="510"/>
      <c r="AI161" s="556"/>
      <c r="AJ161" s="510"/>
      <c r="AK161" s="556"/>
      <c r="AL161" s="510"/>
      <c r="AM161" s="556"/>
      <c r="AN161" s="510"/>
      <c r="AO161" s="556"/>
      <c r="AP161" s="510"/>
      <c r="AQ161" s="556"/>
      <c r="AR161" s="510"/>
      <c r="AS161" s="556"/>
      <c r="AT161" s="510"/>
      <c r="AU161" s="556"/>
      <c r="AV161" s="510"/>
      <c r="AW161" s="556"/>
      <c r="AX161" s="510"/>
      <c r="AY161" s="556"/>
      <c r="AZ161" s="510"/>
      <c r="BA161" s="130"/>
      <c r="BB161" s="130"/>
      <c r="BC161" s="130"/>
      <c r="BD161" s="130"/>
      <c r="BE161" s="130"/>
      <c r="BF161" s="130"/>
      <c r="BG161" s="130"/>
      <c r="BH161" s="130"/>
      <c r="BI161" s="130"/>
      <c r="BJ161" s="130"/>
      <c r="BK161" s="130"/>
      <c r="BL161" s="130"/>
      <c r="BM161" s="130"/>
      <c r="BN161" s="130"/>
      <c r="BO161" s="130"/>
      <c r="BP161" s="130"/>
      <c r="BQ161" s="130"/>
      <c r="BR161" s="130"/>
      <c r="BS161" s="130"/>
      <c r="BT161" s="130"/>
    </row>
    <row r="162" spans="1:72" ht="15.75" customHeight="1">
      <c r="A162" s="524"/>
      <c r="B162" s="93" t="s">
        <v>1213</v>
      </c>
      <c r="C162" s="556"/>
      <c r="D162" s="510"/>
      <c r="E162" s="556"/>
      <c r="F162" s="510"/>
      <c r="G162" s="556"/>
      <c r="H162" s="510"/>
      <c r="I162" s="556"/>
      <c r="J162" s="510"/>
      <c r="K162" s="556"/>
      <c r="L162" s="510"/>
      <c r="M162" s="556"/>
      <c r="N162" s="510"/>
      <c r="O162" s="556"/>
      <c r="P162" s="510"/>
      <c r="Q162" s="556"/>
      <c r="R162" s="510"/>
      <c r="S162" s="556"/>
      <c r="T162" s="510"/>
      <c r="U162" s="556"/>
      <c r="V162" s="510"/>
      <c r="W162" s="556"/>
      <c r="X162" s="510"/>
      <c r="Y162" s="556"/>
      <c r="Z162" s="510"/>
      <c r="AA162" s="556"/>
      <c r="AB162" s="510"/>
      <c r="AC162" s="556"/>
      <c r="AD162" s="510"/>
      <c r="AE162" s="556"/>
      <c r="AF162" s="510"/>
      <c r="AG162" s="556"/>
      <c r="AH162" s="510"/>
      <c r="AI162" s="556"/>
      <c r="AJ162" s="510"/>
      <c r="AK162" s="556"/>
      <c r="AL162" s="510"/>
      <c r="AM162" s="556"/>
      <c r="AN162" s="510"/>
      <c r="AO162" s="556"/>
      <c r="AP162" s="510"/>
      <c r="AQ162" s="556"/>
      <c r="AR162" s="510"/>
      <c r="AS162" s="556"/>
      <c r="AT162" s="510"/>
      <c r="AU162" s="556"/>
      <c r="AV162" s="510"/>
      <c r="AW162" s="556">
        <v>1</v>
      </c>
      <c r="AX162" s="510"/>
      <c r="AY162" s="556"/>
      <c r="AZ162" s="510"/>
      <c r="BA162" s="130"/>
      <c r="BB162" s="130"/>
      <c r="BC162" s="130"/>
      <c r="BD162" s="130"/>
      <c r="BE162" s="130"/>
      <c r="BF162" s="130"/>
      <c r="BG162" s="130"/>
      <c r="BH162" s="130"/>
      <c r="BI162" s="130"/>
      <c r="BJ162" s="130"/>
      <c r="BK162" s="130"/>
      <c r="BL162" s="130"/>
      <c r="BM162" s="130"/>
      <c r="BN162" s="130"/>
      <c r="BO162" s="130"/>
      <c r="BP162" s="130"/>
      <c r="BQ162" s="130"/>
      <c r="BR162" s="130"/>
      <c r="BS162" s="130"/>
      <c r="BT162" s="130"/>
    </row>
    <row r="163" spans="1:72" ht="15.75" customHeight="1">
      <c r="A163" s="524"/>
      <c r="B163" s="93" t="s">
        <v>1214</v>
      </c>
      <c r="C163" s="556"/>
      <c r="D163" s="510"/>
      <c r="E163" s="556"/>
      <c r="F163" s="510"/>
      <c r="G163" s="556"/>
      <c r="H163" s="510"/>
      <c r="I163" s="556"/>
      <c r="J163" s="510"/>
      <c r="K163" s="556"/>
      <c r="L163" s="510"/>
      <c r="M163" s="556"/>
      <c r="N163" s="510"/>
      <c r="O163" s="556"/>
      <c r="P163" s="510"/>
      <c r="Q163" s="556"/>
      <c r="R163" s="510"/>
      <c r="S163" s="556"/>
      <c r="T163" s="510"/>
      <c r="U163" s="556"/>
      <c r="V163" s="510"/>
      <c r="W163" s="556"/>
      <c r="X163" s="510"/>
      <c r="Y163" s="556"/>
      <c r="Z163" s="510"/>
      <c r="AA163" s="556"/>
      <c r="AB163" s="510"/>
      <c r="AC163" s="556"/>
      <c r="AD163" s="510"/>
      <c r="AE163" s="556"/>
      <c r="AF163" s="510"/>
      <c r="AG163" s="556"/>
      <c r="AH163" s="510"/>
      <c r="AI163" s="556"/>
      <c r="AJ163" s="510"/>
      <c r="AK163" s="556"/>
      <c r="AL163" s="510"/>
      <c r="AM163" s="556"/>
      <c r="AN163" s="510"/>
      <c r="AO163" s="556"/>
      <c r="AP163" s="510"/>
      <c r="AQ163" s="556"/>
      <c r="AR163" s="510"/>
      <c r="AS163" s="556"/>
      <c r="AT163" s="510"/>
      <c r="AU163" s="556"/>
      <c r="AV163" s="510"/>
      <c r="AW163" s="556"/>
      <c r="AX163" s="510"/>
      <c r="AY163" s="556"/>
      <c r="AZ163" s="510"/>
      <c r="BA163" s="130"/>
      <c r="BB163" s="130"/>
      <c r="BC163" s="130"/>
      <c r="BD163" s="130"/>
      <c r="BE163" s="130"/>
      <c r="BF163" s="130"/>
      <c r="BG163" s="130"/>
      <c r="BH163" s="130"/>
      <c r="BI163" s="130"/>
      <c r="BJ163" s="130"/>
      <c r="BK163" s="130"/>
      <c r="BL163" s="130"/>
      <c r="BM163" s="130"/>
      <c r="BN163" s="130"/>
      <c r="BO163" s="130"/>
      <c r="BP163" s="130"/>
      <c r="BQ163" s="130"/>
      <c r="BR163" s="130"/>
      <c r="BS163" s="130"/>
      <c r="BT163" s="130"/>
    </row>
    <row r="164" spans="1:72" ht="15" customHeight="1">
      <c r="A164" s="524"/>
      <c r="B164" s="93" t="s">
        <v>1215</v>
      </c>
      <c r="C164" s="556"/>
      <c r="D164" s="510"/>
      <c r="E164" s="556"/>
      <c r="F164" s="510"/>
      <c r="G164" s="556"/>
      <c r="H164" s="510"/>
      <c r="I164" s="556"/>
      <c r="J164" s="510"/>
      <c r="K164" s="556"/>
      <c r="L164" s="510"/>
      <c r="M164" s="556"/>
      <c r="N164" s="510"/>
      <c r="O164" s="556"/>
      <c r="P164" s="510"/>
      <c r="Q164" s="556"/>
      <c r="R164" s="510"/>
      <c r="S164" s="556"/>
      <c r="T164" s="510"/>
      <c r="U164" s="556"/>
      <c r="V164" s="510"/>
      <c r="W164" s="556"/>
      <c r="X164" s="510"/>
      <c r="Y164" s="556"/>
      <c r="Z164" s="510"/>
      <c r="AA164" s="556"/>
      <c r="AB164" s="510"/>
      <c r="AC164" s="556"/>
      <c r="AD164" s="510"/>
      <c r="AE164" s="556"/>
      <c r="AF164" s="510"/>
      <c r="AG164" s="556"/>
      <c r="AH164" s="510"/>
      <c r="AI164" s="556"/>
      <c r="AJ164" s="510"/>
      <c r="AK164" s="556"/>
      <c r="AL164" s="510"/>
      <c r="AM164" s="556"/>
      <c r="AN164" s="510"/>
      <c r="AO164" s="556"/>
      <c r="AP164" s="510"/>
      <c r="AQ164" s="556"/>
      <c r="AR164" s="510"/>
      <c r="AS164" s="556"/>
      <c r="AT164" s="510"/>
      <c r="AU164" s="556"/>
      <c r="AV164" s="510"/>
      <c r="AW164" s="556"/>
      <c r="AX164" s="510"/>
      <c r="AY164" s="556"/>
      <c r="AZ164" s="510"/>
      <c r="BA164" s="130"/>
      <c r="BB164" s="130"/>
      <c r="BC164" s="130"/>
      <c r="BD164" s="130"/>
      <c r="BE164" s="130"/>
      <c r="BF164" s="130"/>
      <c r="BG164" s="130"/>
      <c r="BH164" s="130"/>
      <c r="BI164" s="130"/>
      <c r="BJ164" s="130"/>
      <c r="BK164" s="130"/>
      <c r="BL164" s="130"/>
      <c r="BM164" s="130"/>
      <c r="BN164" s="130"/>
      <c r="BO164" s="130"/>
      <c r="BP164" s="130"/>
      <c r="BQ164" s="130"/>
      <c r="BR164" s="130"/>
      <c r="BS164" s="130"/>
      <c r="BT164" s="130"/>
    </row>
    <row r="165" spans="1:72" ht="15" customHeight="1">
      <c r="A165" s="524"/>
      <c r="B165" s="93" t="s">
        <v>500</v>
      </c>
      <c r="C165" s="556"/>
      <c r="D165" s="510"/>
      <c r="E165" s="556"/>
      <c r="F165" s="510"/>
      <c r="G165" s="556"/>
      <c r="H165" s="510"/>
      <c r="I165" s="556"/>
      <c r="J165" s="510"/>
      <c r="K165" s="556"/>
      <c r="L165" s="510"/>
      <c r="M165" s="556"/>
      <c r="N165" s="510"/>
      <c r="O165" s="556"/>
      <c r="P165" s="510"/>
      <c r="Q165" s="556"/>
      <c r="R165" s="510"/>
      <c r="S165" s="556"/>
      <c r="T165" s="510"/>
      <c r="U165" s="556"/>
      <c r="V165" s="510"/>
      <c r="W165" s="556"/>
      <c r="X165" s="510"/>
      <c r="Y165" s="556"/>
      <c r="Z165" s="510"/>
      <c r="AA165" s="556"/>
      <c r="AB165" s="510"/>
      <c r="AC165" s="556"/>
      <c r="AD165" s="510"/>
      <c r="AE165" s="556"/>
      <c r="AF165" s="510"/>
      <c r="AG165" s="556"/>
      <c r="AH165" s="510"/>
      <c r="AI165" s="556"/>
      <c r="AJ165" s="510"/>
      <c r="AK165" s="556"/>
      <c r="AL165" s="510"/>
      <c r="AM165" s="556"/>
      <c r="AN165" s="510"/>
      <c r="AO165" s="556"/>
      <c r="AP165" s="510"/>
      <c r="AQ165" s="556"/>
      <c r="AR165" s="510"/>
      <c r="AS165" s="556"/>
      <c r="AT165" s="510"/>
      <c r="AU165" s="556"/>
      <c r="AV165" s="510"/>
      <c r="AW165" s="556"/>
      <c r="AX165" s="510"/>
      <c r="AY165" s="556"/>
      <c r="AZ165" s="510"/>
      <c r="BA165" s="130"/>
      <c r="BB165" s="130"/>
      <c r="BC165" s="130"/>
      <c r="BD165" s="130"/>
      <c r="BE165" s="130"/>
      <c r="BF165" s="130"/>
      <c r="BG165" s="130"/>
      <c r="BH165" s="130"/>
      <c r="BI165" s="130"/>
      <c r="BJ165" s="130"/>
      <c r="BK165" s="130"/>
      <c r="BL165" s="130"/>
      <c r="BM165" s="130"/>
      <c r="BN165" s="130"/>
      <c r="BO165" s="130"/>
      <c r="BP165" s="130"/>
      <c r="BQ165" s="130"/>
      <c r="BR165" s="130"/>
      <c r="BS165" s="130"/>
      <c r="BT165" s="130"/>
    </row>
    <row r="166" spans="1:72" ht="15" customHeight="1">
      <c r="A166" s="524"/>
      <c r="B166" s="140" t="s">
        <v>721</v>
      </c>
      <c r="C166" s="554"/>
      <c r="D166" s="510"/>
      <c r="E166" s="554"/>
      <c r="F166" s="510"/>
      <c r="G166" s="554"/>
      <c r="H166" s="510"/>
      <c r="I166" s="554"/>
      <c r="J166" s="510"/>
      <c r="K166" s="554"/>
      <c r="L166" s="510"/>
      <c r="M166" s="554"/>
      <c r="N166" s="510"/>
      <c r="O166" s="554"/>
      <c r="P166" s="510"/>
      <c r="Q166" s="554"/>
      <c r="R166" s="510"/>
      <c r="S166" s="554"/>
      <c r="T166" s="510"/>
      <c r="U166" s="554"/>
      <c r="V166" s="510"/>
      <c r="W166" s="554"/>
      <c r="X166" s="510"/>
      <c r="Y166" s="554"/>
      <c r="Z166" s="510"/>
      <c r="AA166" s="554"/>
      <c r="AB166" s="510"/>
      <c r="AC166" s="554"/>
      <c r="AD166" s="510"/>
      <c r="AE166" s="554"/>
      <c r="AF166" s="510"/>
      <c r="AG166" s="554"/>
      <c r="AH166" s="510"/>
      <c r="AI166" s="554"/>
      <c r="AJ166" s="510"/>
      <c r="AK166" s="554"/>
      <c r="AL166" s="510"/>
      <c r="AM166" s="554"/>
      <c r="AN166" s="510"/>
      <c r="AO166" s="554"/>
      <c r="AP166" s="510"/>
      <c r="AQ166" s="554"/>
      <c r="AR166" s="510"/>
      <c r="AS166" s="554"/>
      <c r="AT166" s="510"/>
      <c r="AU166" s="554"/>
      <c r="AV166" s="510"/>
      <c r="AW166" s="554"/>
      <c r="AX166" s="510"/>
      <c r="AY166" s="554"/>
      <c r="AZ166" s="510"/>
      <c r="BA166" s="130"/>
      <c r="BB166" s="130"/>
      <c r="BC166" s="130"/>
      <c r="BD166" s="130"/>
      <c r="BE166" s="130"/>
      <c r="BF166" s="130"/>
      <c r="BG166" s="130"/>
      <c r="BH166" s="130"/>
      <c r="BI166" s="130"/>
      <c r="BJ166" s="130"/>
      <c r="BK166" s="130"/>
      <c r="BL166" s="130"/>
      <c r="BM166" s="130"/>
      <c r="BN166" s="130"/>
      <c r="BO166" s="130"/>
      <c r="BP166" s="130"/>
      <c r="BQ166" s="130"/>
      <c r="BR166" s="130"/>
      <c r="BS166" s="130"/>
      <c r="BT166" s="130"/>
    </row>
    <row r="167" spans="1:72" ht="15.75" customHeight="1">
      <c r="A167" s="525"/>
      <c r="B167" s="135" t="s">
        <v>307</v>
      </c>
      <c r="C167" s="553"/>
      <c r="D167" s="510"/>
      <c r="E167" s="553"/>
      <c r="F167" s="510"/>
      <c r="G167" s="553"/>
      <c r="H167" s="510"/>
      <c r="I167" s="553"/>
      <c r="J167" s="510"/>
      <c r="K167" s="553"/>
      <c r="L167" s="510"/>
      <c r="M167" s="553"/>
      <c r="N167" s="510"/>
      <c r="O167" s="553"/>
      <c r="P167" s="510"/>
      <c r="Q167" s="553"/>
      <c r="R167" s="510"/>
      <c r="S167" s="553"/>
      <c r="T167" s="510"/>
      <c r="U167" s="553"/>
      <c r="V167" s="510"/>
      <c r="W167" s="553"/>
      <c r="X167" s="510"/>
      <c r="Y167" s="553"/>
      <c r="Z167" s="510"/>
      <c r="AA167" s="553"/>
      <c r="AB167" s="510"/>
      <c r="AC167" s="553"/>
      <c r="AD167" s="510"/>
      <c r="AE167" s="553"/>
      <c r="AF167" s="510"/>
      <c r="AG167" s="553"/>
      <c r="AH167" s="510"/>
      <c r="AI167" s="553"/>
      <c r="AJ167" s="510"/>
      <c r="AK167" s="553"/>
      <c r="AL167" s="510"/>
      <c r="AM167" s="553"/>
      <c r="AN167" s="510"/>
      <c r="AO167" s="553"/>
      <c r="AP167" s="510"/>
      <c r="AQ167" s="553"/>
      <c r="AR167" s="510"/>
      <c r="AS167" s="553"/>
      <c r="AT167" s="510"/>
      <c r="AU167" s="553"/>
      <c r="AV167" s="510"/>
      <c r="AW167" s="553"/>
      <c r="AX167" s="510"/>
      <c r="AY167" s="553"/>
      <c r="AZ167" s="510"/>
      <c r="BA167" s="130"/>
      <c r="BB167" s="130"/>
      <c r="BC167" s="130"/>
      <c r="BD167" s="130"/>
      <c r="BE167" s="130"/>
      <c r="BF167" s="130"/>
      <c r="BG167" s="130"/>
      <c r="BH167" s="130"/>
      <c r="BI167" s="130"/>
      <c r="BJ167" s="130"/>
      <c r="BK167" s="130"/>
      <c r="BL167" s="130"/>
      <c r="BM167" s="130"/>
      <c r="BN167" s="130"/>
      <c r="BO167" s="130"/>
      <c r="BP167" s="130"/>
      <c r="BQ167" s="130"/>
      <c r="BR167" s="130"/>
      <c r="BS167" s="130"/>
      <c r="BT167" s="130"/>
    </row>
    <row r="168" spans="1:72" ht="15" customHeight="1">
      <c r="A168" s="575">
        <v>8</v>
      </c>
      <c r="B168" s="696" t="s">
        <v>1216</v>
      </c>
      <c r="C168" s="576" t="s">
        <v>299</v>
      </c>
      <c r="D168" s="510"/>
      <c r="E168" s="322"/>
      <c r="F168" s="323"/>
      <c r="G168" s="323"/>
      <c r="H168" s="323"/>
      <c r="I168" s="323"/>
      <c r="J168" s="323"/>
      <c r="K168" s="323"/>
      <c r="L168" s="323"/>
      <c r="M168" s="323"/>
      <c r="N168" s="323"/>
      <c r="O168" s="323"/>
      <c r="P168" s="323"/>
      <c r="Q168" s="323"/>
      <c r="R168" s="323"/>
      <c r="S168" s="323"/>
      <c r="T168" s="323"/>
      <c r="U168" s="323"/>
      <c r="V168" s="323"/>
      <c r="W168" s="323"/>
      <c r="X168" s="323"/>
      <c r="Y168" s="323"/>
      <c r="Z168" s="323"/>
      <c r="AA168" s="323"/>
      <c r="AB168" s="323"/>
      <c r="AC168" s="323"/>
      <c r="AD168" s="323"/>
      <c r="AE168" s="323"/>
      <c r="AF168" s="323"/>
      <c r="AG168" s="323"/>
      <c r="AH168" s="323"/>
      <c r="AI168" s="323"/>
      <c r="AJ168" s="323"/>
      <c r="AK168" s="323"/>
      <c r="AL168" s="323"/>
      <c r="AM168" s="323"/>
      <c r="AN168" s="323"/>
      <c r="AO168" s="323"/>
      <c r="AP168" s="323"/>
      <c r="AQ168" s="323"/>
      <c r="AR168" s="323"/>
      <c r="AS168" s="323"/>
      <c r="AT168" s="323"/>
      <c r="AU168" s="323"/>
      <c r="AV168" s="323"/>
      <c r="AW168" s="323"/>
      <c r="AX168" s="323"/>
      <c r="AY168" s="323"/>
      <c r="AZ168" s="323"/>
      <c r="BA168" s="323"/>
      <c r="BB168" s="130"/>
      <c r="BC168" s="130"/>
      <c r="BD168" s="130"/>
      <c r="BE168" s="130"/>
      <c r="BF168" s="130"/>
      <c r="BG168" s="130"/>
      <c r="BH168" s="130"/>
      <c r="BI168" s="130"/>
      <c r="BJ168" s="130"/>
      <c r="BK168" s="130"/>
      <c r="BL168" s="130"/>
      <c r="BM168" s="130"/>
      <c r="BN168" s="130"/>
      <c r="BO168" s="130"/>
      <c r="BP168" s="130"/>
      <c r="BQ168" s="130"/>
      <c r="BR168" s="130"/>
      <c r="BS168" s="130"/>
      <c r="BT168" s="130"/>
    </row>
    <row r="169" spans="1:72" ht="15.75" customHeight="1">
      <c r="A169" s="525"/>
      <c r="B169" s="525"/>
      <c r="C169" s="324" t="s">
        <v>300</v>
      </c>
      <c r="D169" s="324" t="s">
        <v>301</v>
      </c>
      <c r="E169" s="85"/>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130"/>
      <c r="BC169" s="130"/>
      <c r="BD169" s="130"/>
      <c r="BE169" s="130"/>
      <c r="BF169" s="130"/>
      <c r="BG169" s="130"/>
      <c r="BH169" s="130"/>
      <c r="BI169" s="130"/>
      <c r="BJ169" s="130"/>
      <c r="BK169" s="130"/>
      <c r="BL169" s="130"/>
      <c r="BM169" s="130"/>
      <c r="BN169" s="130"/>
      <c r="BO169" s="130"/>
      <c r="BP169" s="130"/>
      <c r="BQ169" s="130"/>
      <c r="BR169" s="130"/>
      <c r="BS169" s="130"/>
      <c r="BT169" s="130"/>
    </row>
    <row r="170" spans="1:72" ht="15.75" customHeight="1">
      <c r="A170" s="560" t="s">
        <v>755</v>
      </c>
      <c r="B170" s="86" t="s">
        <v>1217</v>
      </c>
      <c r="C170" s="556">
        <v>1</v>
      </c>
      <c r="D170" s="510"/>
      <c r="E170" s="85"/>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130"/>
      <c r="BC170" s="130"/>
      <c r="BD170" s="130"/>
      <c r="BE170" s="130"/>
      <c r="BF170" s="130"/>
      <c r="BG170" s="130"/>
      <c r="BH170" s="130"/>
      <c r="BI170" s="130"/>
      <c r="BJ170" s="130"/>
      <c r="BK170" s="130"/>
      <c r="BL170" s="130"/>
      <c r="BM170" s="130"/>
      <c r="BN170" s="130"/>
      <c r="BO170" s="130"/>
      <c r="BP170" s="130"/>
      <c r="BQ170" s="130"/>
      <c r="BR170" s="130"/>
      <c r="BS170" s="130"/>
      <c r="BT170" s="130"/>
    </row>
    <row r="171" spans="1:72" ht="15.75" customHeight="1">
      <c r="A171" s="525"/>
      <c r="B171" s="77" t="s">
        <v>307</v>
      </c>
      <c r="C171" s="74"/>
      <c r="D171" s="75"/>
      <c r="E171" s="75"/>
      <c r="F171" s="75"/>
      <c r="G171" s="75"/>
      <c r="H171" s="75"/>
      <c r="I171" s="75"/>
      <c r="J171" s="75"/>
      <c r="K171" s="309"/>
      <c r="L171" s="309"/>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155"/>
      <c r="BB171" s="130"/>
      <c r="BC171" s="130"/>
      <c r="BD171" s="130"/>
      <c r="BE171" s="130"/>
      <c r="BF171" s="130"/>
      <c r="BG171" s="130"/>
      <c r="BH171" s="130"/>
      <c r="BI171" s="130"/>
      <c r="BJ171" s="130"/>
      <c r="BK171" s="130"/>
      <c r="BL171" s="130"/>
      <c r="BM171" s="130"/>
      <c r="BN171" s="130"/>
      <c r="BO171" s="130"/>
      <c r="BP171" s="130"/>
      <c r="BQ171" s="130"/>
      <c r="BR171" s="130"/>
      <c r="BS171" s="130"/>
      <c r="BT171" s="130"/>
    </row>
    <row r="172" spans="1:72" ht="15.75" customHeight="1">
      <c r="A172" s="560" t="s">
        <v>757</v>
      </c>
      <c r="B172" s="93" t="s">
        <v>1218</v>
      </c>
      <c r="C172" s="556">
        <v>1</v>
      </c>
      <c r="D172" s="510"/>
      <c r="E172" s="85"/>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130"/>
      <c r="BC172" s="130"/>
      <c r="BD172" s="130"/>
      <c r="BE172" s="130"/>
      <c r="BF172" s="130"/>
      <c r="BG172" s="130"/>
      <c r="BH172" s="130"/>
      <c r="BI172" s="130"/>
      <c r="BJ172" s="130"/>
      <c r="BK172" s="130"/>
      <c r="BL172" s="130"/>
      <c r="BM172" s="130"/>
      <c r="BN172" s="130"/>
      <c r="BO172" s="130"/>
      <c r="BP172" s="130"/>
      <c r="BQ172" s="130"/>
      <c r="BR172" s="130"/>
      <c r="BS172" s="130"/>
      <c r="BT172" s="130"/>
    </row>
    <row r="173" spans="1:72" ht="15.75" customHeight="1">
      <c r="A173" s="525"/>
      <c r="B173" s="77" t="s">
        <v>307</v>
      </c>
      <c r="C173" s="74"/>
      <c r="D173" s="75"/>
      <c r="E173" s="75"/>
      <c r="F173" s="75"/>
      <c r="G173" s="75"/>
      <c r="H173" s="75"/>
      <c r="I173" s="75"/>
      <c r="J173" s="75"/>
      <c r="K173" s="309"/>
      <c r="L173" s="309"/>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155"/>
      <c r="BB173" s="130"/>
      <c r="BC173" s="130"/>
      <c r="BD173" s="130"/>
      <c r="BE173" s="130"/>
      <c r="BF173" s="130"/>
      <c r="BG173" s="130"/>
      <c r="BH173" s="130"/>
      <c r="BI173" s="130"/>
      <c r="BJ173" s="130"/>
      <c r="BK173" s="130"/>
      <c r="BL173" s="130"/>
      <c r="BM173" s="130"/>
      <c r="BN173" s="130"/>
      <c r="BO173" s="130"/>
      <c r="BP173" s="130"/>
      <c r="BQ173" s="130"/>
      <c r="BR173" s="130"/>
      <c r="BS173" s="130"/>
      <c r="BT173" s="130"/>
    </row>
    <row r="174" spans="1:72" ht="15.75" customHeight="1">
      <c r="A174" s="560" t="s">
        <v>759</v>
      </c>
      <c r="B174" s="86" t="s">
        <v>1219</v>
      </c>
      <c r="C174" s="556">
        <v>1</v>
      </c>
      <c r="D174" s="510"/>
      <c r="E174" s="95"/>
      <c r="F174" s="325"/>
      <c r="G174" s="325"/>
      <c r="H174" s="325"/>
      <c r="I174" s="325"/>
      <c r="J174" s="325"/>
      <c r="K174" s="325"/>
      <c r="L174" s="325"/>
      <c r="M174" s="325"/>
      <c r="N174" s="325"/>
      <c r="O174" s="325"/>
      <c r="P174" s="325"/>
      <c r="Q174" s="325"/>
      <c r="R174" s="325"/>
      <c r="S174" s="325"/>
      <c r="T174" s="325"/>
      <c r="U174" s="325"/>
      <c r="V174" s="325"/>
      <c r="W174" s="325"/>
      <c r="X174" s="325"/>
      <c r="Y174" s="325"/>
      <c r="Z174" s="325"/>
      <c r="AA174" s="325"/>
      <c r="AB174" s="325"/>
      <c r="AC174" s="325"/>
      <c r="AD174" s="325"/>
      <c r="AE174" s="325"/>
      <c r="AF174" s="325"/>
      <c r="AG174" s="325"/>
      <c r="AH174" s="325"/>
      <c r="AI174" s="325"/>
      <c r="AJ174" s="325"/>
      <c r="AK174" s="325"/>
      <c r="AL174" s="325"/>
      <c r="AM174" s="325"/>
      <c r="AN174" s="325"/>
      <c r="AO174" s="325"/>
      <c r="AP174" s="325"/>
      <c r="AQ174" s="325"/>
      <c r="AR174" s="325"/>
      <c r="AS174" s="325"/>
      <c r="AT174" s="325"/>
      <c r="AU174" s="325"/>
      <c r="AV174" s="325"/>
      <c r="AW174" s="325"/>
      <c r="AX174" s="325"/>
      <c r="AY174" s="325"/>
      <c r="AZ174" s="325"/>
      <c r="BA174" s="326"/>
      <c r="BB174" s="130"/>
      <c r="BC174" s="130"/>
      <c r="BD174" s="130"/>
      <c r="BE174" s="130"/>
      <c r="BF174" s="130"/>
      <c r="BG174" s="130"/>
      <c r="BH174" s="130"/>
      <c r="BI174" s="130"/>
      <c r="BJ174" s="130"/>
      <c r="BK174" s="130"/>
      <c r="BL174" s="130"/>
      <c r="BM174" s="130"/>
      <c r="BN174" s="130"/>
      <c r="BO174" s="130"/>
      <c r="BP174" s="130"/>
      <c r="BQ174" s="130"/>
      <c r="BR174" s="130"/>
      <c r="BS174" s="130"/>
      <c r="BT174" s="130"/>
    </row>
    <row r="175" spans="1:72" ht="15.75" customHeight="1">
      <c r="A175" s="525"/>
      <c r="B175" s="77" t="s">
        <v>307</v>
      </c>
      <c r="C175" s="74" t="s">
        <v>1220</v>
      </c>
      <c r="D175" s="75"/>
      <c r="E175" s="75"/>
      <c r="F175" s="75"/>
      <c r="G175" s="75"/>
      <c r="H175" s="75"/>
      <c r="I175" s="75"/>
      <c r="J175" s="75"/>
      <c r="K175" s="309"/>
      <c r="L175" s="309"/>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155"/>
      <c r="BB175" s="130"/>
      <c r="BC175" s="130"/>
      <c r="BD175" s="130"/>
      <c r="BE175" s="130"/>
      <c r="BF175" s="130"/>
      <c r="BG175" s="130"/>
      <c r="BH175" s="130"/>
      <c r="BI175" s="130"/>
      <c r="BJ175" s="130"/>
      <c r="BK175" s="130"/>
      <c r="BL175" s="130"/>
      <c r="BM175" s="130"/>
      <c r="BN175" s="130"/>
      <c r="BO175" s="130"/>
      <c r="BP175" s="130"/>
      <c r="BQ175" s="130"/>
      <c r="BR175" s="130"/>
      <c r="BS175" s="130"/>
      <c r="BT175" s="130"/>
    </row>
    <row r="176" spans="1:72" ht="15.75" customHeight="1">
      <c r="A176" s="560" t="s">
        <v>761</v>
      </c>
      <c r="B176" s="86" t="s">
        <v>1221</v>
      </c>
      <c r="C176" s="556">
        <v>0</v>
      </c>
      <c r="D176" s="510"/>
      <c r="E176" s="85"/>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130"/>
      <c r="BC176" s="130"/>
      <c r="BD176" s="130"/>
      <c r="BE176" s="130"/>
      <c r="BF176" s="130"/>
      <c r="BG176" s="130"/>
      <c r="BH176" s="130"/>
      <c r="BI176" s="130"/>
      <c r="BJ176" s="130"/>
      <c r="BK176" s="130"/>
      <c r="BL176" s="130"/>
      <c r="BM176" s="130"/>
      <c r="BN176" s="130"/>
      <c r="BO176" s="130"/>
      <c r="BP176" s="130"/>
      <c r="BQ176" s="130"/>
      <c r="BR176" s="130"/>
      <c r="BS176" s="130"/>
      <c r="BT176" s="130"/>
    </row>
    <row r="177" spans="1:72" ht="15.75" customHeight="1">
      <c r="A177" s="525"/>
      <c r="B177" s="77" t="s">
        <v>307</v>
      </c>
      <c r="C177" s="74"/>
      <c r="D177" s="75"/>
      <c r="E177" s="75"/>
      <c r="F177" s="75"/>
      <c r="G177" s="75"/>
      <c r="H177" s="75"/>
      <c r="I177" s="75"/>
      <c r="J177" s="75"/>
      <c r="K177" s="309"/>
      <c r="L177" s="309"/>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155"/>
      <c r="BB177" s="130"/>
      <c r="BC177" s="130"/>
      <c r="BD177" s="130"/>
      <c r="BE177" s="130"/>
      <c r="BF177" s="130"/>
      <c r="BG177" s="130"/>
      <c r="BH177" s="130"/>
      <c r="BI177" s="130"/>
      <c r="BJ177" s="130"/>
      <c r="BK177" s="130"/>
      <c r="BL177" s="130"/>
      <c r="BM177" s="130"/>
      <c r="BN177" s="130"/>
      <c r="BO177" s="130"/>
      <c r="BP177" s="130"/>
      <c r="BQ177" s="130"/>
      <c r="BR177" s="130"/>
      <c r="BS177" s="130"/>
      <c r="BT177" s="130"/>
    </row>
    <row r="178" spans="1:72" ht="15.75" customHeight="1">
      <c r="A178" s="560" t="s">
        <v>763</v>
      </c>
      <c r="B178" s="318" t="s">
        <v>1222</v>
      </c>
      <c r="C178" s="699"/>
      <c r="D178" s="510"/>
      <c r="E178" s="85"/>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130"/>
      <c r="BC178" s="130"/>
      <c r="BD178" s="130"/>
      <c r="BE178" s="130"/>
      <c r="BF178" s="130"/>
      <c r="BG178" s="130"/>
      <c r="BH178" s="130"/>
      <c r="BI178" s="130"/>
      <c r="BJ178" s="130"/>
      <c r="BK178" s="130"/>
      <c r="BL178" s="130"/>
      <c r="BM178" s="130"/>
      <c r="BN178" s="130"/>
      <c r="BO178" s="130"/>
      <c r="BP178" s="130"/>
      <c r="BQ178" s="130"/>
      <c r="BR178" s="130"/>
      <c r="BS178" s="130"/>
      <c r="BT178" s="130"/>
    </row>
    <row r="179" spans="1:72" ht="15.75" customHeight="1">
      <c r="A179" s="524"/>
      <c r="B179" s="86" t="s">
        <v>1223</v>
      </c>
      <c r="C179" s="556">
        <v>1</v>
      </c>
      <c r="D179" s="510"/>
      <c r="E179" s="85"/>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130"/>
      <c r="BC179" s="130"/>
      <c r="BD179" s="130"/>
      <c r="BE179" s="130"/>
      <c r="BF179" s="130"/>
      <c r="BG179" s="130"/>
      <c r="BH179" s="130"/>
      <c r="BI179" s="130"/>
      <c r="BJ179" s="130"/>
      <c r="BK179" s="130"/>
      <c r="BL179" s="130"/>
      <c r="BM179" s="130"/>
      <c r="BN179" s="130"/>
      <c r="BO179" s="130"/>
      <c r="BP179" s="130"/>
      <c r="BQ179" s="130"/>
      <c r="BR179" s="130"/>
      <c r="BS179" s="130"/>
      <c r="BT179" s="130"/>
    </row>
    <row r="180" spans="1:72" ht="15.75" customHeight="1">
      <c r="A180" s="524"/>
      <c r="B180" s="86" t="s">
        <v>1224</v>
      </c>
      <c r="C180" s="556">
        <v>1</v>
      </c>
      <c r="D180" s="510"/>
      <c r="E180" s="85"/>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130"/>
      <c r="BC180" s="130"/>
      <c r="BD180" s="130"/>
      <c r="BE180" s="130"/>
      <c r="BF180" s="130"/>
      <c r="BG180" s="130"/>
      <c r="BH180" s="130"/>
      <c r="BI180" s="130"/>
      <c r="BJ180" s="130"/>
      <c r="BK180" s="130"/>
      <c r="BL180" s="130"/>
      <c r="BM180" s="130"/>
      <c r="BN180" s="130"/>
      <c r="BO180" s="130"/>
      <c r="BP180" s="130"/>
      <c r="BQ180" s="130"/>
      <c r="BR180" s="130"/>
      <c r="BS180" s="130"/>
      <c r="BT180" s="130"/>
    </row>
    <row r="181" spans="1:72" ht="15.75" customHeight="1">
      <c r="A181" s="524"/>
      <c r="B181" s="86" t="s">
        <v>1225</v>
      </c>
      <c r="C181" s="556">
        <v>1</v>
      </c>
      <c r="D181" s="510"/>
      <c r="E181" s="85"/>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130"/>
      <c r="BC181" s="130"/>
      <c r="BD181" s="130"/>
      <c r="BE181" s="130"/>
      <c r="BF181" s="130"/>
      <c r="BG181" s="130"/>
      <c r="BH181" s="130"/>
      <c r="BI181" s="130"/>
      <c r="BJ181" s="130"/>
      <c r="BK181" s="130"/>
      <c r="BL181" s="130"/>
      <c r="BM181" s="130"/>
      <c r="BN181" s="130"/>
      <c r="BO181" s="130"/>
      <c r="BP181" s="130"/>
      <c r="BQ181" s="130"/>
      <c r="BR181" s="130"/>
      <c r="BS181" s="130"/>
      <c r="BT181" s="130"/>
    </row>
    <row r="182" spans="1:72" ht="15.75" customHeight="1">
      <c r="A182" s="524"/>
      <c r="B182" s="86" t="s">
        <v>1226</v>
      </c>
      <c r="C182" s="556">
        <v>1</v>
      </c>
      <c r="D182" s="510"/>
      <c r="E182" s="85"/>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130"/>
      <c r="BC182" s="130"/>
      <c r="BD182" s="130"/>
      <c r="BE182" s="130"/>
      <c r="BF182" s="130"/>
      <c r="BG182" s="130"/>
      <c r="BH182" s="130"/>
      <c r="BI182" s="130"/>
      <c r="BJ182" s="130"/>
      <c r="BK182" s="130"/>
      <c r="BL182" s="130"/>
      <c r="BM182" s="130"/>
      <c r="BN182" s="130"/>
      <c r="BO182" s="130"/>
      <c r="BP182" s="130"/>
      <c r="BQ182" s="130"/>
      <c r="BR182" s="130"/>
      <c r="BS182" s="130"/>
      <c r="BT182" s="130"/>
    </row>
    <row r="183" spans="1:72" ht="15.75" customHeight="1">
      <c r="A183" s="524"/>
      <c r="B183" s="86" t="s">
        <v>1227</v>
      </c>
      <c r="C183" s="556">
        <v>0</v>
      </c>
      <c r="D183" s="510"/>
      <c r="E183" s="85"/>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130"/>
      <c r="BC183" s="130"/>
      <c r="BD183" s="130"/>
      <c r="BE183" s="130"/>
      <c r="BF183" s="130"/>
      <c r="BG183" s="130"/>
      <c r="BH183" s="130"/>
      <c r="BI183" s="130"/>
      <c r="BJ183" s="130"/>
      <c r="BK183" s="130"/>
      <c r="BL183" s="130"/>
      <c r="BM183" s="130"/>
      <c r="BN183" s="130"/>
      <c r="BO183" s="130"/>
      <c r="BP183" s="130"/>
      <c r="BQ183" s="130"/>
      <c r="BR183" s="130"/>
      <c r="BS183" s="130"/>
      <c r="BT183" s="130"/>
    </row>
    <row r="184" spans="1:72" ht="15.75" customHeight="1">
      <c r="A184" s="524"/>
      <c r="B184" s="86" t="s">
        <v>1228</v>
      </c>
      <c r="C184" s="556">
        <v>0</v>
      </c>
      <c r="D184" s="510"/>
      <c r="E184" s="85"/>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130"/>
      <c r="BC184" s="130"/>
      <c r="BD184" s="130"/>
      <c r="BE184" s="130"/>
      <c r="BF184" s="130"/>
      <c r="BG184" s="130"/>
      <c r="BH184" s="130"/>
      <c r="BI184" s="130"/>
      <c r="BJ184" s="130"/>
      <c r="BK184" s="130"/>
      <c r="BL184" s="130"/>
      <c r="BM184" s="130"/>
      <c r="BN184" s="130"/>
      <c r="BO184" s="130"/>
      <c r="BP184" s="130"/>
      <c r="BQ184" s="130"/>
      <c r="BR184" s="130"/>
      <c r="BS184" s="130"/>
      <c r="BT184" s="130"/>
    </row>
    <row r="185" spans="1:72" ht="15.75" customHeight="1">
      <c r="A185" s="525"/>
      <c r="B185" s="77" t="s">
        <v>307</v>
      </c>
      <c r="C185" s="74"/>
      <c r="D185" s="75"/>
      <c r="E185" s="75"/>
      <c r="F185" s="75"/>
      <c r="G185" s="75"/>
      <c r="H185" s="75"/>
      <c r="I185" s="75"/>
      <c r="J185" s="75"/>
      <c r="K185" s="309"/>
      <c r="L185" s="309"/>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155"/>
      <c r="BB185" s="130"/>
      <c r="BC185" s="130"/>
      <c r="BD185" s="130"/>
      <c r="BE185" s="130"/>
      <c r="BF185" s="130"/>
      <c r="BG185" s="130"/>
      <c r="BH185" s="130"/>
      <c r="BI185" s="130"/>
      <c r="BJ185" s="130"/>
      <c r="BK185" s="130"/>
      <c r="BL185" s="130"/>
      <c r="BM185" s="130"/>
      <c r="BN185" s="130"/>
      <c r="BO185" s="130"/>
      <c r="BP185" s="130"/>
      <c r="BQ185" s="130"/>
      <c r="BR185" s="130"/>
      <c r="BS185" s="130"/>
      <c r="BT185" s="130"/>
    </row>
    <row r="186" spans="1:72" ht="15.75" customHeight="1">
      <c r="A186" s="560" t="s">
        <v>766</v>
      </c>
      <c r="B186" s="316" t="s">
        <v>1229</v>
      </c>
      <c r="C186" s="699"/>
      <c r="D186" s="510"/>
      <c r="E186" s="85"/>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130"/>
      <c r="BC186" s="130"/>
      <c r="BD186" s="130"/>
      <c r="BE186" s="130"/>
      <c r="BF186" s="130"/>
      <c r="BG186" s="130"/>
      <c r="BH186" s="130"/>
      <c r="BI186" s="130"/>
      <c r="BJ186" s="130"/>
      <c r="BK186" s="130"/>
      <c r="BL186" s="130"/>
      <c r="BM186" s="130"/>
      <c r="BN186" s="130"/>
      <c r="BO186" s="130"/>
      <c r="BP186" s="130"/>
      <c r="BQ186" s="130"/>
      <c r="BR186" s="130"/>
      <c r="BS186" s="130"/>
      <c r="BT186" s="130"/>
    </row>
    <row r="187" spans="1:72" ht="15.75" customHeight="1">
      <c r="A187" s="524"/>
      <c r="B187" s="93" t="s">
        <v>1230</v>
      </c>
      <c r="C187" s="556">
        <v>1</v>
      </c>
      <c r="D187" s="510"/>
      <c r="E187" s="85"/>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130"/>
      <c r="BC187" s="130"/>
      <c r="BD187" s="130"/>
      <c r="BE187" s="130"/>
      <c r="BF187" s="130"/>
      <c r="BG187" s="130"/>
      <c r="BH187" s="130"/>
      <c r="BI187" s="130"/>
      <c r="BJ187" s="130"/>
      <c r="BK187" s="130"/>
      <c r="BL187" s="130"/>
      <c r="BM187" s="130"/>
      <c r="BN187" s="130"/>
      <c r="BO187" s="130"/>
      <c r="BP187" s="130"/>
      <c r="BQ187" s="130"/>
      <c r="BR187" s="130"/>
      <c r="BS187" s="130"/>
      <c r="BT187" s="130"/>
    </row>
    <row r="188" spans="1:72" ht="15.75" customHeight="1">
      <c r="A188" s="524"/>
      <c r="B188" s="93" t="s">
        <v>1231</v>
      </c>
      <c r="C188" s="556">
        <v>1</v>
      </c>
      <c r="D188" s="510"/>
      <c r="E188" s="85"/>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130"/>
      <c r="BC188" s="130"/>
      <c r="BD188" s="130"/>
      <c r="BE188" s="130"/>
      <c r="BF188" s="130"/>
      <c r="BG188" s="130"/>
      <c r="BH188" s="130"/>
      <c r="BI188" s="130"/>
      <c r="BJ188" s="130"/>
      <c r="BK188" s="130"/>
      <c r="BL188" s="130"/>
      <c r="BM188" s="130"/>
      <c r="BN188" s="130"/>
      <c r="BO188" s="130"/>
      <c r="BP188" s="130"/>
      <c r="BQ188" s="130"/>
      <c r="BR188" s="130"/>
      <c r="BS188" s="130"/>
      <c r="BT188" s="130"/>
    </row>
    <row r="189" spans="1:72" ht="15.75" customHeight="1">
      <c r="A189" s="524"/>
      <c r="B189" s="93" t="s">
        <v>1232</v>
      </c>
      <c r="C189" s="556">
        <v>1</v>
      </c>
      <c r="D189" s="510"/>
      <c r="E189" s="85"/>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130"/>
      <c r="BC189" s="130"/>
      <c r="BD189" s="130"/>
      <c r="BE189" s="130"/>
      <c r="BF189" s="130"/>
      <c r="BG189" s="130"/>
      <c r="BH189" s="130"/>
      <c r="BI189" s="130"/>
      <c r="BJ189" s="130"/>
      <c r="BK189" s="130"/>
      <c r="BL189" s="130"/>
      <c r="BM189" s="130"/>
      <c r="BN189" s="130"/>
      <c r="BO189" s="130"/>
      <c r="BP189" s="130"/>
      <c r="BQ189" s="130"/>
      <c r="BR189" s="130"/>
      <c r="BS189" s="130"/>
      <c r="BT189" s="130"/>
    </row>
    <row r="190" spans="1:72" ht="15.75" customHeight="1">
      <c r="A190" s="524"/>
      <c r="B190" s="93" t="s">
        <v>1233</v>
      </c>
      <c r="C190" s="556">
        <v>0</v>
      </c>
      <c r="D190" s="510"/>
      <c r="E190" s="85"/>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130"/>
      <c r="BC190" s="130"/>
      <c r="BD190" s="130"/>
      <c r="BE190" s="130"/>
      <c r="BF190" s="130"/>
      <c r="BG190" s="130"/>
      <c r="BH190" s="130"/>
      <c r="BI190" s="130"/>
      <c r="BJ190" s="130"/>
      <c r="BK190" s="130"/>
      <c r="BL190" s="130"/>
      <c r="BM190" s="130"/>
      <c r="BN190" s="130"/>
      <c r="BO190" s="130"/>
      <c r="BP190" s="130"/>
      <c r="BQ190" s="130"/>
      <c r="BR190" s="130"/>
      <c r="BS190" s="130"/>
      <c r="BT190" s="130"/>
    </row>
    <row r="191" spans="1:72" ht="15.75" customHeight="1">
      <c r="A191" s="525"/>
      <c r="B191" s="77" t="s">
        <v>307</v>
      </c>
      <c r="C191" s="74"/>
      <c r="D191" s="75"/>
      <c r="E191" s="75"/>
      <c r="F191" s="75"/>
      <c r="G191" s="75"/>
      <c r="H191" s="75"/>
      <c r="I191" s="75"/>
      <c r="J191" s="75"/>
      <c r="K191" s="309"/>
      <c r="L191" s="309"/>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155"/>
      <c r="BB191" s="130"/>
      <c r="BC191" s="130"/>
      <c r="BD191" s="130"/>
      <c r="BE191" s="130"/>
      <c r="BF191" s="130"/>
      <c r="BG191" s="130"/>
      <c r="BH191" s="130"/>
      <c r="BI191" s="130"/>
      <c r="BJ191" s="130"/>
      <c r="BK191" s="130"/>
      <c r="BL191" s="130"/>
      <c r="BM191" s="130"/>
      <c r="BN191" s="130"/>
      <c r="BO191" s="130"/>
      <c r="BP191" s="130"/>
      <c r="BQ191" s="130"/>
      <c r="BR191" s="130"/>
      <c r="BS191" s="130"/>
      <c r="BT191" s="130"/>
    </row>
    <row r="192" spans="1:72" ht="15.75" customHeight="1">
      <c r="A192" s="560" t="s">
        <v>770</v>
      </c>
      <c r="B192" s="93" t="s">
        <v>1234</v>
      </c>
      <c r="C192" s="556">
        <v>1</v>
      </c>
      <c r="D192" s="510"/>
      <c r="E192" s="95"/>
      <c r="F192" s="327"/>
      <c r="G192" s="327"/>
      <c r="H192" s="327"/>
      <c r="I192" s="327"/>
      <c r="J192" s="327"/>
      <c r="K192" s="327"/>
      <c r="L192" s="327"/>
      <c r="M192" s="327"/>
      <c r="N192" s="327"/>
      <c r="O192" s="327"/>
      <c r="P192" s="327"/>
      <c r="Q192" s="327"/>
      <c r="R192" s="327"/>
      <c r="S192" s="327"/>
      <c r="T192" s="327"/>
      <c r="U192" s="327"/>
      <c r="V192" s="327"/>
      <c r="W192" s="327"/>
      <c r="X192" s="327"/>
      <c r="Y192" s="327"/>
      <c r="Z192" s="327"/>
      <c r="AA192" s="327"/>
      <c r="AB192" s="327"/>
      <c r="AC192" s="327"/>
      <c r="AD192" s="327"/>
      <c r="AE192" s="327"/>
      <c r="AF192" s="327"/>
      <c r="AG192" s="327"/>
      <c r="AH192" s="327"/>
      <c r="AI192" s="327"/>
      <c r="AJ192" s="327"/>
      <c r="AK192" s="327"/>
      <c r="AL192" s="327"/>
      <c r="AM192" s="327"/>
      <c r="AN192" s="327"/>
      <c r="AO192" s="327"/>
      <c r="AP192" s="327"/>
      <c r="AQ192" s="327"/>
      <c r="AR192" s="327"/>
      <c r="AS192" s="327"/>
      <c r="AT192" s="327"/>
      <c r="AU192" s="327"/>
      <c r="AV192" s="327"/>
      <c r="AW192" s="327"/>
      <c r="AX192" s="327"/>
      <c r="AY192" s="327"/>
      <c r="AZ192" s="327"/>
      <c r="BA192" s="328"/>
      <c r="BB192" s="130"/>
      <c r="BC192" s="130"/>
      <c r="BD192" s="130"/>
      <c r="BE192" s="130"/>
      <c r="BF192" s="130"/>
      <c r="BG192" s="130"/>
      <c r="BH192" s="130"/>
      <c r="BI192" s="130"/>
      <c r="BJ192" s="130"/>
      <c r="BK192" s="130"/>
      <c r="BL192" s="130"/>
      <c r="BM192" s="130"/>
      <c r="BN192" s="130"/>
      <c r="BO192" s="130"/>
      <c r="BP192" s="130"/>
      <c r="BQ192" s="130"/>
      <c r="BR192" s="130"/>
      <c r="BS192" s="130"/>
      <c r="BT192" s="130"/>
    </row>
    <row r="193" spans="1:72" ht="15.75" customHeight="1">
      <c r="A193" s="525"/>
      <c r="B193" s="77" t="s">
        <v>307</v>
      </c>
      <c r="C193" s="74" t="s">
        <v>1235</v>
      </c>
      <c r="D193" s="75"/>
      <c r="E193" s="75"/>
      <c r="F193" s="75"/>
      <c r="G193" s="75"/>
      <c r="H193" s="75"/>
      <c r="I193" s="75"/>
      <c r="J193" s="75"/>
      <c r="K193" s="309"/>
      <c r="L193" s="309"/>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155"/>
      <c r="BB193" s="130"/>
      <c r="BC193" s="130"/>
      <c r="BD193" s="130"/>
      <c r="BE193" s="130"/>
      <c r="BF193" s="130"/>
      <c r="BG193" s="130"/>
      <c r="BH193" s="130"/>
      <c r="BI193" s="130"/>
      <c r="BJ193" s="130"/>
      <c r="BK193" s="130"/>
      <c r="BL193" s="130"/>
      <c r="BM193" s="130"/>
      <c r="BN193" s="130"/>
      <c r="BO193" s="130"/>
      <c r="BP193" s="130"/>
      <c r="BQ193" s="130"/>
      <c r="BR193" s="130"/>
      <c r="BS193" s="130"/>
      <c r="BT193" s="130"/>
    </row>
    <row r="194" spans="1:72" ht="15" customHeight="1">
      <c r="A194" s="575">
        <v>9</v>
      </c>
      <c r="B194" s="696" t="s">
        <v>1236</v>
      </c>
      <c r="C194" s="576" t="s">
        <v>299</v>
      </c>
      <c r="D194" s="510"/>
      <c r="E194" s="85"/>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130"/>
      <c r="BC194" s="130"/>
      <c r="BD194" s="130"/>
      <c r="BE194" s="130"/>
      <c r="BF194" s="130"/>
      <c r="BG194" s="130"/>
      <c r="BH194" s="130"/>
      <c r="BI194" s="130"/>
      <c r="BJ194" s="130"/>
      <c r="BK194" s="130"/>
      <c r="BL194" s="130"/>
      <c r="BM194" s="130"/>
      <c r="BN194" s="130"/>
      <c r="BO194" s="130"/>
      <c r="BP194" s="130"/>
      <c r="BQ194" s="130"/>
      <c r="BR194" s="130"/>
      <c r="BS194" s="130"/>
      <c r="BT194" s="130"/>
    </row>
    <row r="195" spans="1:72" ht="15.75" customHeight="1">
      <c r="A195" s="525"/>
      <c r="B195" s="525"/>
      <c r="C195" s="329" t="s">
        <v>300</v>
      </c>
      <c r="D195" s="329" t="s">
        <v>301</v>
      </c>
      <c r="E195" s="87"/>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130"/>
      <c r="BC195" s="130"/>
      <c r="BD195" s="130"/>
      <c r="BE195" s="130"/>
      <c r="BF195" s="130"/>
      <c r="BG195" s="130"/>
      <c r="BH195" s="130"/>
      <c r="BI195" s="130"/>
      <c r="BJ195" s="130"/>
      <c r="BK195" s="130"/>
      <c r="BL195" s="130"/>
      <c r="BM195" s="130"/>
      <c r="BN195" s="130"/>
      <c r="BO195" s="130"/>
      <c r="BP195" s="130"/>
      <c r="BQ195" s="130"/>
      <c r="BR195" s="130"/>
      <c r="BS195" s="130"/>
      <c r="BT195" s="130"/>
    </row>
    <row r="196" spans="1:72" ht="15.75" customHeight="1">
      <c r="A196" s="560" t="s">
        <v>811</v>
      </c>
      <c r="B196" s="316" t="s">
        <v>1237</v>
      </c>
      <c r="C196" s="699"/>
      <c r="D196" s="510"/>
      <c r="E196" s="87"/>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130"/>
      <c r="BC196" s="130"/>
      <c r="BD196" s="130"/>
      <c r="BE196" s="130"/>
      <c r="BF196" s="130"/>
      <c r="BG196" s="130"/>
      <c r="BH196" s="130"/>
      <c r="BI196" s="130"/>
      <c r="BJ196" s="130"/>
      <c r="BK196" s="130"/>
      <c r="BL196" s="130"/>
      <c r="BM196" s="130"/>
      <c r="BN196" s="130"/>
      <c r="BO196" s="130"/>
      <c r="BP196" s="130"/>
      <c r="BQ196" s="130"/>
      <c r="BR196" s="130"/>
      <c r="BS196" s="130"/>
      <c r="BT196" s="130"/>
    </row>
    <row r="197" spans="1:72" ht="15.75" customHeight="1">
      <c r="A197" s="524"/>
      <c r="B197" s="86" t="s">
        <v>1224</v>
      </c>
      <c r="C197" s="556">
        <v>0</v>
      </c>
      <c r="D197" s="510"/>
      <c r="E197" s="85"/>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130"/>
      <c r="BC197" s="130"/>
      <c r="BD197" s="130"/>
      <c r="BE197" s="130"/>
      <c r="BF197" s="130"/>
      <c r="BG197" s="130"/>
      <c r="BH197" s="130"/>
      <c r="BI197" s="130"/>
      <c r="BJ197" s="130"/>
      <c r="BK197" s="130"/>
      <c r="BL197" s="130"/>
      <c r="BM197" s="130"/>
      <c r="BN197" s="130"/>
      <c r="BO197" s="130"/>
      <c r="BP197" s="130"/>
      <c r="BQ197" s="130"/>
      <c r="BR197" s="130"/>
      <c r="BS197" s="130"/>
      <c r="BT197" s="130"/>
    </row>
    <row r="198" spans="1:72" ht="15.75" customHeight="1">
      <c r="A198" s="524"/>
      <c r="B198" s="86" t="s">
        <v>1238</v>
      </c>
      <c r="C198" s="556">
        <v>1</v>
      </c>
      <c r="D198" s="510"/>
      <c r="E198" s="85"/>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130"/>
      <c r="BC198" s="130"/>
      <c r="BD198" s="130"/>
      <c r="BE198" s="130"/>
      <c r="BF198" s="130"/>
      <c r="BG198" s="130"/>
      <c r="BH198" s="130"/>
      <c r="BI198" s="130"/>
      <c r="BJ198" s="130"/>
      <c r="BK198" s="130"/>
      <c r="BL198" s="130"/>
      <c r="BM198" s="130"/>
      <c r="BN198" s="130"/>
      <c r="BO198" s="130"/>
      <c r="BP198" s="130"/>
      <c r="BQ198" s="130"/>
      <c r="BR198" s="130"/>
      <c r="BS198" s="130"/>
      <c r="BT198" s="130"/>
    </row>
    <row r="199" spans="1:72" ht="15.75" customHeight="1">
      <c r="A199" s="524"/>
      <c r="B199" s="86" t="s">
        <v>1225</v>
      </c>
      <c r="C199" s="556">
        <v>1</v>
      </c>
      <c r="D199" s="510"/>
      <c r="E199" s="85"/>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130"/>
      <c r="BC199" s="130"/>
      <c r="BD199" s="130"/>
      <c r="BE199" s="130"/>
      <c r="BF199" s="130"/>
      <c r="BG199" s="130"/>
      <c r="BH199" s="130"/>
      <c r="BI199" s="130"/>
      <c r="BJ199" s="130"/>
      <c r="BK199" s="130"/>
      <c r="BL199" s="130"/>
      <c r="BM199" s="130"/>
      <c r="BN199" s="130"/>
      <c r="BO199" s="130"/>
      <c r="BP199" s="130"/>
      <c r="BQ199" s="130"/>
      <c r="BR199" s="130"/>
      <c r="BS199" s="130"/>
      <c r="BT199" s="130"/>
    </row>
    <row r="200" spans="1:72" ht="15.75" customHeight="1">
      <c r="A200" s="525"/>
      <c r="B200" s="77" t="s">
        <v>307</v>
      </c>
      <c r="C200" s="74"/>
      <c r="D200" s="75"/>
      <c r="E200" s="75"/>
      <c r="F200" s="75"/>
      <c r="G200" s="75"/>
      <c r="H200" s="75"/>
      <c r="I200" s="75"/>
      <c r="J200" s="75"/>
      <c r="K200" s="309"/>
      <c r="L200" s="309"/>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155"/>
      <c r="BB200" s="130"/>
      <c r="BC200" s="130"/>
      <c r="BD200" s="130"/>
      <c r="BE200" s="130"/>
      <c r="BF200" s="130"/>
      <c r="BG200" s="130"/>
      <c r="BH200" s="130"/>
      <c r="BI200" s="130"/>
      <c r="BJ200" s="130"/>
      <c r="BK200" s="130"/>
      <c r="BL200" s="130"/>
      <c r="BM200" s="130"/>
      <c r="BN200" s="130"/>
      <c r="BO200" s="130"/>
      <c r="BP200" s="130"/>
      <c r="BQ200" s="130"/>
      <c r="BR200" s="130"/>
      <c r="BS200" s="130"/>
      <c r="BT200" s="130"/>
    </row>
    <row r="201" spans="1:72" ht="15.75" customHeight="1">
      <c r="A201" s="560" t="s">
        <v>814</v>
      </c>
      <c r="B201" s="86" t="s">
        <v>1239</v>
      </c>
      <c r="C201" s="556">
        <v>1</v>
      </c>
      <c r="D201" s="510"/>
      <c r="E201" s="85"/>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83"/>
      <c r="AZ201" s="83"/>
      <c r="BA201" s="83"/>
      <c r="BB201" s="130"/>
      <c r="BC201" s="130"/>
      <c r="BD201" s="130"/>
      <c r="BE201" s="130"/>
      <c r="BF201" s="130"/>
      <c r="BG201" s="130"/>
      <c r="BH201" s="130"/>
      <c r="BI201" s="130"/>
      <c r="BJ201" s="130"/>
      <c r="BK201" s="130"/>
      <c r="BL201" s="130"/>
      <c r="BM201" s="130"/>
      <c r="BN201" s="130"/>
      <c r="BO201" s="130"/>
      <c r="BP201" s="130"/>
      <c r="BQ201" s="130"/>
      <c r="BR201" s="130"/>
      <c r="BS201" s="130"/>
      <c r="BT201" s="130"/>
    </row>
    <row r="202" spans="1:72" ht="15.75" customHeight="1">
      <c r="A202" s="525"/>
      <c r="B202" s="77" t="s">
        <v>307</v>
      </c>
      <c r="C202" s="74"/>
      <c r="D202" s="75"/>
      <c r="E202" s="75"/>
      <c r="F202" s="75"/>
      <c r="G202" s="75"/>
      <c r="H202" s="75"/>
      <c r="I202" s="75"/>
      <c r="J202" s="75"/>
      <c r="K202" s="309"/>
      <c r="L202" s="309"/>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155"/>
      <c r="BB202" s="130"/>
      <c r="BC202" s="130"/>
      <c r="BD202" s="130"/>
      <c r="BE202" s="130"/>
      <c r="BF202" s="130"/>
      <c r="BG202" s="130"/>
      <c r="BH202" s="130"/>
      <c r="BI202" s="130"/>
      <c r="BJ202" s="130"/>
      <c r="BK202" s="130"/>
      <c r="BL202" s="130"/>
      <c r="BM202" s="130"/>
      <c r="BN202" s="130"/>
      <c r="BO202" s="130"/>
      <c r="BP202" s="130"/>
      <c r="BQ202" s="130"/>
      <c r="BR202" s="130"/>
      <c r="BS202" s="130"/>
      <c r="BT202" s="130"/>
    </row>
    <row r="203" spans="1:72" ht="15.75" customHeight="1">
      <c r="A203" s="560" t="s">
        <v>817</v>
      </c>
      <c r="B203" s="318" t="s">
        <v>1240</v>
      </c>
      <c r="C203" s="699"/>
      <c r="D203" s="510"/>
      <c r="E203" s="85"/>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83"/>
      <c r="AZ203" s="83"/>
      <c r="BA203" s="83"/>
      <c r="BB203" s="130"/>
      <c r="BC203" s="130"/>
      <c r="BD203" s="130"/>
      <c r="BE203" s="130"/>
      <c r="BF203" s="130"/>
      <c r="BG203" s="130"/>
      <c r="BH203" s="130"/>
      <c r="BI203" s="130"/>
      <c r="BJ203" s="130"/>
      <c r="BK203" s="130"/>
      <c r="BL203" s="130"/>
      <c r="BM203" s="130"/>
      <c r="BN203" s="130"/>
      <c r="BO203" s="130"/>
      <c r="BP203" s="130"/>
      <c r="BQ203" s="130"/>
      <c r="BR203" s="130"/>
      <c r="BS203" s="130"/>
      <c r="BT203" s="130"/>
    </row>
    <row r="204" spans="1:72" ht="15.75" customHeight="1">
      <c r="A204" s="524"/>
      <c r="B204" s="86" t="s">
        <v>1224</v>
      </c>
      <c r="C204" s="556">
        <v>0</v>
      </c>
      <c r="D204" s="510"/>
      <c r="E204" s="85"/>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83"/>
      <c r="AZ204" s="83"/>
      <c r="BA204" s="83"/>
      <c r="BB204" s="130"/>
      <c r="BC204" s="130"/>
      <c r="BD204" s="130"/>
      <c r="BE204" s="130"/>
      <c r="BF204" s="130"/>
      <c r="BG204" s="130"/>
      <c r="BH204" s="130"/>
      <c r="BI204" s="130"/>
      <c r="BJ204" s="130"/>
      <c r="BK204" s="130"/>
      <c r="BL204" s="130"/>
      <c r="BM204" s="130"/>
      <c r="BN204" s="130"/>
      <c r="BO204" s="130"/>
      <c r="BP204" s="130"/>
      <c r="BQ204" s="130"/>
      <c r="BR204" s="130"/>
      <c r="BS204" s="130"/>
      <c r="BT204" s="130"/>
    </row>
    <row r="205" spans="1:72" ht="15.75" customHeight="1">
      <c r="A205" s="524"/>
      <c r="B205" s="86" t="s">
        <v>1238</v>
      </c>
      <c r="C205" s="556">
        <v>1</v>
      </c>
      <c r="D205" s="510"/>
      <c r="E205" s="85"/>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83"/>
      <c r="AZ205" s="83"/>
      <c r="BA205" s="83"/>
      <c r="BB205" s="130"/>
      <c r="BC205" s="130"/>
      <c r="BD205" s="130"/>
      <c r="BE205" s="130"/>
      <c r="BF205" s="130"/>
      <c r="BG205" s="130"/>
      <c r="BH205" s="130"/>
      <c r="BI205" s="130"/>
      <c r="BJ205" s="130"/>
      <c r="BK205" s="130"/>
      <c r="BL205" s="130"/>
      <c r="BM205" s="130"/>
      <c r="BN205" s="130"/>
      <c r="BO205" s="130"/>
      <c r="BP205" s="130"/>
      <c r="BQ205" s="130"/>
      <c r="BR205" s="130"/>
      <c r="BS205" s="130"/>
      <c r="BT205" s="130"/>
    </row>
    <row r="206" spans="1:72" ht="15.75" customHeight="1">
      <c r="A206" s="524"/>
      <c r="B206" s="86" t="s">
        <v>1225</v>
      </c>
      <c r="C206" s="556">
        <v>1</v>
      </c>
      <c r="D206" s="510"/>
      <c r="E206" s="85"/>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83"/>
      <c r="AZ206" s="83"/>
      <c r="BA206" s="83"/>
      <c r="BB206" s="130"/>
      <c r="BC206" s="130"/>
      <c r="BD206" s="130"/>
      <c r="BE206" s="130"/>
      <c r="BF206" s="130"/>
      <c r="BG206" s="130"/>
      <c r="BH206" s="130"/>
      <c r="BI206" s="130"/>
      <c r="BJ206" s="130"/>
      <c r="BK206" s="130"/>
      <c r="BL206" s="130"/>
      <c r="BM206" s="130"/>
      <c r="BN206" s="130"/>
      <c r="BO206" s="130"/>
      <c r="BP206" s="130"/>
      <c r="BQ206" s="130"/>
      <c r="BR206" s="130"/>
      <c r="BS206" s="130"/>
      <c r="BT206" s="130"/>
    </row>
    <row r="207" spans="1:72" ht="15.75" customHeight="1">
      <c r="A207" s="525"/>
      <c r="B207" s="77" t="s">
        <v>307</v>
      </c>
      <c r="C207" s="74"/>
      <c r="D207" s="75"/>
      <c r="E207" s="75"/>
      <c r="F207" s="75"/>
      <c r="G207" s="75"/>
      <c r="H207" s="75"/>
      <c r="I207" s="75"/>
      <c r="J207" s="75"/>
      <c r="K207" s="309"/>
      <c r="L207" s="309"/>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155"/>
      <c r="BB207" s="130"/>
      <c r="BC207" s="130"/>
      <c r="BD207" s="130"/>
      <c r="BE207" s="130"/>
      <c r="BF207" s="130"/>
      <c r="BG207" s="130"/>
      <c r="BH207" s="130"/>
      <c r="BI207" s="130"/>
      <c r="BJ207" s="130"/>
      <c r="BK207" s="130"/>
      <c r="BL207" s="130"/>
      <c r="BM207" s="130"/>
      <c r="BN207" s="130"/>
      <c r="BO207" s="130"/>
      <c r="BP207" s="130"/>
      <c r="BQ207" s="130"/>
      <c r="BR207" s="130"/>
      <c r="BS207" s="130"/>
      <c r="BT207" s="130"/>
    </row>
    <row r="208" spans="1:72" ht="15.75" customHeight="1">
      <c r="A208" s="560" t="s">
        <v>819</v>
      </c>
      <c r="B208" s="318" t="s">
        <v>1241</v>
      </c>
      <c r="C208" s="699"/>
      <c r="D208" s="510"/>
      <c r="E208" s="87"/>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130"/>
      <c r="BC208" s="130"/>
      <c r="BD208" s="130"/>
      <c r="BE208" s="130"/>
      <c r="BF208" s="130"/>
      <c r="BG208" s="130"/>
      <c r="BH208" s="130"/>
      <c r="BI208" s="130"/>
      <c r="BJ208" s="130"/>
      <c r="BK208" s="130"/>
      <c r="BL208" s="130"/>
      <c r="BM208" s="130"/>
      <c r="BN208" s="130"/>
      <c r="BO208" s="130"/>
      <c r="BP208" s="130"/>
      <c r="BQ208" s="130"/>
      <c r="BR208" s="130"/>
      <c r="BS208" s="130"/>
      <c r="BT208" s="130"/>
    </row>
    <row r="209" spans="1:72" ht="15.75" customHeight="1">
      <c r="A209" s="524"/>
      <c r="B209" s="86" t="s">
        <v>1224</v>
      </c>
      <c r="C209" s="556">
        <v>0</v>
      </c>
      <c r="D209" s="510"/>
      <c r="E209" s="85"/>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130"/>
      <c r="BC209" s="130"/>
      <c r="BD209" s="130"/>
      <c r="BE209" s="130"/>
      <c r="BF209" s="130"/>
      <c r="BG209" s="130"/>
      <c r="BH209" s="130"/>
      <c r="BI209" s="130"/>
      <c r="BJ209" s="130"/>
      <c r="BK209" s="130"/>
      <c r="BL209" s="130"/>
      <c r="BM209" s="130"/>
      <c r="BN209" s="130"/>
      <c r="BO209" s="130"/>
      <c r="BP209" s="130"/>
      <c r="BQ209" s="130"/>
      <c r="BR209" s="130"/>
      <c r="BS209" s="130"/>
      <c r="BT209" s="130"/>
    </row>
    <row r="210" spans="1:72" ht="15.75" customHeight="1">
      <c r="A210" s="524"/>
      <c r="B210" s="86" t="s">
        <v>1238</v>
      </c>
      <c r="C210" s="556">
        <v>1</v>
      </c>
      <c r="D210" s="510"/>
      <c r="E210" s="85"/>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130"/>
      <c r="BC210" s="130"/>
      <c r="BD210" s="130"/>
      <c r="BE210" s="130"/>
      <c r="BF210" s="130"/>
      <c r="BG210" s="130"/>
      <c r="BH210" s="130"/>
      <c r="BI210" s="130"/>
      <c r="BJ210" s="130"/>
      <c r="BK210" s="130"/>
      <c r="BL210" s="130"/>
      <c r="BM210" s="130"/>
      <c r="BN210" s="130"/>
      <c r="BO210" s="130"/>
      <c r="BP210" s="130"/>
      <c r="BQ210" s="130"/>
      <c r="BR210" s="130"/>
      <c r="BS210" s="130"/>
      <c r="BT210" s="130"/>
    </row>
    <row r="211" spans="1:72" ht="15.75" customHeight="1">
      <c r="A211" s="524"/>
      <c r="B211" s="86" t="s">
        <v>1225</v>
      </c>
      <c r="C211" s="556">
        <v>1</v>
      </c>
      <c r="D211" s="510"/>
      <c r="E211" s="85"/>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130"/>
      <c r="BC211" s="130"/>
      <c r="BD211" s="130"/>
      <c r="BE211" s="130"/>
      <c r="BF211" s="130"/>
      <c r="BG211" s="130"/>
      <c r="BH211" s="130"/>
      <c r="BI211" s="130"/>
      <c r="BJ211" s="130"/>
      <c r="BK211" s="130"/>
      <c r="BL211" s="130"/>
      <c r="BM211" s="130"/>
      <c r="BN211" s="130"/>
      <c r="BO211" s="130"/>
      <c r="BP211" s="130"/>
      <c r="BQ211" s="130"/>
      <c r="BR211" s="130"/>
      <c r="BS211" s="130"/>
      <c r="BT211" s="130"/>
    </row>
    <row r="212" spans="1:72" ht="15.75" customHeight="1">
      <c r="A212" s="525"/>
      <c r="B212" s="77" t="s">
        <v>307</v>
      </c>
      <c r="C212" s="74"/>
      <c r="D212" s="75"/>
      <c r="E212" s="75"/>
      <c r="F212" s="75"/>
      <c r="G212" s="75"/>
      <c r="H212" s="75"/>
      <c r="I212" s="75"/>
      <c r="J212" s="75"/>
      <c r="K212" s="309"/>
      <c r="L212" s="309"/>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155"/>
      <c r="BB212" s="130"/>
      <c r="BC212" s="130"/>
      <c r="BD212" s="130"/>
      <c r="BE212" s="130"/>
      <c r="BF212" s="130"/>
      <c r="BG212" s="130"/>
      <c r="BH212" s="130"/>
      <c r="BI212" s="130"/>
      <c r="BJ212" s="130"/>
      <c r="BK212" s="130"/>
      <c r="BL212" s="130"/>
      <c r="BM212" s="130"/>
      <c r="BN212" s="130"/>
      <c r="BO212" s="130"/>
      <c r="BP212" s="130"/>
      <c r="BQ212" s="130"/>
      <c r="BR212" s="130"/>
      <c r="BS212" s="130"/>
      <c r="BT212" s="130"/>
    </row>
    <row r="213" spans="1:72" ht="15.75" customHeight="1">
      <c r="A213" s="560" t="s">
        <v>821</v>
      </c>
      <c r="B213" s="86" t="s">
        <v>1242</v>
      </c>
      <c r="C213" s="556">
        <v>0</v>
      </c>
      <c r="D213" s="510"/>
      <c r="E213" s="79"/>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75"/>
      <c r="BB213" s="130"/>
      <c r="BC213" s="130"/>
      <c r="BD213" s="130"/>
      <c r="BE213" s="130"/>
      <c r="BF213" s="130"/>
      <c r="BG213" s="130"/>
      <c r="BH213" s="130"/>
      <c r="BI213" s="130"/>
      <c r="BJ213" s="130"/>
      <c r="BK213" s="130"/>
      <c r="BL213" s="130"/>
      <c r="BM213" s="130"/>
      <c r="BN213" s="130"/>
      <c r="BO213" s="130"/>
      <c r="BP213" s="130"/>
      <c r="BQ213" s="130"/>
      <c r="BR213" s="130"/>
      <c r="BS213" s="130"/>
      <c r="BT213" s="130"/>
    </row>
    <row r="214" spans="1:72" ht="15.75" customHeight="1">
      <c r="A214" s="525"/>
      <c r="B214" s="77" t="s">
        <v>307</v>
      </c>
      <c r="C214" s="74" t="s">
        <v>1243</v>
      </c>
      <c r="D214" s="75"/>
      <c r="E214" s="75"/>
      <c r="F214" s="75"/>
      <c r="G214" s="75"/>
      <c r="H214" s="75"/>
      <c r="I214" s="75"/>
      <c r="J214" s="75"/>
      <c r="K214" s="309"/>
      <c r="L214" s="309"/>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155"/>
      <c r="BB214" s="130"/>
      <c r="BC214" s="130"/>
      <c r="BD214" s="130"/>
      <c r="BE214" s="130"/>
      <c r="BF214" s="130"/>
      <c r="BG214" s="130"/>
      <c r="BH214" s="130"/>
      <c r="BI214" s="130"/>
      <c r="BJ214" s="130"/>
      <c r="BK214" s="130"/>
      <c r="BL214" s="130"/>
      <c r="BM214" s="130"/>
      <c r="BN214" s="130"/>
      <c r="BO214" s="130"/>
      <c r="BP214" s="130"/>
      <c r="BQ214" s="130"/>
      <c r="BR214" s="130"/>
      <c r="BS214" s="130"/>
      <c r="BT214" s="130"/>
    </row>
    <row r="215" spans="1:72" ht="15" customHeight="1">
      <c r="A215" s="575">
        <v>10</v>
      </c>
      <c r="B215" s="696" t="s">
        <v>1244</v>
      </c>
      <c r="C215" s="576" t="s">
        <v>299</v>
      </c>
      <c r="D215" s="510"/>
      <c r="E215" s="85"/>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130"/>
      <c r="BC215" s="130"/>
      <c r="BD215" s="130"/>
      <c r="BE215" s="130"/>
      <c r="BF215" s="130"/>
      <c r="BG215" s="130"/>
      <c r="BH215" s="130"/>
      <c r="BI215" s="130"/>
      <c r="BJ215" s="130"/>
      <c r="BK215" s="130"/>
      <c r="BL215" s="130"/>
      <c r="BM215" s="130"/>
      <c r="BN215" s="130"/>
      <c r="BO215" s="130"/>
      <c r="BP215" s="130"/>
      <c r="BQ215" s="130"/>
      <c r="BR215" s="130"/>
      <c r="BS215" s="130"/>
      <c r="BT215" s="130"/>
    </row>
    <row r="216" spans="1:72" ht="25.5" customHeight="1">
      <c r="A216" s="525"/>
      <c r="B216" s="525"/>
      <c r="C216" s="329" t="s">
        <v>300</v>
      </c>
      <c r="D216" s="329" t="s">
        <v>301</v>
      </c>
      <c r="E216" s="85"/>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130"/>
      <c r="BC216" s="130"/>
      <c r="BD216" s="130"/>
      <c r="BE216" s="130"/>
      <c r="BF216" s="130"/>
      <c r="BG216" s="130"/>
      <c r="BH216" s="130"/>
      <c r="BI216" s="130"/>
      <c r="BJ216" s="130"/>
      <c r="BK216" s="130"/>
      <c r="BL216" s="130"/>
      <c r="BM216" s="130"/>
      <c r="BN216" s="130"/>
      <c r="BO216" s="130"/>
      <c r="BP216" s="130"/>
      <c r="BQ216" s="130"/>
      <c r="BR216" s="130"/>
      <c r="BS216" s="130"/>
      <c r="BT216" s="130"/>
    </row>
    <row r="217" spans="1:72" ht="15.75" customHeight="1">
      <c r="A217" s="560" t="s">
        <v>827</v>
      </c>
      <c r="B217" s="93" t="s">
        <v>1245</v>
      </c>
      <c r="C217" s="556">
        <v>0</v>
      </c>
      <c r="D217" s="510"/>
      <c r="E217" s="87"/>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130"/>
      <c r="BC217" s="130"/>
      <c r="BD217" s="130"/>
      <c r="BE217" s="130"/>
      <c r="BF217" s="130"/>
      <c r="BG217" s="130"/>
      <c r="BH217" s="130"/>
      <c r="BI217" s="130"/>
      <c r="BJ217" s="130"/>
      <c r="BK217" s="130"/>
      <c r="BL217" s="130"/>
      <c r="BM217" s="130"/>
      <c r="BN217" s="130"/>
      <c r="BO217" s="130"/>
      <c r="BP217" s="130"/>
      <c r="BQ217" s="130"/>
      <c r="BR217" s="130"/>
      <c r="BS217" s="130"/>
      <c r="BT217" s="130"/>
    </row>
    <row r="218" spans="1:72" ht="15.75" customHeight="1">
      <c r="A218" s="525"/>
      <c r="B218" s="77" t="s">
        <v>307</v>
      </c>
      <c r="C218" s="74"/>
      <c r="D218" s="75"/>
      <c r="E218" s="75"/>
      <c r="F218" s="75"/>
      <c r="G218" s="75"/>
      <c r="H218" s="75"/>
      <c r="I218" s="75"/>
      <c r="J218" s="75"/>
      <c r="K218" s="309"/>
      <c r="L218" s="309"/>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155"/>
      <c r="BB218" s="130"/>
      <c r="BC218" s="130"/>
      <c r="BD218" s="130"/>
      <c r="BE218" s="130"/>
      <c r="BF218" s="130"/>
      <c r="BG218" s="130"/>
      <c r="BH218" s="130"/>
      <c r="BI218" s="130"/>
      <c r="BJ218" s="130"/>
      <c r="BK218" s="130"/>
      <c r="BL218" s="130"/>
      <c r="BM218" s="130"/>
      <c r="BN218" s="130"/>
      <c r="BO218" s="130"/>
      <c r="BP218" s="130"/>
      <c r="BQ218" s="130"/>
      <c r="BR218" s="130"/>
      <c r="BS218" s="130"/>
      <c r="BT218" s="130"/>
    </row>
    <row r="219" spans="1:72" ht="15.75" customHeight="1">
      <c r="A219" s="560" t="s">
        <v>832</v>
      </c>
      <c r="B219" s="93" t="s">
        <v>1246</v>
      </c>
      <c r="C219" s="556">
        <v>1</v>
      </c>
      <c r="D219" s="510"/>
      <c r="E219" s="330"/>
      <c r="F219" s="331"/>
      <c r="G219" s="331"/>
      <c r="H219" s="331"/>
      <c r="I219" s="331"/>
      <c r="J219" s="331"/>
      <c r="K219" s="331"/>
      <c r="L219" s="331"/>
      <c r="M219" s="331"/>
      <c r="N219" s="331"/>
      <c r="O219" s="331"/>
      <c r="P219" s="331"/>
      <c r="Q219" s="331"/>
      <c r="R219" s="331"/>
      <c r="S219" s="331"/>
      <c r="T219" s="331"/>
      <c r="U219" s="331"/>
      <c r="V219" s="331"/>
      <c r="W219" s="331"/>
      <c r="X219" s="331"/>
      <c r="Y219" s="331"/>
      <c r="Z219" s="331"/>
      <c r="AA219" s="331"/>
      <c r="AB219" s="331"/>
      <c r="AC219" s="331"/>
      <c r="AD219" s="331"/>
      <c r="AE219" s="331"/>
      <c r="AF219" s="331"/>
      <c r="AG219" s="331"/>
      <c r="AH219" s="331"/>
      <c r="AI219" s="331"/>
      <c r="AJ219" s="331"/>
      <c r="AK219" s="331"/>
      <c r="AL219" s="331"/>
      <c r="AM219" s="331"/>
      <c r="AN219" s="331"/>
      <c r="AO219" s="331"/>
      <c r="AP219" s="331"/>
      <c r="AQ219" s="331"/>
      <c r="AR219" s="331"/>
      <c r="AS219" s="331"/>
      <c r="AT219" s="331"/>
      <c r="AU219" s="331"/>
      <c r="AV219" s="331"/>
      <c r="AW219" s="331"/>
      <c r="AX219" s="331"/>
      <c r="AY219" s="331"/>
      <c r="AZ219" s="331"/>
      <c r="BA219" s="331"/>
      <c r="BB219" s="130"/>
      <c r="BC219" s="130"/>
      <c r="BD219" s="130"/>
      <c r="BE219" s="130"/>
      <c r="BF219" s="130"/>
      <c r="BG219" s="130"/>
      <c r="BH219" s="130"/>
      <c r="BI219" s="130"/>
      <c r="BJ219" s="130"/>
      <c r="BK219" s="130"/>
      <c r="BL219" s="130"/>
      <c r="BM219" s="130"/>
      <c r="BN219" s="130"/>
      <c r="BO219" s="130"/>
      <c r="BP219" s="130"/>
      <c r="BQ219" s="130"/>
      <c r="BR219" s="130"/>
      <c r="BS219" s="130"/>
      <c r="BT219" s="130"/>
    </row>
    <row r="220" spans="1:72" ht="15.75" customHeight="1">
      <c r="A220" s="525"/>
      <c r="B220" s="77" t="s">
        <v>307</v>
      </c>
      <c r="C220" s="74" t="s">
        <v>1247</v>
      </c>
      <c r="D220" s="75"/>
      <c r="E220" s="75"/>
      <c r="F220" s="75"/>
      <c r="G220" s="75"/>
      <c r="H220" s="75"/>
      <c r="I220" s="75"/>
      <c r="J220" s="75"/>
      <c r="K220" s="309"/>
      <c r="L220" s="309"/>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155"/>
      <c r="BB220" s="130"/>
      <c r="BC220" s="130"/>
      <c r="BD220" s="130"/>
      <c r="BE220" s="130"/>
      <c r="BF220" s="130"/>
      <c r="BG220" s="130"/>
      <c r="BH220" s="130"/>
      <c r="BI220" s="130"/>
      <c r="BJ220" s="130"/>
      <c r="BK220" s="130"/>
      <c r="BL220" s="130"/>
      <c r="BM220" s="130"/>
      <c r="BN220" s="130"/>
      <c r="BO220" s="130"/>
      <c r="BP220" s="130"/>
      <c r="BQ220" s="130"/>
      <c r="BR220" s="130"/>
      <c r="BS220" s="130"/>
      <c r="BT220" s="130"/>
    </row>
    <row r="221" spans="1:72" ht="15" customHeight="1">
      <c r="A221" s="575">
        <v>11</v>
      </c>
      <c r="B221" s="696" t="s">
        <v>1248</v>
      </c>
      <c r="C221" s="613">
        <v>1</v>
      </c>
      <c r="D221" s="510"/>
      <c r="E221" s="613">
        <v>2</v>
      </c>
      <c r="F221" s="510"/>
      <c r="G221" s="613">
        <v>3</v>
      </c>
      <c r="H221" s="510"/>
      <c r="I221" s="613">
        <v>4</v>
      </c>
      <c r="J221" s="510"/>
      <c r="K221" s="613">
        <v>5</v>
      </c>
      <c r="L221" s="510"/>
      <c r="M221" s="613">
        <v>6</v>
      </c>
      <c r="N221" s="510"/>
      <c r="O221" s="613">
        <v>7</v>
      </c>
      <c r="P221" s="510"/>
      <c r="Q221" s="613">
        <v>8</v>
      </c>
      <c r="R221" s="510"/>
      <c r="S221" s="613">
        <v>9</v>
      </c>
      <c r="T221" s="510"/>
      <c r="U221" s="613">
        <v>10</v>
      </c>
      <c r="V221" s="510"/>
      <c r="W221" s="613">
        <v>11</v>
      </c>
      <c r="X221" s="510"/>
      <c r="Y221" s="613">
        <v>12</v>
      </c>
      <c r="Z221" s="510"/>
      <c r="AA221" s="613">
        <v>13</v>
      </c>
      <c r="AB221" s="510"/>
      <c r="AC221" s="613">
        <v>14</v>
      </c>
      <c r="AD221" s="510"/>
      <c r="AE221" s="613">
        <v>15</v>
      </c>
      <c r="AF221" s="510"/>
      <c r="AG221" s="613">
        <v>16</v>
      </c>
      <c r="AH221" s="510"/>
      <c r="AI221" s="613">
        <v>17</v>
      </c>
      <c r="AJ221" s="510"/>
      <c r="AK221" s="613">
        <v>18</v>
      </c>
      <c r="AL221" s="510"/>
      <c r="AM221" s="613">
        <v>19</v>
      </c>
      <c r="AN221" s="510"/>
      <c r="AO221" s="613">
        <v>20</v>
      </c>
      <c r="AP221" s="510"/>
      <c r="AQ221" s="613">
        <v>21</v>
      </c>
      <c r="AR221" s="510"/>
      <c r="AS221" s="613">
        <v>22</v>
      </c>
      <c r="AT221" s="510"/>
      <c r="AU221" s="613">
        <v>23</v>
      </c>
      <c r="AV221" s="510"/>
      <c r="AW221" s="613">
        <v>24</v>
      </c>
      <c r="AX221" s="510"/>
      <c r="AY221" s="613">
        <v>25</v>
      </c>
      <c r="AZ221" s="51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row>
    <row r="222" spans="1:72" ht="15" customHeight="1">
      <c r="A222" s="525"/>
      <c r="B222" s="525"/>
      <c r="C222" s="154" t="s">
        <v>300</v>
      </c>
      <c r="D222" s="154" t="s">
        <v>301</v>
      </c>
      <c r="E222" s="154" t="s">
        <v>300</v>
      </c>
      <c r="F222" s="154" t="s">
        <v>301</v>
      </c>
      <c r="G222" s="154" t="s">
        <v>300</v>
      </c>
      <c r="H222" s="154" t="s">
        <v>301</v>
      </c>
      <c r="I222" s="154" t="s">
        <v>300</v>
      </c>
      <c r="J222" s="154" t="s">
        <v>301</v>
      </c>
      <c r="K222" s="154" t="s">
        <v>300</v>
      </c>
      <c r="L222" s="154" t="s">
        <v>301</v>
      </c>
      <c r="M222" s="154" t="s">
        <v>300</v>
      </c>
      <c r="N222" s="154" t="s">
        <v>301</v>
      </c>
      <c r="O222" s="154" t="s">
        <v>300</v>
      </c>
      <c r="P222" s="154" t="s">
        <v>301</v>
      </c>
      <c r="Q222" s="154" t="s">
        <v>300</v>
      </c>
      <c r="R222" s="154" t="s">
        <v>301</v>
      </c>
      <c r="S222" s="154" t="s">
        <v>300</v>
      </c>
      <c r="T222" s="154" t="s">
        <v>301</v>
      </c>
      <c r="U222" s="154" t="s">
        <v>300</v>
      </c>
      <c r="V222" s="154" t="s">
        <v>301</v>
      </c>
      <c r="W222" s="154" t="s">
        <v>300</v>
      </c>
      <c r="X222" s="154" t="s">
        <v>301</v>
      </c>
      <c r="Y222" s="154" t="s">
        <v>300</v>
      </c>
      <c r="Z222" s="154" t="s">
        <v>301</v>
      </c>
      <c r="AA222" s="154" t="s">
        <v>300</v>
      </c>
      <c r="AB222" s="154" t="s">
        <v>301</v>
      </c>
      <c r="AC222" s="154" t="s">
        <v>300</v>
      </c>
      <c r="AD222" s="154" t="s">
        <v>301</v>
      </c>
      <c r="AE222" s="154" t="s">
        <v>300</v>
      </c>
      <c r="AF222" s="154" t="s">
        <v>301</v>
      </c>
      <c r="AG222" s="154" t="s">
        <v>300</v>
      </c>
      <c r="AH222" s="154" t="s">
        <v>301</v>
      </c>
      <c r="AI222" s="154" t="s">
        <v>300</v>
      </c>
      <c r="AJ222" s="154" t="s">
        <v>301</v>
      </c>
      <c r="AK222" s="154" t="s">
        <v>300</v>
      </c>
      <c r="AL222" s="154" t="s">
        <v>301</v>
      </c>
      <c r="AM222" s="154" t="s">
        <v>300</v>
      </c>
      <c r="AN222" s="154" t="s">
        <v>301</v>
      </c>
      <c r="AO222" s="154" t="s">
        <v>300</v>
      </c>
      <c r="AP222" s="154" t="s">
        <v>301</v>
      </c>
      <c r="AQ222" s="154" t="s">
        <v>300</v>
      </c>
      <c r="AR222" s="154" t="s">
        <v>301</v>
      </c>
      <c r="AS222" s="154" t="s">
        <v>300</v>
      </c>
      <c r="AT222" s="154" t="s">
        <v>301</v>
      </c>
      <c r="AU222" s="154" t="s">
        <v>300</v>
      </c>
      <c r="AV222" s="154" t="s">
        <v>301</v>
      </c>
      <c r="AW222" s="154" t="s">
        <v>300</v>
      </c>
      <c r="AX222" s="154" t="s">
        <v>301</v>
      </c>
      <c r="AY222" s="154" t="s">
        <v>300</v>
      </c>
      <c r="AZ222" s="154" t="s">
        <v>301</v>
      </c>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row>
    <row r="223" spans="1:72" ht="15.75" customHeight="1">
      <c r="A223" s="560" t="s">
        <v>835</v>
      </c>
      <c r="B223" s="93" t="s">
        <v>1249</v>
      </c>
      <c r="C223" s="556">
        <v>0</v>
      </c>
      <c r="D223" s="510"/>
      <c r="E223" s="556">
        <v>0</v>
      </c>
      <c r="F223" s="510"/>
      <c r="G223" s="556">
        <v>0</v>
      </c>
      <c r="H223" s="510"/>
      <c r="I223" s="556">
        <v>0</v>
      </c>
      <c r="J223" s="510"/>
      <c r="K223" s="556">
        <v>0</v>
      </c>
      <c r="L223" s="510"/>
      <c r="M223" s="556">
        <v>0</v>
      </c>
      <c r="N223" s="510"/>
      <c r="O223" s="556">
        <v>0</v>
      </c>
      <c r="P223" s="510"/>
      <c r="Q223" s="556">
        <v>0</v>
      </c>
      <c r="R223" s="510"/>
      <c r="S223" s="556">
        <v>0</v>
      </c>
      <c r="T223" s="510"/>
      <c r="U223" s="556">
        <v>0</v>
      </c>
      <c r="V223" s="510"/>
      <c r="W223" s="556">
        <v>0</v>
      </c>
      <c r="X223" s="510"/>
      <c r="Y223" s="556">
        <v>0</v>
      </c>
      <c r="Z223" s="510"/>
      <c r="AA223" s="556">
        <v>0</v>
      </c>
      <c r="AB223" s="510"/>
      <c r="AC223" s="556">
        <v>0</v>
      </c>
      <c r="AD223" s="510"/>
      <c r="AE223" s="556">
        <v>0</v>
      </c>
      <c r="AF223" s="510"/>
      <c r="AG223" s="556">
        <v>0</v>
      </c>
      <c r="AH223" s="510"/>
      <c r="AI223" s="556">
        <v>0</v>
      </c>
      <c r="AJ223" s="510"/>
      <c r="AK223" s="556">
        <v>0</v>
      </c>
      <c r="AL223" s="510"/>
      <c r="AM223" s="556">
        <v>0</v>
      </c>
      <c r="AN223" s="510"/>
      <c r="AO223" s="556">
        <v>0</v>
      </c>
      <c r="AP223" s="510"/>
      <c r="AQ223" s="556">
        <v>0</v>
      </c>
      <c r="AR223" s="510"/>
      <c r="AS223" s="556">
        <v>0</v>
      </c>
      <c r="AT223" s="510"/>
      <c r="AU223" s="556">
        <v>0</v>
      </c>
      <c r="AV223" s="510"/>
      <c r="AW223" s="556">
        <v>1</v>
      </c>
      <c r="AX223" s="510"/>
      <c r="AY223" s="556">
        <v>0</v>
      </c>
      <c r="AZ223" s="51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row>
    <row r="224" spans="1:72" ht="15" customHeight="1">
      <c r="A224" s="525"/>
      <c r="B224" s="135" t="s">
        <v>307</v>
      </c>
      <c r="C224" s="74"/>
      <c r="D224" s="155"/>
      <c r="E224" s="553"/>
      <c r="F224" s="510"/>
      <c r="G224" s="553"/>
      <c r="H224" s="510"/>
      <c r="I224" s="553"/>
      <c r="J224" s="510"/>
      <c r="K224" s="553"/>
      <c r="L224" s="510"/>
      <c r="M224" s="553"/>
      <c r="N224" s="510"/>
      <c r="O224" s="553"/>
      <c r="P224" s="510"/>
      <c r="Q224" s="553"/>
      <c r="R224" s="510"/>
      <c r="S224" s="553"/>
      <c r="T224" s="510"/>
      <c r="U224" s="553"/>
      <c r="V224" s="510"/>
      <c r="W224" s="553"/>
      <c r="X224" s="510"/>
      <c r="Y224" s="553"/>
      <c r="Z224" s="510"/>
      <c r="AA224" s="553"/>
      <c r="AB224" s="510"/>
      <c r="AC224" s="553"/>
      <c r="AD224" s="510"/>
      <c r="AE224" s="553"/>
      <c r="AF224" s="510"/>
      <c r="AG224" s="553"/>
      <c r="AH224" s="510"/>
      <c r="AI224" s="553"/>
      <c r="AJ224" s="510"/>
      <c r="AK224" s="553"/>
      <c r="AL224" s="510"/>
      <c r="AM224" s="553"/>
      <c r="AN224" s="510"/>
      <c r="AO224" s="553"/>
      <c r="AP224" s="510"/>
      <c r="AQ224" s="553"/>
      <c r="AR224" s="510"/>
      <c r="AS224" s="553"/>
      <c r="AT224" s="510"/>
      <c r="AU224" s="553"/>
      <c r="AV224" s="510"/>
      <c r="AW224" s="553"/>
      <c r="AX224" s="510"/>
      <c r="AY224" s="553"/>
      <c r="AZ224" s="510"/>
      <c r="BA224" s="130"/>
      <c r="BB224" s="130"/>
      <c r="BC224" s="130"/>
      <c r="BD224" s="130"/>
      <c r="BE224" s="130"/>
      <c r="BF224" s="130"/>
      <c r="BG224" s="130"/>
      <c r="BH224" s="130"/>
      <c r="BI224" s="130"/>
      <c r="BJ224" s="130"/>
      <c r="BK224" s="130"/>
      <c r="BL224" s="130"/>
      <c r="BM224" s="130"/>
      <c r="BN224" s="130"/>
      <c r="BO224" s="130"/>
      <c r="BP224" s="130"/>
      <c r="BQ224" s="130"/>
      <c r="BR224" s="130"/>
      <c r="BS224" s="130"/>
      <c r="BT224" s="130"/>
    </row>
    <row r="225" spans="1:72" ht="15" customHeight="1">
      <c r="A225" s="703" t="s">
        <v>1250</v>
      </c>
      <c r="B225" s="510"/>
      <c r="C225" s="700" t="s">
        <v>299</v>
      </c>
      <c r="D225" s="510"/>
      <c r="E225" s="322"/>
      <c r="F225" s="323"/>
      <c r="G225" s="323"/>
      <c r="H225" s="323"/>
      <c r="I225" s="323"/>
      <c r="J225" s="323"/>
      <c r="K225" s="323"/>
      <c r="L225" s="323"/>
      <c r="M225" s="323"/>
      <c r="N225" s="323"/>
      <c r="O225" s="323"/>
      <c r="P225" s="323"/>
      <c r="Q225" s="323"/>
      <c r="R225" s="323"/>
      <c r="S225" s="323"/>
      <c r="T225" s="323"/>
      <c r="U225" s="323"/>
      <c r="V225" s="323"/>
      <c r="W225" s="323"/>
      <c r="X225" s="323"/>
      <c r="Y225" s="323"/>
      <c r="Z225" s="323"/>
      <c r="AA225" s="323"/>
      <c r="AB225" s="323"/>
      <c r="AC225" s="323"/>
      <c r="AD225" s="323"/>
      <c r="AE225" s="323"/>
      <c r="AF225" s="323"/>
      <c r="AG225" s="323"/>
      <c r="AH225" s="323"/>
      <c r="AI225" s="323"/>
      <c r="AJ225" s="323"/>
      <c r="AK225" s="323"/>
      <c r="AL225" s="323"/>
      <c r="AM225" s="323"/>
      <c r="AN225" s="323"/>
      <c r="AO225" s="323"/>
      <c r="AP225" s="323"/>
      <c r="AQ225" s="323"/>
      <c r="AR225" s="323"/>
      <c r="AS225" s="323"/>
      <c r="AT225" s="323"/>
      <c r="AU225" s="323"/>
      <c r="AV225" s="323"/>
      <c r="AW225" s="323"/>
      <c r="AX225" s="323"/>
      <c r="AY225" s="323"/>
      <c r="AZ225" s="323"/>
      <c r="BA225" s="323"/>
      <c r="BB225" s="130"/>
      <c r="BC225" s="130"/>
      <c r="BD225" s="130"/>
      <c r="BE225" s="130"/>
      <c r="BF225" s="130"/>
      <c r="BG225" s="130"/>
      <c r="BH225" s="130"/>
      <c r="BI225" s="130"/>
      <c r="BJ225" s="130"/>
      <c r="BK225" s="130"/>
      <c r="BL225" s="130"/>
      <c r="BM225" s="130"/>
      <c r="BN225" s="130"/>
      <c r="BO225" s="130"/>
      <c r="BP225" s="130"/>
      <c r="BQ225" s="130"/>
      <c r="BR225" s="130"/>
      <c r="BS225" s="130"/>
      <c r="BT225" s="130"/>
    </row>
    <row r="226" spans="1:72" ht="15.75" customHeight="1">
      <c r="A226" s="319">
        <v>12</v>
      </c>
      <c r="B226" s="320" t="s">
        <v>1251</v>
      </c>
      <c r="C226" s="91" t="s">
        <v>300</v>
      </c>
      <c r="D226" s="329" t="s">
        <v>301</v>
      </c>
      <c r="E226" s="85"/>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83"/>
      <c r="AZ226" s="83"/>
      <c r="BA226" s="83"/>
      <c r="BB226" s="130"/>
      <c r="BC226" s="130"/>
      <c r="BD226" s="130"/>
      <c r="BE226" s="130"/>
      <c r="BF226" s="130"/>
      <c r="BG226" s="130"/>
      <c r="BH226" s="130"/>
      <c r="BI226" s="130"/>
      <c r="BJ226" s="130"/>
      <c r="BK226" s="130"/>
      <c r="BL226" s="130"/>
      <c r="BM226" s="130"/>
      <c r="BN226" s="130"/>
      <c r="BO226" s="130"/>
      <c r="BP226" s="130"/>
      <c r="BQ226" s="130"/>
      <c r="BR226" s="130"/>
      <c r="BS226" s="130"/>
      <c r="BT226" s="130"/>
    </row>
    <row r="227" spans="1:72" ht="15.75" customHeight="1">
      <c r="A227" s="560" t="s">
        <v>1252</v>
      </c>
      <c r="B227" s="316" t="s">
        <v>1253</v>
      </c>
      <c r="C227" s="701"/>
      <c r="D227" s="510"/>
      <c r="E227" s="85"/>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130"/>
      <c r="BC227" s="130"/>
      <c r="BD227" s="130"/>
      <c r="BE227" s="130"/>
      <c r="BF227" s="130"/>
      <c r="BG227" s="130"/>
      <c r="BH227" s="130"/>
      <c r="BI227" s="130"/>
      <c r="BJ227" s="130"/>
      <c r="BK227" s="130"/>
      <c r="BL227" s="130"/>
      <c r="BM227" s="130"/>
      <c r="BN227" s="130"/>
      <c r="BO227" s="130"/>
      <c r="BP227" s="130"/>
      <c r="BQ227" s="130"/>
      <c r="BR227" s="130"/>
      <c r="BS227" s="130"/>
      <c r="BT227" s="130"/>
    </row>
    <row r="228" spans="1:72" ht="15.75" customHeight="1">
      <c r="A228" s="524"/>
      <c r="B228" s="93" t="s">
        <v>1254</v>
      </c>
      <c r="C228" s="556">
        <v>1</v>
      </c>
      <c r="D228" s="510"/>
      <c r="E228" s="85"/>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130"/>
      <c r="BC228" s="130"/>
      <c r="BD228" s="130"/>
      <c r="BE228" s="130"/>
      <c r="BF228" s="130"/>
      <c r="BG228" s="130"/>
      <c r="BH228" s="130"/>
      <c r="BI228" s="130"/>
      <c r="BJ228" s="130"/>
      <c r="BK228" s="130"/>
      <c r="BL228" s="130"/>
      <c r="BM228" s="130"/>
      <c r="BN228" s="130"/>
      <c r="BO228" s="130"/>
      <c r="BP228" s="130"/>
      <c r="BQ228" s="130"/>
      <c r="BR228" s="130"/>
      <c r="BS228" s="130"/>
      <c r="BT228" s="130"/>
    </row>
    <row r="229" spans="1:72" ht="15.75" customHeight="1">
      <c r="A229" s="524"/>
      <c r="B229" s="93" t="s">
        <v>1255</v>
      </c>
      <c r="C229" s="556">
        <v>0</v>
      </c>
      <c r="D229" s="510"/>
      <c r="E229" s="85"/>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83"/>
      <c r="AZ229" s="83"/>
      <c r="BA229" s="83"/>
      <c r="BB229" s="130"/>
      <c r="BC229" s="130"/>
      <c r="BD229" s="130"/>
      <c r="BE229" s="130"/>
      <c r="BF229" s="130"/>
      <c r="BG229" s="130"/>
      <c r="BH229" s="130"/>
      <c r="BI229" s="130"/>
      <c r="BJ229" s="130"/>
      <c r="BK229" s="130"/>
      <c r="BL229" s="130"/>
      <c r="BM229" s="130"/>
      <c r="BN229" s="130"/>
      <c r="BO229" s="130"/>
      <c r="BP229" s="130"/>
      <c r="BQ229" s="130"/>
      <c r="BR229" s="130"/>
      <c r="BS229" s="130"/>
      <c r="BT229" s="130"/>
    </row>
    <row r="230" spans="1:72" ht="15.75" customHeight="1">
      <c r="A230" s="524"/>
      <c r="B230" s="93" t="s">
        <v>1256</v>
      </c>
      <c r="C230" s="556">
        <v>0</v>
      </c>
      <c r="D230" s="510"/>
      <c r="E230" s="85"/>
      <c r="F230" s="83"/>
      <c r="G230" s="72"/>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83"/>
      <c r="AZ230" s="83"/>
      <c r="BA230" s="83"/>
      <c r="BB230" s="130"/>
      <c r="BC230" s="130"/>
      <c r="BD230" s="130"/>
      <c r="BE230" s="130"/>
      <c r="BF230" s="130"/>
      <c r="BG230" s="130"/>
      <c r="BH230" s="130"/>
      <c r="BI230" s="130"/>
      <c r="BJ230" s="130"/>
      <c r="BK230" s="130"/>
      <c r="BL230" s="130"/>
      <c r="BM230" s="130"/>
      <c r="BN230" s="130"/>
      <c r="BO230" s="130"/>
      <c r="BP230" s="130"/>
      <c r="BQ230" s="130"/>
      <c r="BR230" s="130"/>
      <c r="BS230" s="130"/>
      <c r="BT230" s="130"/>
    </row>
    <row r="231" spans="1:72" ht="15.75" customHeight="1">
      <c r="A231" s="524"/>
      <c r="B231" s="93" t="s">
        <v>1257</v>
      </c>
      <c r="C231" s="556">
        <v>1</v>
      </c>
      <c r="D231" s="510"/>
      <c r="E231" s="85"/>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130"/>
      <c r="BC231" s="130"/>
      <c r="BD231" s="130"/>
      <c r="BE231" s="130"/>
      <c r="BF231" s="130"/>
      <c r="BG231" s="130"/>
      <c r="BH231" s="130"/>
      <c r="BI231" s="130"/>
      <c r="BJ231" s="130"/>
      <c r="BK231" s="130"/>
      <c r="BL231" s="130"/>
      <c r="BM231" s="130"/>
      <c r="BN231" s="130"/>
      <c r="BO231" s="130"/>
      <c r="BP231" s="130"/>
      <c r="BQ231" s="130"/>
      <c r="BR231" s="130"/>
      <c r="BS231" s="130"/>
      <c r="BT231" s="130"/>
    </row>
    <row r="232" spans="1:72" ht="15.75" customHeight="1">
      <c r="A232" s="524"/>
      <c r="B232" s="93" t="s">
        <v>1258</v>
      </c>
      <c r="C232" s="556">
        <v>1</v>
      </c>
      <c r="D232" s="510"/>
      <c r="E232" s="85"/>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83"/>
      <c r="AZ232" s="83"/>
      <c r="BA232" s="83"/>
      <c r="BB232" s="130"/>
      <c r="BC232" s="130"/>
      <c r="BD232" s="130"/>
      <c r="BE232" s="130"/>
      <c r="BF232" s="130"/>
      <c r="BG232" s="130"/>
      <c r="BH232" s="130"/>
      <c r="BI232" s="130"/>
      <c r="BJ232" s="130"/>
      <c r="BK232" s="130"/>
      <c r="BL232" s="130"/>
      <c r="BM232" s="130"/>
      <c r="BN232" s="130"/>
      <c r="BO232" s="130"/>
      <c r="BP232" s="130"/>
      <c r="BQ232" s="130"/>
      <c r="BR232" s="130"/>
      <c r="BS232" s="130"/>
      <c r="BT232" s="130"/>
    </row>
    <row r="233" spans="1:72" ht="15" customHeight="1">
      <c r="A233" s="524"/>
      <c r="B233" s="93" t="s">
        <v>1259</v>
      </c>
      <c r="C233" s="556">
        <v>1</v>
      </c>
      <c r="D233" s="510"/>
      <c r="E233" s="85"/>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83"/>
      <c r="AZ233" s="83"/>
      <c r="BA233" s="83"/>
      <c r="BB233" s="130"/>
      <c r="BC233" s="130"/>
      <c r="BD233" s="130"/>
      <c r="BE233" s="130"/>
      <c r="BF233" s="130"/>
      <c r="BG233" s="130"/>
      <c r="BH233" s="130"/>
      <c r="BI233" s="130"/>
      <c r="BJ233" s="130"/>
      <c r="BK233" s="130"/>
      <c r="BL233" s="130"/>
      <c r="BM233" s="130"/>
      <c r="BN233" s="130"/>
      <c r="BO233" s="130"/>
      <c r="BP233" s="130"/>
      <c r="BQ233" s="130"/>
      <c r="BR233" s="130"/>
      <c r="BS233" s="130"/>
      <c r="BT233" s="130"/>
    </row>
    <row r="234" spans="1:72" ht="15" customHeight="1">
      <c r="A234" s="524"/>
      <c r="B234" s="93" t="s">
        <v>1260</v>
      </c>
      <c r="C234" s="556"/>
      <c r="D234" s="512"/>
      <c r="E234" s="556"/>
      <c r="F234" s="512"/>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K234" s="80"/>
      <c r="AL234" s="80"/>
      <c r="AM234" s="80"/>
      <c r="AN234" s="80"/>
      <c r="AO234" s="80"/>
      <c r="AP234" s="80"/>
      <c r="AQ234" s="80"/>
      <c r="AR234" s="80"/>
      <c r="AS234" s="80"/>
      <c r="AT234" s="80"/>
      <c r="AU234" s="80"/>
      <c r="AV234" s="80"/>
      <c r="AW234" s="80"/>
      <c r="AX234" s="80"/>
      <c r="AY234" s="80"/>
      <c r="AZ234" s="80"/>
      <c r="BA234" s="156"/>
      <c r="BB234" s="130"/>
      <c r="BC234" s="130"/>
      <c r="BD234" s="130"/>
      <c r="BE234" s="130"/>
      <c r="BF234" s="130"/>
      <c r="BG234" s="130"/>
      <c r="BH234" s="130"/>
      <c r="BI234" s="130"/>
      <c r="BJ234" s="130"/>
      <c r="BK234" s="130"/>
      <c r="BL234" s="130"/>
      <c r="BM234" s="130"/>
      <c r="BN234" s="130"/>
      <c r="BO234" s="130"/>
      <c r="BP234" s="130"/>
      <c r="BQ234" s="130"/>
      <c r="BR234" s="130"/>
      <c r="BS234" s="130"/>
      <c r="BT234" s="130"/>
    </row>
    <row r="235" spans="1:72" ht="15.75" customHeight="1">
      <c r="A235" s="525"/>
      <c r="B235" s="77" t="s">
        <v>307</v>
      </c>
      <c r="C235" s="74"/>
      <c r="D235" s="75"/>
      <c r="E235" s="101"/>
      <c r="F235" s="101"/>
      <c r="G235" s="101"/>
      <c r="H235" s="75"/>
      <c r="I235" s="75"/>
      <c r="J235" s="75"/>
      <c r="K235" s="309"/>
      <c r="L235" s="309"/>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155"/>
      <c r="BB235" s="130"/>
      <c r="BC235" s="130"/>
      <c r="BD235" s="130"/>
      <c r="BE235" s="130"/>
      <c r="BF235" s="130"/>
      <c r="BG235" s="130"/>
      <c r="BH235" s="130"/>
      <c r="BI235" s="130"/>
      <c r="BJ235" s="130"/>
      <c r="BK235" s="130"/>
      <c r="BL235" s="130"/>
      <c r="BM235" s="130"/>
      <c r="BN235" s="130"/>
      <c r="BO235" s="130"/>
      <c r="BP235" s="130"/>
      <c r="BQ235" s="130"/>
      <c r="BR235" s="130"/>
      <c r="BS235" s="130"/>
      <c r="BT235" s="130"/>
    </row>
    <row r="236" spans="1:72" ht="15.75" customHeight="1">
      <c r="A236" s="560" t="s">
        <v>1261</v>
      </c>
      <c r="B236" s="93" t="s">
        <v>1262</v>
      </c>
      <c r="C236" s="556">
        <v>0</v>
      </c>
      <c r="D236" s="510"/>
      <c r="E236" s="85"/>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83"/>
      <c r="AZ236" s="83"/>
      <c r="BA236" s="83"/>
      <c r="BB236" s="130"/>
      <c r="BC236" s="130"/>
      <c r="BD236" s="130"/>
      <c r="BE236" s="130"/>
      <c r="BF236" s="130"/>
      <c r="BG236" s="130"/>
      <c r="BH236" s="130"/>
      <c r="BI236" s="130"/>
      <c r="BJ236" s="130"/>
      <c r="BK236" s="130"/>
      <c r="BL236" s="130"/>
      <c r="BM236" s="130"/>
      <c r="BN236" s="130"/>
      <c r="BO236" s="130"/>
      <c r="BP236" s="130"/>
      <c r="BQ236" s="130"/>
      <c r="BR236" s="130"/>
      <c r="BS236" s="130"/>
      <c r="BT236" s="130"/>
    </row>
    <row r="237" spans="1:72" ht="15.75" customHeight="1">
      <c r="A237" s="525"/>
      <c r="B237" s="77" t="s">
        <v>307</v>
      </c>
      <c r="C237" s="74"/>
      <c r="D237" s="75"/>
      <c r="E237" s="75"/>
      <c r="F237" s="75"/>
      <c r="G237" s="75"/>
      <c r="H237" s="75"/>
      <c r="I237" s="75"/>
      <c r="J237" s="75"/>
      <c r="K237" s="309"/>
      <c r="L237" s="309"/>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155"/>
      <c r="BB237" s="130"/>
      <c r="BC237" s="130"/>
      <c r="BD237" s="130"/>
      <c r="BE237" s="130"/>
      <c r="BF237" s="130"/>
      <c r="BG237" s="130"/>
      <c r="BH237" s="130"/>
      <c r="BI237" s="130"/>
      <c r="BJ237" s="130"/>
      <c r="BK237" s="130"/>
      <c r="BL237" s="130"/>
      <c r="BM237" s="130"/>
      <c r="BN237" s="130"/>
      <c r="BO237" s="130"/>
      <c r="BP237" s="130"/>
      <c r="BQ237" s="130"/>
      <c r="BR237" s="130"/>
      <c r="BS237" s="130"/>
      <c r="BT237" s="130"/>
    </row>
    <row r="238" spans="1:72" ht="25.5" customHeight="1">
      <c r="A238" s="560" t="s">
        <v>1263</v>
      </c>
      <c r="B238" s="93" t="s">
        <v>1264</v>
      </c>
      <c r="C238" s="556">
        <v>0</v>
      </c>
      <c r="D238" s="510"/>
      <c r="E238" s="85"/>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83"/>
      <c r="AZ238" s="83"/>
      <c r="BA238" s="83"/>
      <c r="BB238" s="130"/>
      <c r="BC238" s="130"/>
      <c r="BD238" s="130"/>
      <c r="BE238" s="130"/>
      <c r="BF238" s="130"/>
      <c r="BG238" s="130"/>
      <c r="BH238" s="130"/>
      <c r="BI238" s="130"/>
      <c r="BJ238" s="130"/>
      <c r="BK238" s="130"/>
      <c r="BL238" s="130"/>
      <c r="BM238" s="130"/>
      <c r="BN238" s="130"/>
      <c r="BO238" s="130"/>
      <c r="BP238" s="130"/>
      <c r="BQ238" s="130"/>
      <c r="BR238" s="130"/>
      <c r="BS238" s="130"/>
      <c r="BT238" s="130"/>
    </row>
    <row r="239" spans="1:72" ht="15.75" customHeight="1">
      <c r="A239" s="525"/>
      <c r="B239" s="77" t="s">
        <v>307</v>
      </c>
      <c r="C239" s="74"/>
      <c r="D239" s="75"/>
      <c r="E239" s="75"/>
      <c r="F239" s="75"/>
      <c r="G239" s="75"/>
      <c r="H239" s="75"/>
      <c r="I239" s="75"/>
      <c r="J239" s="75"/>
      <c r="K239" s="309"/>
      <c r="L239" s="309"/>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155"/>
      <c r="BB239" s="130"/>
      <c r="BC239" s="130"/>
      <c r="BD239" s="130"/>
      <c r="BE239" s="130"/>
      <c r="BF239" s="130"/>
      <c r="BG239" s="130"/>
      <c r="BH239" s="130"/>
      <c r="BI239" s="130"/>
      <c r="BJ239" s="130"/>
      <c r="BK239" s="130"/>
      <c r="BL239" s="130"/>
      <c r="BM239" s="130"/>
      <c r="BN239" s="130"/>
      <c r="BO239" s="130"/>
      <c r="BP239" s="130"/>
      <c r="BQ239" s="130"/>
      <c r="BR239" s="130"/>
      <c r="BS239" s="130"/>
      <c r="BT239" s="130"/>
    </row>
    <row r="240" spans="1:72" ht="15.75" customHeight="1">
      <c r="A240" s="560" t="s">
        <v>1265</v>
      </c>
      <c r="B240" s="93" t="s">
        <v>1266</v>
      </c>
      <c r="C240" s="556">
        <v>1</v>
      </c>
      <c r="D240" s="510"/>
      <c r="E240" s="85"/>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83"/>
      <c r="AZ240" s="83"/>
      <c r="BA240" s="83"/>
      <c r="BB240" s="130"/>
      <c r="BC240" s="130"/>
      <c r="BD240" s="130"/>
      <c r="BE240" s="130"/>
      <c r="BF240" s="130"/>
      <c r="BG240" s="130"/>
      <c r="BH240" s="130"/>
      <c r="BI240" s="130"/>
      <c r="BJ240" s="130"/>
      <c r="BK240" s="130"/>
      <c r="BL240" s="130"/>
      <c r="BM240" s="130"/>
      <c r="BN240" s="130"/>
      <c r="BO240" s="130"/>
      <c r="BP240" s="130"/>
      <c r="BQ240" s="130"/>
      <c r="BR240" s="130"/>
      <c r="BS240" s="130"/>
      <c r="BT240" s="130"/>
    </row>
    <row r="241" spans="1:72" ht="15.75" customHeight="1">
      <c r="A241" s="525"/>
      <c r="B241" s="77" t="s">
        <v>307</v>
      </c>
      <c r="C241" s="74"/>
      <c r="D241" s="75"/>
      <c r="E241" s="75"/>
      <c r="F241" s="75"/>
      <c r="G241" s="75"/>
      <c r="H241" s="75"/>
      <c r="I241" s="75"/>
      <c r="J241" s="75"/>
      <c r="K241" s="309"/>
      <c r="L241" s="309"/>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155"/>
      <c r="BB241" s="130"/>
      <c r="BC241" s="130"/>
      <c r="BD241" s="130"/>
      <c r="BE241" s="130"/>
      <c r="BF241" s="130"/>
      <c r="BG241" s="130"/>
      <c r="BH241" s="130"/>
      <c r="BI241" s="130"/>
      <c r="BJ241" s="130"/>
      <c r="BK241" s="130"/>
      <c r="BL241" s="130"/>
      <c r="BM241" s="130"/>
      <c r="BN241" s="130"/>
      <c r="BO241" s="130"/>
      <c r="BP241" s="130"/>
      <c r="BQ241" s="130"/>
      <c r="BR241" s="130"/>
      <c r="BS241" s="130"/>
      <c r="BT241" s="130"/>
    </row>
    <row r="242" spans="1:72" ht="15.75" customHeight="1">
      <c r="A242" s="560" t="s">
        <v>1267</v>
      </c>
      <c r="B242" s="93" t="s">
        <v>1268</v>
      </c>
      <c r="C242" s="556">
        <v>1</v>
      </c>
      <c r="D242" s="510"/>
      <c r="E242" s="85"/>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83"/>
      <c r="AZ242" s="83"/>
      <c r="BA242" s="83"/>
      <c r="BB242" s="130"/>
      <c r="BC242" s="130"/>
      <c r="BD242" s="130"/>
      <c r="BE242" s="130"/>
      <c r="BF242" s="130"/>
      <c r="BG242" s="130"/>
      <c r="BH242" s="130"/>
      <c r="BI242" s="130"/>
      <c r="BJ242" s="130"/>
      <c r="BK242" s="130"/>
      <c r="BL242" s="130"/>
      <c r="BM242" s="130"/>
      <c r="BN242" s="130"/>
      <c r="BO242" s="130"/>
      <c r="BP242" s="130"/>
      <c r="BQ242" s="130"/>
      <c r="BR242" s="130"/>
      <c r="BS242" s="130"/>
      <c r="BT242" s="130"/>
    </row>
    <row r="243" spans="1:72" ht="15.75" customHeight="1">
      <c r="A243" s="525"/>
      <c r="B243" s="77" t="s">
        <v>307</v>
      </c>
      <c r="C243" s="74"/>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155"/>
      <c r="BB243" s="130"/>
      <c r="BC243" s="130"/>
      <c r="BD243" s="130"/>
      <c r="BE243" s="130"/>
      <c r="BF243" s="130"/>
      <c r="BG243" s="130"/>
      <c r="BH243" s="130"/>
      <c r="BI243" s="130"/>
      <c r="BJ243" s="130"/>
      <c r="BK243" s="130"/>
      <c r="BL243" s="130"/>
      <c r="BM243" s="130"/>
      <c r="BN243" s="130"/>
      <c r="BO243" s="130"/>
      <c r="BP243" s="130"/>
      <c r="BQ243" s="130"/>
      <c r="BR243" s="130"/>
      <c r="BS243" s="130"/>
      <c r="BT243" s="130"/>
    </row>
    <row r="244" spans="1:72" ht="15.75" customHeight="1">
      <c r="A244" s="560" t="s">
        <v>1269</v>
      </c>
      <c r="B244" s="93" t="s">
        <v>1270</v>
      </c>
      <c r="C244" s="556">
        <v>1</v>
      </c>
      <c r="D244" s="510"/>
      <c r="E244" s="85"/>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83"/>
      <c r="AZ244" s="83"/>
      <c r="BA244" s="83"/>
      <c r="BB244" s="130"/>
      <c r="BC244" s="130"/>
      <c r="BD244" s="130"/>
      <c r="BE244" s="130"/>
      <c r="BF244" s="130"/>
      <c r="BG244" s="130"/>
      <c r="BH244" s="130"/>
      <c r="BI244" s="130"/>
      <c r="BJ244" s="130"/>
      <c r="BK244" s="130"/>
      <c r="BL244" s="130"/>
      <c r="BM244" s="130"/>
      <c r="BN244" s="130"/>
      <c r="BO244" s="130"/>
      <c r="BP244" s="130"/>
      <c r="BQ244" s="130"/>
      <c r="BR244" s="130"/>
      <c r="BS244" s="130"/>
      <c r="BT244" s="130"/>
    </row>
    <row r="245" spans="1:72" ht="15.75" customHeight="1">
      <c r="A245" s="525"/>
      <c r="B245" s="77" t="s">
        <v>307</v>
      </c>
      <c r="C245" s="74"/>
      <c r="D245" s="75"/>
      <c r="E245" s="75"/>
      <c r="F245" s="75"/>
      <c r="G245" s="75"/>
      <c r="H245" s="75"/>
      <c r="I245" s="75"/>
      <c r="J245" s="75"/>
      <c r="K245" s="309"/>
      <c r="L245" s="309"/>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155"/>
      <c r="BB245" s="130"/>
      <c r="BC245" s="130"/>
      <c r="BD245" s="130"/>
      <c r="BE245" s="130"/>
      <c r="BF245" s="130"/>
      <c r="BG245" s="130"/>
      <c r="BH245" s="130"/>
      <c r="BI245" s="130"/>
      <c r="BJ245" s="130"/>
      <c r="BK245" s="130"/>
      <c r="BL245" s="130"/>
      <c r="BM245" s="130"/>
      <c r="BN245" s="130"/>
      <c r="BO245" s="130"/>
      <c r="BP245" s="130"/>
      <c r="BQ245" s="130"/>
      <c r="BR245" s="130"/>
      <c r="BS245" s="130"/>
      <c r="BT245" s="130"/>
    </row>
    <row r="246" spans="1:72" ht="15.75" customHeight="1">
      <c r="A246" s="560" t="s">
        <v>1271</v>
      </c>
      <c r="B246" s="93" t="s">
        <v>1272</v>
      </c>
      <c r="C246" s="556">
        <v>1</v>
      </c>
      <c r="D246" s="510"/>
      <c r="E246" s="85"/>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83"/>
      <c r="AZ246" s="83"/>
      <c r="BA246" s="83"/>
      <c r="BB246" s="130"/>
      <c r="BC246" s="130"/>
      <c r="BD246" s="130"/>
      <c r="BE246" s="130"/>
      <c r="BF246" s="130"/>
      <c r="BG246" s="130"/>
      <c r="BH246" s="130"/>
      <c r="BI246" s="130"/>
      <c r="BJ246" s="130"/>
      <c r="BK246" s="130"/>
      <c r="BL246" s="130"/>
      <c r="BM246" s="130"/>
      <c r="BN246" s="130"/>
      <c r="BO246" s="130"/>
      <c r="BP246" s="130"/>
      <c r="BQ246" s="130"/>
      <c r="BR246" s="130"/>
      <c r="BS246" s="130"/>
      <c r="BT246" s="130"/>
    </row>
    <row r="247" spans="1:72" ht="15.75" customHeight="1">
      <c r="A247" s="525"/>
      <c r="B247" s="77" t="s">
        <v>307</v>
      </c>
      <c r="C247" s="74"/>
      <c r="D247" s="75"/>
      <c r="E247" s="75"/>
      <c r="F247" s="75"/>
      <c r="G247" s="75"/>
      <c r="H247" s="75"/>
      <c r="I247" s="75"/>
      <c r="J247" s="75"/>
      <c r="K247" s="309"/>
      <c r="L247" s="309"/>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155"/>
      <c r="BB247" s="130"/>
      <c r="BC247" s="130"/>
      <c r="BD247" s="130"/>
      <c r="BE247" s="130"/>
      <c r="BF247" s="130"/>
      <c r="BG247" s="130"/>
      <c r="BH247" s="130"/>
      <c r="BI247" s="130"/>
      <c r="BJ247" s="130"/>
      <c r="BK247" s="130"/>
      <c r="BL247" s="130"/>
      <c r="BM247" s="130"/>
      <c r="BN247" s="130"/>
      <c r="BO247" s="130"/>
      <c r="BP247" s="130"/>
      <c r="BQ247" s="130"/>
      <c r="BR247" s="130"/>
      <c r="BS247" s="130"/>
      <c r="BT247" s="130"/>
    </row>
    <row r="248" spans="1:72" ht="15.75" customHeight="1">
      <c r="A248" s="560" t="s">
        <v>1273</v>
      </c>
      <c r="B248" s="93" t="s">
        <v>1274</v>
      </c>
      <c r="C248" s="556">
        <v>1</v>
      </c>
      <c r="D248" s="510"/>
      <c r="E248" s="85"/>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83"/>
      <c r="AZ248" s="83"/>
      <c r="BA248" s="83"/>
      <c r="BB248" s="130"/>
      <c r="BC248" s="130"/>
      <c r="BD248" s="130"/>
      <c r="BE248" s="130"/>
      <c r="BF248" s="130"/>
      <c r="BG248" s="130"/>
      <c r="BH248" s="130"/>
      <c r="BI248" s="130"/>
      <c r="BJ248" s="130"/>
      <c r="BK248" s="130"/>
      <c r="BL248" s="130"/>
      <c r="BM248" s="130"/>
      <c r="BN248" s="130"/>
      <c r="BO248" s="130"/>
      <c r="BP248" s="130"/>
      <c r="BQ248" s="130"/>
      <c r="BR248" s="130"/>
      <c r="BS248" s="130"/>
      <c r="BT248" s="130"/>
    </row>
    <row r="249" spans="1:72" ht="15.75" customHeight="1">
      <c r="A249" s="525"/>
      <c r="B249" s="77" t="s">
        <v>307</v>
      </c>
      <c r="C249" s="74"/>
      <c r="D249" s="75"/>
      <c r="E249" s="75"/>
      <c r="F249" s="75"/>
      <c r="G249" s="75"/>
      <c r="H249" s="75"/>
      <c r="I249" s="75"/>
      <c r="J249" s="75"/>
      <c r="K249" s="309"/>
      <c r="L249" s="309"/>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155"/>
      <c r="BB249" s="130"/>
      <c r="BC249" s="130"/>
      <c r="BD249" s="130"/>
      <c r="BE249" s="130"/>
      <c r="BF249" s="130"/>
      <c r="BG249" s="130"/>
      <c r="BH249" s="130"/>
      <c r="BI249" s="130"/>
      <c r="BJ249" s="130"/>
      <c r="BK249" s="130"/>
      <c r="BL249" s="130"/>
      <c r="BM249" s="130"/>
      <c r="BN249" s="130"/>
      <c r="BO249" s="130"/>
      <c r="BP249" s="130"/>
      <c r="BQ249" s="130"/>
      <c r="BR249" s="130"/>
      <c r="BS249" s="130"/>
      <c r="BT249" s="130"/>
    </row>
    <row r="250" spans="1:72" ht="15.75" customHeight="1">
      <c r="A250" s="560" t="s">
        <v>1275</v>
      </c>
      <c r="B250" s="93" t="s">
        <v>1276</v>
      </c>
      <c r="C250" s="556">
        <v>1</v>
      </c>
      <c r="D250" s="510"/>
      <c r="E250" s="85"/>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83"/>
      <c r="AZ250" s="83"/>
      <c r="BA250" s="83"/>
      <c r="BB250" s="130"/>
      <c r="BC250" s="130"/>
      <c r="BD250" s="130"/>
      <c r="BE250" s="130"/>
      <c r="BF250" s="130"/>
      <c r="BG250" s="130"/>
      <c r="BH250" s="130"/>
      <c r="BI250" s="130"/>
      <c r="BJ250" s="130"/>
      <c r="BK250" s="130"/>
      <c r="BL250" s="130"/>
      <c r="BM250" s="130"/>
      <c r="BN250" s="130"/>
      <c r="BO250" s="130"/>
      <c r="BP250" s="130"/>
      <c r="BQ250" s="130"/>
      <c r="BR250" s="130"/>
      <c r="BS250" s="130"/>
      <c r="BT250" s="130"/>
    </row>
    <row r="251" spans="1:72" ht="15.75" customHeight="1">
      <c r="A251" s="525"/>
      <c r="B251" s="77" t="s">
        <v>307</v>
      </c>
      <c r="C251" s="74"/>
      <c r="D251" s="75"/>
      <c r="E251" s="75"/>
      <c r="F251" s="75"/>
      <c r="G251" s="75"/>
      <c r="H251" s="75"/>
      <c r="I251" s="75"/>
      <c r="J251" s="75"/>
      <c r="K251" s="309"/>
      <c r="L251" s="309"/>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155"/>
      <c r="BB251" s="130"/>
      <c r="BC251" s="130"/>
      <c r="BD251" s="130"/>
      <c r="BE251" s="130"/>
      <c r="BF251" s="130"/>
      <c r="BG251" s="130"/>
      <c r="BH251" s="130"/>
      <c r="BI251" s="130"/>
      <c r="BJ251" s="130"/>
      <c r="BK251" s="130"/>
      <c r="BL251" s="130"/>
      <c r="BM251" s="130"/>
      <c r="BN251" s="130"/>
      <c r="BO251" s="130"/>
      <c r="BP251" s="130"/>
      <c r="BQ251" s="130"/>
      <c r="BR251" s="130"/>
      <c r="BS251" s="130"/>
      <c r="BT251" s="130"/>
    </row>
    <row r="252" spans="1:72" ht="15.75" customHeight="1">
      <c r="A252" s="560" t="s">
        <v>1277</v>
      </c>
      <c r="B252" s="93" t="s">
        <v>1278</v>
      </c>
      <c r="C252" s="556">
        <v>1</v>
      </c>
      <c r="D252" s="510"/>
      <c r="E252" s="85"/>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83"/>
      <c r="AZ252" s="83"/>
      <c r="BA252" s="83"/>
      <c r="BB252" s="130"/>
      <c r="BC252" s="130"/>
      <c r="BD252" s="130"/>
      <c r="BE252" s="130"/>
      <c r="BF252" s="130"/>
      <c r="BG252" s="130"/>
      <c r="BH252" s="130"/>
      <c r="BI252" s="130"/>
      <c r="BJ252" s="130"/>
      <c r="BK252" s="130"/>
      <c r="BL252" s="130"/>
      <c r="BM252" s="130"/>
      <c r="BN252" s="130"/>
      <c r="BO252" s="130"/>
      <c r="BP252" s="130"/>
      <c r="BQ252" s="130"/>
      <c r="BR252" s="130"/>
      <c r="BS252" s="130"/>
      <c r="BT252" s="130"/>
    </row>
    <row r="253" spans="1:72" ht="15.75" customHeight="1">
      <c r="A253" s="525"/>
      <c r="B253" s="77" t="s">
        <v>307</v>
      </c>
      <c r="C253" s="74" t="s">
        <v>1279</v>
      </c>
      <c r="D253" s="75"/>
      <c r="E253" s="75"/>
      <c r="F253" s="75"/>
      <c r="G253" s="75"/>
      <c r="H253" s="75"/>
      <c r="I253" s="75"/>
      <c r="J253" s="75"/>
      <c r="K253" s="309"/>
      <c r="L253" s="309"/>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155"/>
      <c r="BB253" s="130"/>
      <c r="BC253" s="130"/>
      <c r="BD253" s="130"/>
      <c r="BE253" s="130"/>
      <c r="BF253" s="130"/>
      <c r="BG253" s="130"/>
      <c r="BH253" s="130"/>
      <c r="BI253" s="130"/>
      <c r="BJ253" s="130"/>
      <c r="BK253" s="130"/>
      <c r="BL253" s="130"/>
      <c r="BM253" s="130"/>
      <c r="BN253" s="130"/>
      <c r="BO253" s="130"/>
      <c r="BP253" s="130"/>
      <c r="BQ253" s="130"/>
      <c r="BR253" s="130"/>
      <c r="BS253" s="130"/>
      <c r="BT253" s="130"/>
    </row>
    <row r="254" spans="1:72" ht="15.75" customHeight="1">
      <c r="A254" s="560" t="s">
        <v>1280</v>
      </c>
      <c r="B254" s="93" t="s">
        <v>1281</v>
      </c>
      <c r="C254" s="556"/>
      <c r="D254" s="510"/>
      <c r="E254" s="79"/>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K254" s="80"/>
      <c r="AL254" s="80"/>
      <c r="AM254" s="80"/>
      <c r="AN254" s="80"/>
      <c r="AO254" s="80"/>
      <c r="AP254" s="80"/>
      <c r="AQ254" s="80"/>
      <c r="AR254" s="80"/>
      <c r="AS254" s="80"/>
      <c r="AT254" s="80"/>
      <c r="AU254" s="80"/>
      <c r="AV254" s="80"/>
      <c r="AW254" s="80"/>
      <c r="AX254" s="80"/>
      <c r="AY254" s="80"/>
      <c r="AZ254" s="80"/>
      <c r="BA254" s="156"/>
      <c r="BB254" s="130"/>
      <c r="BC254" s="130"/>
      <c r="BD254" s="130"/>
      <c r="BE254" s="130"/>
      <c r="BF254" s="130"/>
      <c r="BG254" s="130"/>
      <c r="BH254" s="130"/>
      <c r="BI254" s="130"/>
      <c r="BJ254" s="130"/>
      <c r="BK254" s="130"/>
      <c r="BL254" s="130"/>
      <c r="BM254" s="130"/>
      <c r="BN254" s="130"/>
      <c r="BO254" s="130"/>
      <c r="BP254" s="130"/>
      <c r="BQ254" s="130"/>
      <c r="BR254" s="130"/>
      <c r="BS254" s="130"/>
      <c r="BT254" s="130"/>
    </row>
    <row r="255" spans="1:72" ht="15.75" customHeight="1">
      <c r="A255" s="525"/>
      <c r="B255" s="77" t="s">
        <v>307</v>
      </c>
      <c r="C255" s="74"/>
      <c r="D255" s="75"/>
      <c r="E255" s="75"/>
      <c r="F255" s="75"/>
      <c r="G255" s="75"/>
      <c r="H255" s="75"/>
      <c r="I255" s="75"/>
      <c r="J255" s="75"/>
      <c r="K255" s="309"/>
      <c r="L255" s="309"/>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155"/>
      <c r="BB255" s="130"/>
      <c r="BC255" s="130"/>
      <c r="BD255" s="130"/>
      <c r="BE255" s="130"/>
      <c r="BF255" s="130"/>
      <c r="BG255" s="130"/>
      <c r="BH255" s="130"/>
      <c r="BI255" s="130"/>
      <c r="BJ255" s="130"/>
      <c r="BK255" s="130"/>
      <c r="BL255" s="130"/>
      <c r="BM255" s="130"/>
      <c r="BN255" s="130"/>
      <c r="BO255" s="130"/>
      <c r="BP255" s="130"/>
      <c r="BQ255" s="130"/>
      <c r="BR255" s="130"/>
      <c r="BS255" s="130"/>
      <c r="BT255" s="130"/>
    </row>
    <row r="256" spans="1:72" ht="15.75" customHeight="1">
      <c r="A256" s="560" t="s">
        <v>1282</v>
      </c>
      <c r="B256" s="93" t="s">
        <v>1283</v>
      </c>
      <c r="C256" s="556">
        <v>1</v>
      </c>
      <c r="D256" s="510"/>
      <c r="E256" s="85"/>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83"/>
      <c r="AZ256" s="83"/>
      <c r="BA256" s="83"/>
      <c r="BB256" s="130"/>
      <c r="BC256" s="130"/>
      <c r="BD256" s="130"/>
      <c r="BE256" s="130"/>
      <c r="BF256" s="130"/>
      <c r="BG256" s="130"/>
      <c r="BH256" s="130"/>
      <c r="BI256" s="130"/>
      <c r="BJ256" s="130"/>
      <c r="BK256" s="130"/>
      <c r="BL256" s="130"/>
      <c r="BM256" s="130"/>
      <c r="BN256" s="130"/>
      <c r="BO256" s="130"/>
      <c r="BP256" s="130"/>
      <c r="BQ256" s="130"/>
      <c r="BR256" s="130"/>
      <c r="BS256" s="130"/>
      <c r="BT256" s="130"/>
    </row>
    <row r="257" spans="1:72" ht="15.75" customHeight="1">
      <c r="A257" s="525"/>
      <c r="B257" s="77" t="s">
        <v>307</v>
      </c>
      <c r="C257" s="74"/>
      <c r="D257" s="75"/>
      <c r="E257" s="75"/>
      <c r="F257" s="75"/>
      <c r="G257" s="75"/>
      <c r="H257" s="75"/>
      <c r="I257" s="75"/>
      <c r="J257" s="75"/>
      <c r="K257" s="309"/>
      <c r="L257" s="309"/>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155"/>
      <c r="BB257" s="130"/>
      <c r="BC257" s="130"/>
      <c r="BD257" s="130"/>
      <c r="BE257" s="130"/>
      <c r="BF257" s="130"/>
      <c r="BG257" s="130"/>
      <c r="BH257" s="130"/>
      <c r="BI257" s="130"/>
      <c r="BJ257" s="130"/>
      <c r="BK257" s="130"/>
      <c r="BL257" s="130"/>
      <c r="BM257" s="130"/>
      <c r="BN257" s="130"/>
      <c r="BO257" s="130"/>
      <c r="BP257" s="130"/>
      <c r="BQ257" s="130"/>
      <c r="BR257" s="130"/>
      <c r="BS257" s="130"/>
      <c r="BT257" s="130"/>
    </row>
    <row r="258" spans="1:72" ht="15.75" customHeight="1">
      <c r="A258" s="560" t="s">
        <v>1284</v>
      </c>
      <c r="B258" s="93" t="s">
        <v>1285</v>
      </c>
      <c r="C258" s="556">
        <v>1</v>
      </c>
      <c r="D258" s="510"/>
      <c r="E258" s="85"/>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83"/>
      <c r="AZ258" s="83"/>
      <c r="BA258" s="83"/>
      <c r="BB258" s="130"/>
      <c r="BC258" s="130"/>
      <c r="BD258" s="130"/>
      <c r="BE258" s="130"/>
      <c r="BF258" s="130"/>
      <c r="BG258" s="130"/>
      <c r="BH258" s="130"/>
      <c r="BI258" s="130"/>
      <c r="BJ258" s="130"/>
      <c r="BK258" s="130"/>
      <c r="BL258" s="130"/>
      <c r="BM258" s="130"/>
      <c r="BN258" s="130"/>
      <c r="BO258" s="130"/>
      <c r="BP258" s="130"/>
      <c r="BQ258" s="130"/>
      <c r="BR258" s="130"/>
      <c r="BS258" s="130"/>
      <c r="BT258" s="130"/>
    </row>
    <row r="259" spans="1:72" ht="15.75" customHeight="1">
      <c r="A259" s="525"/>
      <c r="B259" s="77" t="s">
        <v>307</v>
      </c>
      <c r="C259" s="74"/>
      <c r="D259" s="75"/>
      <c r="E259" s="75"/>
      <c r="F259" s="75"/>
      <c r="G259" s="75"/>
      <c r="H259" s="75"/>
      <c r="I259" s="75"/>
      <c r="J259" s="75"/>
      <c r="K259" s="309"/>
      <c r="L259" s="309"/>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155"/>
      <c r="BB259" s="130"/>
      <c r="BC259" s="130"/>
      <c r="BD259" s="130"/>
      <c r="BE259" s="130"/>
      <c r="BF259" s="130"/>
      <c r="BG259" s="130"/>
      <c r="BH259" s="130"/>
      <c r="BI259" s="130"/>
      <c r="BJ259" s="130"/>
      <c r="BK259" s="130"/>
      <c r="BL259" s="130"/>
      <c r="BM259" s="130"/>
      <c r="BN259" s="130"/>
      <c r="BO259" s="130"/>
      <c r="BP259" s="130"/>
      <c r="BQ259" s="130"/>
      <c r="BR259" s="130"/>
      <c r="BS259" s="130"/>
      <c r="BT259" s="130"/>
    </row>
    <row r="260" spans="1:72" ht="15.75" customHeight="1">
      <c r="A260" s="560" t="s">
        <v>1286</v>
      </c>
      <c r="B260" s="316" t="s">
        <v>1287</v>
      </c>
      <c r="C260" s="699"/>
      <c r="D260" s="510"/>
      <c r="E260" s="85"/>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83"/>
      <c r="AZ260" s="83"/>
      <c r="BA260" s="83"/>
      <c r="BB260" s="130"/>
      <c r="BC260" s="130"/>
      <c r="BD260" s="130"/>
      <c r="BE260" s="130"/>
      <c r="BF260" s="130"/>
      <c r="BG260" s="130"/>
      <c r="BH260" s="130"/>
      <c r="BI260" s="130"/>
      <c r="BJ260" s="130"/>
      <c r="BK260" s="130"/>
      <c r="BL260" s="130"/>
      <c r="BM260" s="130"/>
      <c r="BN260" s="130"/>
      <c r="BO260" s="130"/>
      <c r="BP260" s="130"/>
      <c r="BQ260" s="130"/>
      <c r="BR260" s="130"/>
      <c r="BS260" s="130"/>
      <c r="BT260" s="130"/>
    </row>
    <row r="261" spans="1:72" ht="15.75" customHeight="1">
      <c r="A261" s="524"/>
      <c r="B261" s="93" t="s">
        <v>1288</v>
      </c>
      <c r="C261" s="556">
        <v>1</v>
      </c>
      <c r="D261" s="510"/>
      <c r="E261" s="87"/>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83"/>
      <c r="AZ261" s="83"/>
      <c r="BA261" s="83"/>
      <c r="BB261" s="130"/>
      <c r="BC261" s="130"/>
      <c r="BD261" s="130"/>
      <c r="BE261" s="130"/>
      <c r="BF261" s="130"/>
      <c r="BG261" s="130"/>
      <c r="BH261" s="130"/>
      <c r="BI261" s="130"/>
      <c r="BJ261" s="130"/>
      <c r="BK261" s="130"/>
      <c r="BL261" s="130"/>
      <c r="BM261" s="130"/>
      <c r="BN261" s="130"/>
      <c r="BO261" s="130"/>
      <c r="BP261" s="130"/>
      <c r="BQ261" s="130"/>
      <c r="BR261" s="130"/>
      <c r="BS261" s="130"/>
      <c r="BT261" s="130"/>
    </row>
    <row r="262" spans="1:72" ht="15.75" customHeight="1">
      <c r="A262" s="524"/>
      <c r="B262" s="93" t="s">
        <v>1289</v>
      </c>
      <c r="C262" s="556"/>
      <c r="D262" s="510"/>
      <c r="E262" s="87"/>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83"/>
      <c r="AZ262" s="83"/>
      <c r="BA262" s="83"/>
      <c r="BB262" s="130"/>
      <c r="BC262" s="130"/>
      <c r="BD262" s="130"/>
      <c r="BE262" s="130"/>
      <c r="BF262" s="130"/>
      <c r="BG262" s="130"/>
      <c r="BH262" s="130"/>
      <c r="BI262" s="130"/>
      <c r="BJ262" s="130"/>
      <c r="BK262" s="130"/>
      <c r="BL262" s="130"/>
      <c r="BM262" s="130"/>
      <c r="BN262" s="130"/>
      <c r="BO262" s="130"/>
      <c r="BP262" s="130"/>
      <c r="BQ262" s="130"/>
      <c r="BR262" s="130"/>
      <c r="BS262" s="130"/>
      <c r="BT262" s="130"/>
    </row>
    <row r="263" spans="1:72" ht="15.75" customHeight="1">
      <c r="A263" s="525"/>
      <c r="B263" s="77" t="s">
        <v>307</v>
      </c>
      <c r="C263" s="74"/>
      <c r="D263" s="75"/>
      <c r="E263" s="75"/>
      <c r="F263" s="75"/>
      <c r="G263" s="75"/>
      <c r="H263" s="75"/>
      <c r="I263" s="75"/>
      <c r="J263" s="75"/>
      <c r="K263" s="309"/>
      <c r="L263" s="309"/>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155"/>
      <c r="BB263" s="130"/>
      <c r="BC263" s="130"/>
      <c r="BD263" s="130"/>
      <c r="BE263" s="130"/>
      <c r="BF263" s="130"/>
      <c r="BG263" s="130"/>
      <c r="BH263" s="130"/>
      <c r="BI263" s="130"/>
      <c r="BJ263" s="130"/>
      <c r="BK263" s="130"/>
      <c r="BL263" s="130"/>
      <c r="BM263" s="130"/>
      <c r="BN263" s="130"/>
      <c r="BO263" s="130"/>
      <c r="BP263" s="130"/>
      <c r="BQ263" s="130"/>
      <c r="BR263" s="130"/>
      <c r="BS263" s="130"/>
      <c r="BT263" s="130"/>
    </row>
    <row r="264" spans="1:72" ht="15.75" customHeight="1">
      <c r="A264" s="560" t="s">
        <v>1290</v>
      </c>
      <c r="B264" s="316" t="s">
        <v>1291</v>
      </c>
      <c r="C264" s="701"/>
      <c r="D264" s="510"/>
      <c r="E264" s="85"/>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83"/>
      <c r="AZ264" s="83"/>
      <c r="BA264" s="83"/>
      <c r="BB264" s="130"/>
      <c r="BC264" s="130"/>
      <c r="BD264" s="130"/>
      <c r="BE264" s="130"/>
      <c r="BF264" s="130"/>
      <c r="BG264" s="130"/>
      <c r="BH264" s="130"/>
      <c r="BI264" s="130"/>
      <c r="BJ264" s="130"/>
      <c r="BK264" s="130"/>
      <c r="BL264" s="130"/>
      <c r="BM264" s="130"/>
      <c r="BN264" s="130"/>
      <c r="BO264" s="130"/>
      <c r="BP264" s="130"/>
      <c r="BQ264" s="130"/>
      <c r="BR264" s="130"/>
      <c r="BS264" s="130"/>
      <c r="BT264" s="130"/>
    </row>
    <row r="265" spans="1:72" ht="15.75" customHeight="1">
      <c r="A265" s="524"/>
      <c r="B265" s="93" t="s">
        <v>1292</v>
      </c>
      <c r="C265" s="556"/>
      <c r="D265" s="510"/>
      <c r="E265" s="85"/>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130"/>
      <c r="BC265" s="130"/>
      <c r="BD265" s="130"/>
      <c r="BE265" s="130"/>
      <c r="BF265" s="130"/>
      <c r="BG265" s="130"/>
      <c r="BH265" s="130"/>
      <c r="BI265" s="130"/>
      <c r="BJ265" s="130"/>
      <c r="BK265" s="130"/>
      <c r="BL265" s="130"/>
      <c r="BM265" s="130"/>
      <c r="BN265" s="130"/>
      <c r="BO265" s="130"/>
      <c r="BP265" s="130"/>
      <c r="BQ265" s="130"/>
      <c r="BR265" s="130"/>
      <c r="BS265" s="130"/>
      <c r="BT265" s="130"/>
    </row>
    <row r="266" spans="1:72" ht="15.75" customHeight="1">
      <c r="A266" s="524"/>
      <c r="B266" s="86" t="s">
        <v>1293</v>
      </c>
      <c r="C266" s="556">
        <v>1</v>
      </c>
      <c r="D266" s="510"/>
      <c r="E266" s="85"/>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130"/>
      <c r="BC266" s="130"/>
      <c r="BD266" s="130"/>
      <c r="BE266" s="130"/>
      <c r="BF266" s="130"/>
      <c r="BG266" s="130"/>
      <c r="BH266" s="130"/>
      <c r="BI266" s="130"/>
      <c r="BJ266" s="130"/>
      <c r="BK266" s="130"/>
      <c r="BL266" s="130"/>
      <c r="BM266" s="130"/>
      <c r="BN266" s="130"/>
      <c r="BO266" s="130"/>
      <c r="BP266" s="130"/>
      <c r="BQ266" s="130"/>
      <c r="BR266" s="130"/>
      <c r="BS266" s="130"/>
      <c r="BT266" s="130"/>
    </row>
    <row r="267" spans="1:72" ht="15.75" customHeight="1">
      <c r="A267" s="524"/>
      <c r="B267" s="86" t="s">
        <v>1294</v>
      </c>
      <c r="C267" s="556">
        <v>1</v>
      </c>
      <c r="D267" s="510"/>
      <c r="E267" s="85"/>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83"/>
      <c r="AZ267" s="83"/>
      <c r="BA267" s="83"/>
      <c r="BB267" s="130"/>
      <c r="BC267" s="130"/>
      <c r="BD267" s="130"/>
      <c r="BE267" s="130"/>
      <c r="BF267" s="130"/>
      <c r="BG267" s="130"/>
      <c r="BH267" s="130"/>
      <c r="BI267" s="130"/>
      <c r="BJ267" s="130"/>
      <c r="BK267" s="130"/>
      <c r="BL267" s="130"/>
      <c r="BM267" s="130"/>
      <c r="BN267" s="130"/>
      <c r="BO267" s="130"/>
      <c r="BP267" s="130"/>
      <c r="BQ267" s="130"/>
      <c r="BR267" s="130"/>
      <c r="BS267" s="130"/>
      <c r="BT267" s="130"/>
    </row>
    <row r="268" spans="1:72" ht="15.75" customHeight="1">
      <c r="A268" s="524"/>
      <c r="B268" s="86" t="s">
        <v>1295</v>
      </c>
      <c r="C268" s="556"/>
      <c r="D268" s="510"/>
      <c r="E268" s="85"/>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83"/>
      <c r="AZ268" s="83"/>
      <c r="BA268" s="83"/>
      <c r="BB268" s="130"/>
      <c r="BC268" s="130"/>
      <c r="BD268" s="130"/>
      <c r="BE268" s="130"/>
      <c r="BF268" s="130"/>
      <c r="BG268" s="130"/>
      <c r="BH268" s="130"/>
      <c r="BI268" s="130"/>
      <c r="BJ268" s="130"/>
      <c r="BK268" s="130"/>
      <c r="BL268" s="130"/>
      <c r="BM268" s="130"/>
      <c r="BN268" s="130"/>
      <c r="BO268" s="130"/>
      <c r="BP268" s="130"/>
      <c r="BQ268" s="130"/>
      <c r="BR268" s="130"/>
      <c r="BS268" s="130"/>
      <c r="BT268" s="130"/>
    </row>
    <row r="269" spans="1:72" ht="15.75" customHeight="1">
      <c r="A269" s="524"/>
      <c r="B269" s="86" t="s">
        <v>1260</v>
      </c>
      <c r="C269" s="556"/>
      <c r="D269" s="510"/>
      <c r="E269" s="79"/>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c r="AW269" s="80"/>
      <c r="AX269" s="80"/>
      <c r="AY269" s="80"/>
      <c r="AZ269" s="80"/>
      <c r="BA269" s="156"/>
      <c r="BB269" s="130"/>
      <c r="BC269" s="130"/>
      <c r="BD269" s="130"/>
      <c r="BE269" s="130"/>
      <c r="BF269" s="130"/>
      <c r="BG269" s="130"/>
      <c r="BH269" s="130"/>
      <c r="BI269" s="130"/>
      <c r="BJ269" s="130"/>
      <c r="BK269" s="130"/>
      <c r="BL269" s="130"/>
      <c r="BM269" s="130"/>
      <c r="BN269" s="130"/>
      <c r="BO269" s="130"/>
      <c r="BP269" s="130"/>
      <c r="BQ269" s="130"/>
      <c r="BR269" s="130"/>
      <c r="BS269" s="130"/>
      <c r="BT269" s="130"/>
    </row>
    <row r="270" spans="1:72" ht="15.75" customHeight="1">
      <c r="A270" s="525"/>
      <c r="B270" s="77" t="s">
        <v>307</v>
      </c>
      <c r="C270" s="74"/>
      <c r="D270" s="75"/>
      <c r="E270" s="75"/>
      <c r="F270" s="75"/>
      <c r="G270" s="75"/>
      <c r="H270" s="75"/>
      <c r="I270" s="75"/>
      <c r="J270" s="75"/>
      <c r="K270" s="309"/>
      <c r="L270" s="309"/>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155"/>
      <c r="BB270" s="130"/>
      <c r="BC270" s="130"/>
      <c r="BD270" s="130"/>
      <c r="BE270" s="130"/>
      <c r="BF270" s="130"/>
      <c r="BG270" s="130"/>
      <c r="BH270" s="130"/>
      <c r="BI270" s="130"/>
      <c r="BJ270" s="130"/>
      <c r="BK270" s="130"/>
      <c r="BL270" s="130"/>
      <c r="BM270" s="130"/>
      <c r="BN270" s="130"/>
      <c r="BO270" s="130"/>
      <c r="BP270" s="130"/>
      <c r="BQ270" s="130"/>
      <c r="BR270" s="130"/>
      <c r="BS270" s="130"/>
      <c r="BT270" s="130"/>
    </row>
    <row r="271" spans="1:72" ht="15.75" customHeight="1">
      <c r="A271" s="560" t="s">
        <v>1296</v>
      </c>
      <c r="B271" s="93" t="s">
        <v>1297</v>
      </c>
      <c r="C271" s="556">
        <v>1</v>
      </c>
      <c r="D271" s="510"/>
      <c r="E271" s="72"/>
      <c r="F271" s="83"/>
      <c r="G271" s="72"/>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130"/>
      <c r="BC271" s="130"/>
      <c r="BD271" s="130"/>
      <c r="BE271" s="130"/>
      <c r="BF271" s="130"/>
      <c r="BG271" s="130"/>
      <c r="BH271" s="130"/>
      <c r="BI271" s="130"/>
      <c r="BJ271" s="130"/>
      <c r="BK271" s="130"/>
      <c r="BL271" s="130"/>
      <c r="BM271" s="130"/>
      <c r="BN271" s="130"/>
      <c r="BO271" s="130"/>
      <c r="BP271" s="130"/>
      <c r="BQ271" s="130"/>
      <c r="BR271" s="130"/>
      <c r="BS271" s="130"/>
      <c r="BT271" s="130"/>
    </row>
    <row r="272" spans="1:72" ht="15.75" customHeight="1">
      <c r="A272" s="525"/>
      <c r="B272" s="77" t="s">
        <v>307</v>
      </c>
      <c r="C272" s="74" t="s">
        <v>1298</v>
      </c>
      <c r="D272" s="75"/>
      <c r="E272" s="75"/>
      <c r="F272" s="75"/>
      <c r="G272" s="75"/>
      <c r="H272" s="75"/>
      <c r="I272" s="75"/>
      <c r="J272" s="75"/>
      <c r="K272" s="309"/>
      <c r="L272" s="309"/>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155"/>
      <c r="BB272" s="130"/>
      <c r="BC272" s="130"/>
      <c r="BD272" s="130"/>
      <c r="BE272" s="130"/>
      <c r="BF272" s="130"/>
      <c r="BG272" s="130"/>
      <c r="BH272" s="130"/>
      <c r="BI272" s="130"/>
      <c r="BJ272" s="130"/>
      <c r="BK272" s="130"/>
      <c r="BL272" s="130"/>
      <c r="BM272" s="130"/>
      <c r="BN272" s="130"/>
      <c r="BO272" s="130"/>
      <c r="BP272" s="130"/>
      <c r="BQ272" s="130"/>
      <c r="BR272" s="130"/>
      <c r="BS272" s="130"/>
      <c r="BT272" s="130"/>
    </row>
    <row r="273" spans="1:72" ht="15.75" customHeight="1">
      <c r="A273" s="702" t="s">
        <v>1299</v>
      </c>
      <c r="B273" s="93" t="s">
        <v>1300</v>
      </c>
      <c r="C273" s="556">
        <v>1</v>
      </c>
      <c r="D273" s="510"/>
      <c r="E273" s="72"/>
      <c r="F273" s="83"/>
      <c r="G273" s="72"/>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83"/>
      <c r="AZ273" s="83"/>
      <c r="BA273" s="83"/>
      <c r="BB273" s="130"/>
      <c r="BC273" s="130"/>
      <c r="BD273" s="130"/>
      <c r="BE273" s="130"/>
      <c r="BF273" s="130"/>
      <c r="BG273" s="130"/>
      <c r="BH273" s="130"/>
      <c r="BI273" s="130"/>
      <c r="BJ273" s="130"/>
      <c r="BK273" s="130"/>
      <c r="BL273" s="130"/>
      <c r="BM273" s="130"/>
      <c r="BN273" s="130"/>
      <c r="BO273" s="130"/>
      <c r="BP273" s="130"/>
      <c r="BQ273" s="130"/>
      <c r="BR273" s="130"/>
      <c r="BS273" s="130"/>
      <c r="BT273" s="130"/>
    </row>
    <row r="274" spans="1:72" ht="15.75" customHeight="1">
      <c r="A274" s="525"/>
      <c r="B274" s="77" t="s">
        <v>307</v>
      </c>
      <c r="C274" s="74"/>
      <c r="D274" s="75"/>
      <c r="E274" s="75"/>
      <c r="F274" s="75"/>
      <c r="G274" s="75"/>
      <c r="H274" s="75"/>
      <c r="I274" s="75"/>
      <c r="J274" s="75"/>
      <c r="K274" s="309"/>
      <c r="L274" s="309"/>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155"/>
      <c r="BB274" s="130"/>
      <c r="BC274" s="130"/>
      <c r="BD274" s="130"/>
      <c r="BE274" s="130"/>
      <c r="BF274" s="130"/>
      <c r="BG274" s="130"/>
      <c r="BH274" s="130"/>
      <c r="BI274" s="130"/>
      <c r="BJ274" s="130"/>
      <c r="BK274" s="130"/>
      <c r="BL274" s="130"/>
      <c r="BM274" s="130"/>
      <c r="BN274" s="130"/>
      <c r="BO274" s="130"/>
      <c r="BP274" s="130"/>
      <c r="BQ274" s="130"/>
      <c r="BR274" s="130"/>
      <c r="BS274" s="130"/>
      <c r="BT274" s="130"/>
    </row>
    <row r="275" spans="1:72" ht="15.75" customHeight="1">
      <c r="A275" s="560" t="s">
        <v>1301</v>
      </c>
      <c r="B275" s="93" t="s">
        <v>1302</v>
      </c>
      <c r="C275" s="556">
        <v>0</v>
      </c>
      <c r="D275" s="510"/>
      <c r="E275" s="72"/>
      <c r="F275" s="83"/>
      <c r="G275" s="72"/>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83"/>
      <c r="AZ275" s="83"/>
      <c r="BA275" s="83"/>
      <c r="BB275" s="130"/>
      <c r="BC275" s="130"/>
      <c r="BD275" s="130"/>
      <c r="BE275" s="130"/>
      <c r="BF275" s="130"/>
      <c r="BG275" s="130"/>
      <c r="BH275" s="130"/>
      <c r="BI275" s="130"/>
      <c r="BJ275" s="130"/>
      <c r="BK275" s="130"/>
      <c r="BL275" s="130"/>
      <c r="BM275" s="130"/>
      <c r="BN275" s="130"/>
      <c r="BO275" s="130"/>
      <c r="BP275" s="130"/>
      <c r="BQ275" s="130"/>
      <c r="BR275" s="130"/>
      <c r="BS275" s="130"/>
      <c r="BT275" s="130"/>
    </row>
    <row r="276" spans="1:72" ht="15.75" customHeight="1">
      <c r="A276" s="525"/>
      <c r="B276" s="77" t="s">
        <v>307</v>
      </c>
      <c r="C276" s="74"/>
      <c r="D276" s="75"/>
      <c r="E276" s="75"/>
      <c r="F276" s="75"/>
      <c r="G276" s="75"/>
      <c r="H276" s="75"/>
      <c r="I276" s="75"/>
      <c r="J276" s="75"/>
      <c r="K276" s="309"/>
      <c r="L276" s="309"/>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155"/>
      <c r="BB276" s="130"/>
      <c r="BC276" s="130"/>
      <c r="BD276" s="130"/>
      <c r="BE276" s="130"/>
      <c r="BF276" s="130"/>
      <c r="BG276" s="130"/>
      <c r="BH276" s="130"/>
      <c r="BI276" s="130"/>
      <c r="BJ276" s="130"/>
      <c r="BK276" s="130"/>
      <c r="BL276" s="130"/>
      <c r="BM276" s="130"/>
      <c r="BN276" s="130"/>
      <c r="BO276" s="130"/>
      <c r="BP276" s="130"/>
      <c r="BQ276" s="130"/>
      <c r="BR276" s="130"/>
      <c r="BS276" s="130"/>
      <c r="BT276" s="130"/>
    </row>
    <row r="277" spans="1:72" ht="15.75" customHeight="1">
      <c r="A277" s="560" t="s">
        <v>1303</v>
      </c>
      <c r="B277" s="86" t="s">
        <v>1304</v>
      </c>
      <c r="C277" s="556">
        <v>1</v>
      </c>
      <c r="D277" s="510"/>
      <c r="E277" s="79"/>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c r="AK277" s="80"/>
      <c r="AL277" s="80"/>
      <c r="AM277" s="80"/>
      <c r="AN277" s="80"/>
      <c r="AO277" s="80"/>
      <c r="AP277" s="80"/>
      <c r="AQ277" s="80"/>
      <c r="AR277" s="80"/>
      <c r="AS277" s="80"/>
      <c r="AT277" s="80"/>
      <c r="AU277" s="80"/>
      <c r="AV277" s="80"/>
      <c r="AW277" s="80"/>
      <c r="AX277" s="80"/>
      <c r="AY277" s="80"/>
      <c r="AZ277" s="80"/>
      <c r="BA277" s="156"/>
      <c r="BB277" s="130"/>
      <c r="BC277" s="130"/>
      <c r="BD277" s="130"/>
      <c r="BE277" s="130"/>
      <c r="BF277" s="130"/>
      <c r="BG277" s="130"/>
      <c r="BH277" s="130"/>
      <c r="BI277" s="130"/>
      <c r="BJ277" s="130"/>
      <c r="BK277" s="130"/>
      <c r="BL277" s="130"/>
      <c r="BM277" s="130"/>
      <c r="BN277" s="130"/>
      <c r="BO277" s="130"/>
      <c r="BP277" s="130"/>
      <c r="BQ277" s="130"/>
      <c r="BR277" s="130"/>
      <c r="BS277" s="130"/>
      <c r="BT277" s="130"/>
    </row>
    <row r="278" spans="1:72" ht="15.75" customHeight="1">
      <c r="A278" s="525"/>
      <c r="B278" s="77" t="s">
        <v>307</v>
      </c>
      <c r="C278" s="74"/>
      <c r="D278" s="75"/>
      <c r="E278" s="75"/>
      <c r="F278" s="75"/>
      <c r="G278" s="75"/>
      <c r="H278" s="75"/>
      <c r="I278" s="75"/>
      <c r="J278" s="75"/>
      <c r="K278" s="309"/>
      <c r="L278" s="309"/>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155"/>
      <c r="BB278" s="130"/>
      <c r="BC278" s="130"/>
      <c r="BD278" s="130"/>
      <c r="BE278" s="130"/>
      <c r="BF278" s="130"/>
      <c r="BG278" s="130"/>
      <c r="BH278" s="130"/>
      <c r="BI278" s="130"/>
      <c r="BJ278" s="130"/>
      <c r="BK278" s="130"/>
      <c r="BL278" s="130"/>
      <c r="BM278" s="130"/>
      <c r="BN278" s="130"/>
      <c r="BO278" s="130"/>
      <c r="BP278" s="130"/>
      <c r="BQ278" s="130"/>
      <c r="BR278" s="130"/>
      <c r="BS278" s="130"/>
      <c r="BT278" s="130"/>
    </row>
    <row r="279" spans="1:72" ht="15" customHeight="1">
      <c r="A279" s="575">
        <v>13</v>
      </c>
      <c r="B279" s="696" t="s">
        <v>1305</v>
      </c>
      <c r="C279" s="576" t="s">
        <v>299</v>
      </c>
      <c r="D279" s="510"/>
      <c r="E279" s="85"/>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c r="AZ279" s="83"/>
      <c r="BA279" s="83"/>
      <c r="BB279" s="130"/>
      <c r="BC279" s="130"/>
      <c r="BD279" s="130"/>
      <c r="BE279" s="130"/>
      <c r="BF279" s="130"/>
      <c r="BG279" s="130"/>
      <c r="BH279" s="130"/>
      <c r="BI279" s="130"/>
      <c r="BJ279" s="130"/>
      <c r="BK279" s="130"/>
      <c r="BL279" s="130"/>
      <c r="BM279" s="130"/>
      <c r="BN279" s="130"/>
      <c r="BO279" s="130"/>
      <c r="BP279" s="130"/>
      <c r="BQ279" s="130"/>
      <c r="BR279" s="130"/>
      <c r="BS279" s="130"/>
      <c r="BT279" s="130"/>
    </row>
    <row r="280" spans="1:72" ht="15.75" customHeight="1">
      <c r="A280" s="525"/>
      <c r="B280" s="525"/>
      <c r="C280" s="329" t="s">
        <v>300</v>
      </c>
      <c r="D280" s="329" t="s">
        <v>301</v>
      </c>
      <c r="E280" s="85"/>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130"/>
      <c r="BC280" s="130"/>
      <c r="BD280" s="130"/>
      <c r="BE280" s="130"/>
      <c r="BF280" s="130"/>
      <c r="BG280" s="130"/>
      <c r="BH280" s="130"/>
      <c r="BI280" s="130"/>
      <c r="BJ280" s="130"/>
      <c r="BK280" s="130"/>
      <c r="BL280" s="130"/>
      <c r="BM280" s="130"/>
      <c r="BN280" s="130"/>
      <c r="BO280" s="130"/>
      <c r="BP280" s="130"/>
      <c r="BQ280" s="130"/>
      <c r="BR280" s="130"/>
      <c r="BS280" s="130"/>
      <c r="BT280" s="130"/>
    </row>
    <row r="281" spans="1:72" ht="15.75" customHeight="1">
      <c r="A281" s="560" t="s">
        <v>1306</v>
      </c>
      <c r="B281" s="86" t="s">
        <v>1307</v>
      </c>
      <c r="C281" s="556">
        <v>0</v>
      </c>
      <c r="D281" s="510"/>
      <c r="E281" s="87"/>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83"/>
      <c r="AZ281" s="83"/>
      <c r="BA281" s="83"/>
      <c r="BB281" s="130"/>
      <c r="BC281" s="130"/>
      <c r="BD281" s="130"/>
      <c r="BE281" s="130"/>
      <c r="BF281" s="130"/>
      <c r="BG281" s="130"/>
      <c r="BH281" s="130"/>
      <c r="BI281" s="130"/>
      <c r="BJ281" s="130"/>
      <c r="BK281" s="130"/>
      <c r="BL281" s="130"/>
      <c r="BM281" s="130"/>
      <c r="BN281" s="130"/>
      <c r="BO281" s="130"/>
      <c r="BP281" s="130"/>
      <c r="BQ281" s="130"/>
      <c r="BR281" s="130"/>
      <c r="BS281" s="130"/>
      <c r="BT281" s="130"/>
    </row>
    <row r="282" spans="1:72" ht="15.75" customHeight="1">
      <c r="A282" s="525"/>
      <c r="B282" s="77" t="s">
        <v>307</v>
      </c>
      <c r="C282" s="74"/>
      <c r="D282" s="75"/>
      <c r="E282" s="75"/>
      <c r="F282" s="75"/>
      <c r="G282" s="75"/>
      <c r="H282" s="75"/>
      <c r="I282" s="75"/>
      <c r="J282" s="75"/>
      <c r="K282" s="309"/>
      <c r="L282" s="309"/>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155"/>
      <c r="BB282" s="130"/>
      <c r="BC282" s="130"/>
      <c r="BD282" s="130"/>
      <c r="BE282" s="130"/>
      <c r="BF282" s="130"/>
      <c r="BG282" s="130"/>
      <c r="BH282" s="130"/>
      <c r="BI282" s="130"/>
      <c r="BJ282" s="130"/>
      <c r="BK282" s="130"/>
      <c r="BL282" s="130"/>
      <c r="BM282" s="130"/>
      <c r="BN282" s="130"/>
      <c r="BO282" s="130"/>
      <c r="BP282" s="130"/>
      <c r="BQ282" s="130"/>
      <c r="BR282" s="130"/>
      <c r="BS282" s="130"/>
      <c r="BT282" s="130"/>
    </row>
    <row r="283" spans="1:72" ht="15.75" customHeight="1">
      <c r="A283" s="560" t="s">
        <v>1308</v>
      </c>
      <c r="B283" s="86" t="s">
        <v>1309</v>
      </c>
      <c r="C283" s="556">
        <v>0</v>
      </c>
      <c r="D283" s="510"/>
      <c r="E283" s="79"/>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c r="AD283" s="103"/>
      <c r="AE283" s="103"/>
      <c r="AF283" s="103"/>
      <c r="AG283" s="103"/>
      <c r="AH283" s="103"/>
      <c r="AI283" s="103"/>
      <c r="AJ283" s="103"/>
      <c r="AK283" s="103"/>
      <c r="AL283" s="103"/>
      <c r="AM283" s="103"/>
      <c r="AN283" s="103"/>
      <c r="AO283" s="103"/>
      <c r="AP283" s="103"/>
      <c r="AQ283" s="103"/>
      <c r="AR283" s="103"/>
      <c r="AS283" s="103"/>
      <c r="AT283" s="103"/>
      <c r="AU283" s="103"/>
      <c r="AV283" s="103"/>
      <c r="AW283" s="103"/>
      <c r="AX283" s="103"/>
      <c r="AY283" s="103"/>
      <c r="AZ283" s="103"/>
      <c r="BA283" s="175"/>
      <c r="BB283" s="130"/>
      <c r="BC283" s="130"/>
      <c r="BD283" s="130"/>
      <c r="BE283" s="130"/>
      <c r="BF283" s="130"/>
      <c r="BG283" s="130"/>
      <c r="BH283" s="130"/>
      <c r="BI283" s="130"/>
      <c r="BJ283" s="130"/>
      <c r="BK283" s="130"/>
      <c r="BL283" s="130"/>
      <c r="BM283" s="130"/>
      <c r="BN283" s="130"/>
      <c r="BO283" s="130"/>
      <c r="BP283" s="130"/>
      <c r="BQ283" s="130"/>
      <c r="BR283" s="130"/>
      <c r="BS283" s="130"/>
      <c r="BT283" s="130"/>
    </row>
    <row r="284" spans="1:72" ht="15.75" customHeight="1">
      <c r="A284" s="525"/>
      <c r="B284" s="77" t="s">
        <v>307</v>
      </c>
      <c r="C284" s="74"/>
      <c r="D284" s="75"/>
      <c r="E284" s="75"/>
      <c r="F284" s="75"/>
      <c r="G284" s="75"/>
      <c r="H284" s="75"/>
      <c r="I284" s="75"/>
      <c r="J284" s="75"/>
      <c r="K284" s="309"/>
      <c r="L284" s="309"/>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155"/>
      <c r="BB284" s="130"/>
      <c r="BC284" s="130"/>
      <c r="BD284" s="130"/>
      <c r="BE284" s="130"/>
      <c r="BF284" s="130"/>
      <c r="BG284" s="130"/>
      <c r="BH284" s="130"/>
      <c r="BI284" s="130"/>
      <c r="BJ284" s="130"/>
      <c r="BK284" s="130"/>
      <c r="BL284" s="130"/>
      <c r="BM284" s="130"/>
      <c r="BN284" s="130"/>
      <c r="BO284" s="130"/>
      <c r="BP284" s="130"/>
      <c r="BQ284" s="130"/>
      <c r="BR284" s="130"/>
      <c r="BS284" s="130"/>
      <c r="BT284" s="130"/>
    </row>
    <row r="285" spans="1:72" ht="15.75" customHeight="1">
      <c r="A285" s="560" t="s">
        <v>1310</v>
      </c>
      <c r="B285" s="86" t="s">
        <v>1311</v>
      </c>
      <c r="C285" s="556">
        <v>0</v>
      </c>
      <c r="D285" s="510"/>
      <c r="E285" s="87"/>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130"/>
      <c r="BC285" s="130"/>
      <c r="BD285" s="130"/>
      <c r="BE285" s="130"/>
      <c r="BF285" s="130"/>
      <c r="BG285" s="130"/>
      <c r="BH285" s="130"/>
      <c r="BI285" s="130"/>
      <c r="BJ285" s="130"/>
      <c r="BK285" s="130"/>
      <c r="BL285" s="130"/>
      <c r="BM285" s="130"/>
      <c r="BN285" s="130"/>
      <c r="BO285" s="130"/>
      <c r="BP285" s="130"/>
      <c r="BQ285" s="130"/>
      <c r="BR285" s="130"/>
      <c r="BS285" s="130"/>
      <c r="BT285" s="130"/>
    </row>
    <row r="286" spans="1:72" ht="15.75" customHeight="1">
      <c r="A286" s="525"/>
      <c r="B286" s="77" t="s">
        <v>307</v>
      </c>
      <c r="C286" s="74"/>
      <c r="D286" s="75"/>
      <c r="E286" s="75"/>
      <c r="F286" s="75"/>
      <c r="G286" s="75"/>
      <c r="H286" s="75"/>
      <c r="I286" s="75"/>
      <c r="J286" s="75"/>
      <c r="K286" s="309"/>
      <c r="L286" s="309"/>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155"/>
      <c r="BB286" s="130"/>
      <c r="BC286" s="130"/>
      <c r="BD286" s="130"/>
      <c r="BE286" s="130"/>
      <c r="BF286" s="130"/>
      <c r="BG286" s="130"/>
      <c r="BH286" s="130"/>
      <c r="BI286" s="130"/>
      <c r="BJ286" s="130"/>
      <c r="BK286" s="130"/>
      <c r="BL286" s="130"/>
      <c r="BM286" s="130"/>
      <c r="BN286" s="130"/>
      <c r="BO286" s="130"/>
      <c r="BP286" s="130"/>
      <c r="BQ286" s="130"/>
      <c r="BR286" s="130"/>
      <c r="BS286" s="130"/>
      <c r="BT286" s="130"/>
    </row>
    <row r="287" spans="1:72" ht="15.75" customHeight="1">
      <c r="A287" s="560" t="s">
        <v>1312</v>
      </c>
      <c r="B287" s="86" t="s">
        <v>1313</v>
      </c>
      <c r="C287" s="556">
        <v>0</v>
      </c>
      <c r="D287" s="510"/>
      <c r="E287" s="79"/>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c r="AD287" s="103"/>
      <c r="AE287" s="103"/>
      <c r="AF287" s="103"/>
      <c r="AG287" s="103"/>
      <c r="AH287" s="103"/>
      <c r="AI287" s="103"/>
      <c r="AJ287" s="103"/>
      <c r="AK287" s="103"/>
      <c r="AL287" s="103"/>
      <c r="AM287" s="103"/>
      <c r="AN287" s="103"/>
      <c r="AO287" s="103"/>
      <c r="AP287" s="103"/>
      <c r="AQ287" s="103"/>
      <c r="AR287" s="103"/>
      <c r="AS287" s="103"/>
      <c r="AT287" s="103"/>
      <c r="AU287" s="103"/>
      <c r="AV287" s="103"/>
      <c r="AW287" s="103"/>
      <c r="AX287" s="103"/>
      <c r="AY287" s="103"/>
      <c r="AZ287" s="103"/>
      <c r="BA287" s="175"/>
      <c r="BB287" s="130"/>
      <c r="BC287" s="130"/>
      <c r="BD287" s="130"/>
      <c r="BE287" s="130"/>
      <c r="BF287" s="130"/>
      <c r="BG287" s="130"/>
      <c r="BH287" s="130"/>
      <c r="BI287" s="130"/>
      <c r="BJ287" s="130"/>
      <c r="BK287" s="130"/>
      <c r="BL287" s="130"/>
      <c r="BM287" s="130"/>
      <c r="BN287" s="130"/>
      <c r="BO287" s="130"/>
      <c r="BP287" s="130"/>
      <c r="BQ287" s="130"/>
      <c r="BR287" s="130"/>
      <c r="BS287" s="130"/>
      <c r="BT287" s="130"/>
    </row>
    <row r="288" spans="1:72" ht="15.75" customHeight="1">
      <c r="A288" s="525"/>
      <c r="B288" s="77" t="s">
        <v>307</v>
      </c>
      <c r="C288" s="74"/>
      <c r="D288" s="75"/>
      <c r="E288" s="75"/>
      <c r="F288" s="75"/>
      <c r="G288" s="75"/>
      <c r="H288" s="75"/>
      <c r="I288" s="75"/>
      <c r="J288" s="75"/>
      <c r="K288" s="309"/>
      <c r="L288" s="309"/>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155"/>
      <c r="BB288" s="130"/>
      <c r="BC288" s="130"/>
      <c r="BD288" s="130"/>
      <c r="BE288" s="130"/>
      <c r="BF288" s="130"/>
      <c r="BG288" s="130"/>
      <c r="BH288" s="130"/>
      <c r="BI288" s="130"/>
      <c r="BJ288" s="130"/>
      <c r="BK288" s="130"/>
      <c r="BL288" s="130"/>
      <c r="BM288" s="130"/>
      <c r="BN288" s="130"/>
      <c r="BO288" s="130"/>
      <c r="BP288" s="130"/>
      <c r="BQ288" s="130"/>
      <c r="BR288" s="130"/>
      <c r="BS288" s="130"/>
      <c r="BT288" s="130"/>
    </row>
    <row r="289" spans="1:72" ht="15" customHeight="1">
      <c r="A289" s="560" t="s">
        <v>1314</v>
      </c>
      <c r="B289" s="93" t="s">
        <v>1315</v>
      </c>
      <c r="C289" s="556" t="s">
        <v>1316</v>
      </c>
      <c r="D289" s="510"/>
      <c r="E289" s="556" t="s">
        <v>1317</v>
      </c>
      <c r="F289" s="510"/>
      <c r="G289" s="556" t="s">
        <v>1318</v>
      </c>
      <c r="H289" s="510"/>
      <c r="I289" s="556" t="s">
        <v>1319</v>
      </c>
      <c r="J289" s="510"/>
      <c r="K289" s="556" t="s">
        <v>1320</v>
      </c>
      <c r="L289" s="510"/>
      <c r="M289" s="556" t="s">
        <v>1321</v>
      </c>
      <c r="N289" s="510"/>
      <c r="O289" s="556" t="s">
        <v>1322</v>
      </c>
      <c r="P289" s="510"/>
      <c r="Q289" s="556" t="s">
        <v>1323</v>
      </c>
      <c r="R289" s="510"/>
      <c r="S289" s="556" t="s">
        <v>1324</v>
      </c>
      <c r="T289" s="510"/>
      <c r="U289" s="556" t="s">
        <v>1325</v>
      </c>
      <c r="V289" s="510"/>
      <c r="W289" s="332"/>
      <c r="X289" s="333"/>
      <c r="Y289" s="333"/>
      <c r="Z289" s="333"/>
      <c r="AA289" s="333"/>
      <c r="AB289" s="333"/>
      <c r="AC289" s="333"/>
      <c r="AD289" s="333"/>
      <c r="AE289" s="333"/>
      <c r="AF289" s="333"/>
      <c r="AG289" s="333"/>
      <c r="AH289" s="333"/>
      <c r="AI289" s="333"/>
      <c r="AJ289" s="333"/>
      <c r="AK289" s="333"/>
      <c r="AL289" s="333"/>
      <c r="AM289" s="333"/>
      <c r="AN289" s="333"/>
      <c r="AO289" s="333"/>
      <c r="AP289" s="333"/>
      <c r="AQ289" s="333"/>
      <c r="AR289" s="333"/>
      <c r="AS289" s="333"/>
      <c r="AT289" s="333"/>
      <c r="AU289" s="333"/>
      <c r="AV289" s="333"/>
      <c r="AW289" s="333"/>
      <c r="AX289" s="333"/>
      <c r="AY289" s="333"/>
      <c r="AZ289" s="333"/>
      <c r="BA289" s="333"/>
      <c r="BB289" s="130"/>
      <c r="BC289" s="130"/>
      <c r="BD289" s="130"/>
      <c r="BE289" s="130"/>
      <c r="BF289" s="130"/>
      <c r="BG289" s="130"/>
      <c r="BH289" s="130"/>
      <c r="BI289" s="130"/>
      <c r="BJ289" s="130"/>
      <c r="BK289" s="130"/>
      <c r="BL289" s="130"/>
      <c r="BM289" s="130"/>
      <c r="BN289" s="130"/>
      <c r="BO289" s="130"/>
      <c r="BP289" s="130"/>
      <c r="BQ289" s="130"/>
      <c r="BR289" s="130"/>
      <c r="BS289" s="130"/>
      <c r="BT289" s="130"/>
    </row>
    <row r="290" spans="1:72" ht="15.75" customHeight="1">
      <c r="A290" s="524"/>
      <c r="B290" s="93" t="s">
        <v>1326</v>
      </c>
      <c r="C290" s="555">
        <v>0</v>
      </c>
      <c r="D290" s="510"/>
      <c r="E290" s="555">
        <v>0</v>
      </c>
      <c r="F290" s="510"/>
      <c r="G290" s="555">
        <v>0</v>
      </c>
      <c r="H290" s="510"/>
      <c r="I290" s="555">
        <v>0</v>
      </c>
      <c r="J290" s="510"/>
      <c r="K290" s="555">
        <v>0</v>
      </c>
      <c r="L290" s="510"/>
      <c r="M290" s="555">
        <v>0</v>
      </c>
      <c r="N290" s="510"/>
      <c r="O290" s="555">
        <v>0</v>
      </c>
      <c r="P290" s="510"/>
      <c r="Q290" s="555">
        <v>0</v>
      </c>
      <c r="R290" s="510"/>
      <c r="S290" s="555">
        <v>0</v>
      </c>
      <c r="T290" s="510"/>
      <c r="U290" s="555">
        <v>0</v>
      </c>
      <c r="V290" s="510"/>
      <c r="W290" s="332"/>
      <c r="X290" s="333"/>
      <c r="Y290" s="333"/>
      <c r="Z290" s="333"/>
      <c r="AA290" s="333"/>
      <c r="AB290" s="333"/>
      <c r="AC290" s="333"/>
      <c r="AD290" s="333"/>
      <c r="AE290" s="333"/>
      <c r="AF290" s="333"/>
      <c r="AG290" s="333"/>
      <c r="AH290" s="333"/>
      <c r="AI290" s="333"/>
      <c r="AJ290" s="333"/>
      <c r="AK290" s="333"/>
      <c r="AL290" s="333"/>
      <c r="AM290" s="333"/>
      <c r="AN290" s="333"/>
      <c r="AO290" s="333"/>
      <c r="AP290" s="333"/>
      <c r="AQ290" s="333"/>
      <c r="AR290" s="333"/>
      <c r="AS290" s="333"/>
      <c r="AT290" s="333"/>
      <c r="AU290" s="333"/>
      <c r="AV290" s="333"/>
      <c r="AW290" s="333"/>
      <c r="AX290" s="333"/>
      <c r="AY290" s="333"/>
      <c r="AZ290" s="333"/>
      <c r="BA290" s="333"/>
      <c r="BB290" s="130"/>
      <c r="BC290" s="130"/>
      <c r="BD290" s="130"/>
      <c r="BE290" s="130"/>
      <c r="BF290" s="130"/>
      <c r="BG290" s="130"/>
      <c r="BH290" s="130"/>
      <c r="BI290" s="130"/>
      <c r="BJ290" s="130"/>
      <c r="BK290" s="130"/>
      <c r="BL290" s="130"/>
      <c r="BM290" s="130"/>
      <c r="BN290" s="130"/>
      <c r="BO290" s="130"/>
      <c r="BP290" s="130"/>
      <c r="BQ290" s="130"/>
      <c r="BR290" s="130"/>
      <c r="BS290" s="130"/>
      <c r="BT290" s="130"/>
    </row>
    <row r="291" spans="1:72" ht="15.75" customHeight="1">
      <c r="A291" s="525"/>
      <c r="B291" s="93" t="s">
        <v>1327</v>
      </c>
      <c r="C291" s="555">
        <v>0</v>
      </c>
      <c r="D291" s="510"/>
      <c r="E291" s="555">
        <v>0</v>
      </c>
      <c r="F291" s="510"/>
      <c r="G291" s="555">
        <v>0</v>
      </c>
      <c r="H291" s="510"/>
      <c r="I291" s="555">
        <v>0</v>
      </c>
      <c r="J291" s="510"/>
      <c r="K291" s="555">
        <v>0</v>
      </c>
      <c r="L291" s="510"/>
      <c r="M291" s="555">
        <v>0</v>
      </c>
      <c r="N291" s="510"/>
      <c r="O291" s="555">
        <v>0</v>
      </c>
      <c r="P291" s="510"/>
      <c r="Q291" s="555">
        <v>0</v>
      </c>
      <c r="R291" s="510"/>
      <c r="S291" s="555">
        <v>0</v>
      </c>
      <c r="T291" s="510"/>
      <c r="U291" s="555">
        <v>0</v>
      </c>
      <c r="V291" s="510"/>
      <c r="W291" s="332"/>
      <c r="X291" s="333"/>
      <c r="Y291" s="333"/>
      <c r="Z291" s="333"/>
      <c r="AA291" s="333"/>
      <c r="AB291" s="333"/>
      <c r="AC291" s="333"/>
      <c r="AD291" s="333"/>
      <c r="AE291" s="333"/>
      <c r="AF291" s="333"/>
      <c r="AG291" s="333"/>
      <c r="AH291" s="333"/>
      <c r="AI291" s="333"/>
      <c r="AJ291" s="333"/>
      <c r="AK291" s="333"/>
      <c r="AL291" s="333"/>
      <c r="AM291" s="333"/>
      <c r="AN291" s="333"/>
      <c r="AO291" s="333"/>
      <c r="AP291" s="333"/>
      <c r="AQ291" s="333"/>
      <c r="AR291" s="333"/>
      <c r="AS291" s="333"/>
      <c r="AT291" s="333"/>
      <c r="AU291" s="333"/>
      <c r="AV291" s="333"/>
      <c r="AW291" s="333"/>
      <c r="AX291" s="333"/>
      <c r="AY291" s="333"/>
      <c r="AZ291" s="333"/>
      <c r="BA291" s="333"/>
      <c r="BB291" s="130"/>
      <c r="BC291" s="130"/>
      <c r="BD291" s="130"/>
      <c r="BE291" s="130"/>
      <c r="BF291" s="130"/>
      <c r="BG291" s="130"/>
      <c r="BH291" s="130"/>
      <c r="BI291" s="130"/>
      <c r="BJ291" s="130"/>
      <c r="BK291" s="130"/>
      <c r="BL291" s="130"/>
      <c r="BM291" s="130"/>
      <c r="BN291" s="130"/>
      <c r="BO291" s="130"/>
      <c r="BP291" s="130"/>
      <c r="BQ291" s="130"/>
      <c r="BR291" s="130"/>
      <c r="BS291" s="130"/>
      <c r="BT291" s="130"/>
    </row>
    <row r="292" spans="1:72" ht="23.25" customHeight="1">
      <c r="A292" s="560" t="s">
        <v>1328</v>
      </c>
      <c r="B292" s="560" t="s">
        <v>1329</v>
      </c>
      <c r="C292" s="555" t="s">
        <v>1330</v>
      </c>
      <c r="D292" s="512"/>
      <c r="E292" s="512"/>
      <c r="F292" s="512"/>
      <c r="G292" s="510"/>
      <c r="H292" s="555" t="s">
        <v>1331</v>
      </c>
      <c r="I292" s="512"/>
      <c r="J292" s="512"/>
      <c r="K292" s="512"/>
      <c r="L292" s="555" t="s">
        <v>1332</v>
      </c>
      <c r="M292" s="512"/>
      <c r="N292" s="512"/>
      <c r="O292" s="512"/>
      <c r="P292" s="510"/>
      <c r="Q292" s="555" t="s">
        <v>1333</v>
      </c>
      <c r="R292" s="512"/>
      <c r="S292" s="512"/>
      <c r="T292" s="512"/>
      <c r="U292" s="698" t="s">
        <v>1334</v>
      </c>
      <c r="V292" s="510"/>
      <c r="W292" s="332"/>
      <c r="X292" s="333"/>
      <c r="Y292" s="333"/>
      <c r="Z292" s="333"/>
      <c r="AA292" s="333"/>
      <c r="AB292" s="333"/>
      <c r="AC292" s="333"/>
      <c r="AD292" s="333"/>
      <c r="AE292" s="333"/>
      <c r="AF292" s="333"/>
      <c r="AG292" s="333"/>
      <c r="AH292" s="333"/>
      <c r="AI292" s="333"/>
      <c r="AJ292" s="333"/>
      <c r="AK292" s="333"/>
      <c r="AL292" s="333"/>
      <c r="AM292" s="333"/>
      <c r="AN292" s="333"/>
      <c r="AO292" s="333"/>
      <c r="AP292" s="333"/>
      <c r="AQ292" s="333"/>
      <c r="AR292" s="333"/>
      <c r="AS292" s="333"/>
      <c r="AT292" s="333"/>
      <c r="AU292" s="333"/>
      <c r="AV292" s="333"/>
      <c r="AW292" s="333"/>
      <c r="AX292" s="333"/>
      <c r="AY292" s="333"/>
      <c r="AZ292" s="333"/>
      <c r="BA292" s="333"/>
      <c r="BB292" s="130"/>
      <c r="BC292" s="130"/>
      <c r="BD292" s="130"/>
      <c r="BE292" s="130"/>
      <c r="BF292" s="130"/>
      <c r="BG292" s="130"/>
      <c r="BH292" s="130"/>
      <c r="BI292" s="130"/>
      <c r="BJ292" s="130"/>
      <c r="BK292" s="130"/>
      <c r="BL292" s="130"/>
      <c r="BM292" s="130"/>
      <c r="BN292" s="130"/>
      <c r="BO292" s="130"/>
      <c r="BP292" s="130"/>
      <c r="BQ292" s="130"/>
      <c r="BR292" s="130"/>
      <c r="BS292" s="130"/>
      <c r="BT292" s="130"/>
    </row>
    <row r="293" spans="1:72" ht="15.75" customHeight="1">
      <c r="A293" s="524"/>
      <c r="B293" s="524"/>
      <c r="C293" s="697"/>
      <c r="D293" s="512"/>
      <c r="E293" s="512"/>
      <c r="F293" s="512"/>
      <c r="G293" s="510"/>
      <c r="H293" s="697"/>
      <c r="I293" s="512"/>
      <c r="J293" s="512"/>
      <c r="K293" s="510"/>
      <c r="L293" s="697"/>
      <c r="M293" s="512"/>
      <c r="N293" s="512"/>
      <c r="O293" s="512"/>
      <c r="P293" s="510"/>
      <c r="Q293" s="697"/>
      <c r="R293" s="512"/>
      <c r="S293" s="512"/>
      <c r="T293" s="510"/>
      <c r="U293" s="697"/>
      <c r="V293" s="510"/>
      <c r="W293" s="332"/>
      <c r="X293" s="333"/>
      <c r="Y293" s="333"/>
      <c r="Z293" s="333"/>
      <c r="AA293" s="333"/>
      <c r="AB293" s="333"/>
      <c r="AC293" s="333"/>
      <c r="AD293" s="333"/>
      <c r="AE293" s="333"/>
      <c r="AF293" s="333"/>
      <c r="AG293" s="333"/>
      <c r="AH293" s="333"/>
      <c r="AI293" s="333"/>
      <c r="AJ293" s="333"/>
      <c r="AK293" s="333"/>
      <c r="AL293" s="333"/>
      <c r="AM293" s="333"/>
      <c r="AN293" s="333"/>
      <c r="AO293" s="333"/>
      <c r="AP293" s="333"/>
      <c r="AQ293" s="333"/>
      <c r="AR293" s="333"/>
      <c r="AS293" s="333"/>
      <c r="AT293" s="333"/>
      <c r="AU293" s="333"/>
      <c r="AV293" s="333"/>
      <c r="AW293" s="333"/>
      <c r="AX293" s="333"/>
      <c r="AY293" s="333"/>
      <c r="AZ293" s="333"/>
      <c r="BA293" s="333"/>
      <c r="BB293" s="130"/>
      <c r="BC293" s="130"/>
      <c r="BD293" s="130"/>
      <c r="BE293" s="130"/>
      <c r="BF293" s="130"/>
      <c r="BG293" s="130"/>
      <c r="BH293" s="130"/>
      <c r="BI293" s="130"/>
      <c r="BJ293" s="130"/>
      <c r="BK293" s="130"/>
      <c r="BL293" s="130"/>
      <c r="BM293" s="130"/>
      <c r="BN293" s="130"/>
      <c r="BO293" s="130"/>
      <c r="BP293" s="130"/>
      <c r="BQ293" s="130"/>
      <c r="BR293" s="130"/>
      <c r="BS293" s="130"/>
      <c r="BT293" s="130"/>
    </row>
    <row r="294" spans="1:72" ht="15.75" customHeight="1">
      <c r="A294" s="524"/>
      <c r="B294" s="524"/>
      <c r="C294" s="697"/>
      <c r="D294" s="512"/>
      <c r="E294" s="512"/>
      <c r="F294" s="512"/>
      <c r="G294" s="510"/>
      <c r="H294" s="697"/>
      <c r="I294" s="512"/>
      <c r="J294" s="512"/>
      <c r="K294" s="510"/>
      <c r="L294" s="697"/>
      <c r="M294" s="512"/>
      <c r="N294" s="512"/>
      <c r="O294" s="512"/>
      <c r="P294" s="510"/>
      <c r="Q294" s="697"/>
      <c r="R294" s="512"/>
      <c r="S294" s="512"/>
      <c r="T294" s="510"/>
      <c r="U294" s="697"/>
      <c r="V294" s="510"/>
      <c r="W294" s="332"/>
      <c r="X294" s="333"/>
      <c r="Y294" s="333"/>
      <c r="Z294" s="333"/>
      <c r="AA294" s="333"/>
      <c r="AB294" s="333"/>
      <c r="AC294" s="333"/>
      <c r="AD294" s="333"/>
      <c r="AE294" s="333"/>
      <c r="AF294" s="333"/>
      <c r="AG294" s="333"/>
      <c r="AH294" s="333"/>
      <c r="AI294" s="333"/>
      <c r="AJ294" s="333"/>
      <c r="AK294" s="333"/>
      <c r="AL294" s="333"/>
      <c r="AM294" s="333"/>
      <c r="AN294" s="333"/>
      <c r="AO294" s="333"/>
      <c r="AP294" s="333"/>
      <c r="AQ294" s="333"/>
      <c r="AR294" s="333"/>
      <c r="AS294" s="333"/>
      <c r="AT294" s="333"/>
      <c r="AU294" s="333"/>
      <c r="AV294" s="333"/>
      <c r="AW294" s="333"/>
      <c r="AX294" s="333"/>
      <c r="AY294" s="333"/>
      <c r="AZ294" s="333"/>
      <c r="BA294" s="333"/>
      <c r="BB294" s="130"/>
      <c r="BC294" s="130"/>
      <c r="BD294" s="130"/>
      <c r="BE294" s="130"/>
      <c r="BF294" s="130"/>
      <c r="BG294" s="130"/>
      <c r="BH294" s="130"/>
      <c r="BI294" s="130"/>
      <c r="BJ294" s="130"/>
      <c r="BK294" s="130"/>
      <c r="BL294" s="130"/>
      <c r="BM294" s="130"/>
      <c r="BN294" s="130"/>
      <c r="BO294" s="130"/>
      <c r="BP294" s="130"/>
      <c r="BQ294" s="130"/>
      <c r="BR294" s="130"/>
      <c r="BS294" s="130"/>
      <c r="BT294" s="130"/>
    </row>
    <row r="295" spans="1:72" ht="15.75" customHeight="1">
      <c r="A295" s="525"/>
      <c r="B295" s="525"/>
      <c r="C295" s="697"/>
      <c r="D295" s="512"/>
      <c r="E295" s="512"/>
      <c r="F295" s="512"/>
      <c r="G295" s="510"/>
      <c r="H295" s="697"/>
      <c r="I295" s="512"/>
      <c r="J295" s="512"/>
      <c r="K295" s="510"/>
      <c r="L295" s="697"/>
      <c r="M295" s="512"/>
      <c r="N295" s="512"/>
      <c r="O295" s="512"/>
      <c r="P295" s="510"/>
      <c r="Q295" s="697"/>
      <c r="R295" s="512"/>
      <c r="S295" s="512"/>
      <c r="T295" s="510"/>
      <c r="U295" s="697"/>
      <c r="V295" s="510"/>
      <c r="W295" s="332"/>
      <c r="X295" s="333"/>
      <c r="Y295" s="333"/>
      <c r="Z295" s="333"/>
      <c r="AA295" s="333"/>
      <c r="AB295" s="333"/>
      <c r="AC295" s="333"/>
      <c r="AD295" s="333"/>
      <c r="AE295" s="333"/>
      <c r="AF295" s="333"/>
      <c r="AG295" s="333"/>
      <c r="AH295" s="333"/>
      <c r="AI295" s="333"/>
      <c r="AJ295" s="333"/>
      <c r="AK295" s="333"/>
      <c r="AL295" s="333"/>
      <c r="AM295" s="333"/>
      <c r="AN295" s="333"/>
      <c r="AO295" s="333"/>
      <c r="AP295" s="333"/>
      <c r="AQ295" s="333"/>
      <c r="AR295" s="333"/>
      <c r="AS295" s="333"/>
      <c r="AT295" s="333"/>
      <c r="AU295" s="333"/>
      <c r="AV295" s="333"/>
      <c r="AW295" s="333"/>
      <c r="AX295" s="333"/>
      <c r="AY295" s="333"/>
      <c r="AZ295" s="333"/>
      <c r="BA295" s="333"/>
      <c r="BB295" s="130"/>
      <c r="BC295" s="130"/>
      <c r="BD295" s="130"/>
      <c r="BE295" s="130"/>
      <c r="BF295" s="130"/>
      <c r="BG295" s="130"/>
      <c r="BH295" s="130"/>
      <c r="BI295" s="130"/>
      <c r="BJ295" s="130"/>
      <c r="BK295" s="130"/>
      <c r="BL295" s="130"/>
      <c r="BM295" s="130"/>
      <c r="BN295" s="130"/>
      <c r="BO295" s="130"/>
      <c r="BP295" s="130"/>
      <c r="BQ295" s="130"/>
      <c r="BR295" s="130"/>
      <c r="BS295" s="130"/>
      <c r="BT295" s="130"/>
    </row>
    <row r="296" spans="1:72" ht="15.75" customHeight="1">
      <c r="A296" s="560" t="s">
        <v>1335</v>
      </c>
      <c r="B296" s="93" t="s">
        <v>1336</v>
      </c>
      <c r="C296" s="334"/>
      <c r="D296" s="335"/>
      <c r="E296" s="335"/>
      <c r="F296" s="335"/>
      <c r="G296" s="335"/>
      <c r="H296" s="335"/>
      <c r="I296" s="335"/>
      <c r="J296" s="335"/>
      <c r="K296" s="335"/>
      <c r="L296" s="335"/>
      <c r="M296" s="335"/>
      <c r="N296" s="335"/>
      <c r="O296" s="335"/>
      <c r="P296" s="335"/>
      <c r="Q296" s="335"/>
      <c r="R296" s="335"/>
      <c r="S296" s="335"/>
      <c r="T296" s="335"/>
      <c r="U296" s="335"/>
      <c r="V296" s="336"/>
      <c r="W296" s="332"/>
      <c r="X296" s="333"/>
      <c r="Y296" s="333"/>
      <c r="Z296" s="333"/>
      <c r="AA296" s="333"/>
      <c r="AB296" s="333"/>
      <c r="AC296" s="333"/>
      <c r="AD296" s="333"/>
      <c r="AE296" s="333"/>
      <c r="AF296" s="333"/>
      <c r="AG296" s="333"/>
      <c r="AH296" s="333"/>
      <c r="AI296" s="333"/>
      <c r="AJ296" s="333"/>
      <c r="AK296" s="333"/>
      <c r="AL296" s="333"/>
      <c r="AM296" s="333"/>
      <c r="AN296" s="333"/>
      <c r="AO296" s="333"/>
      <c r="AP296" s="333"/>
      <c r="AQ296" s="333"/>
      <c r="AR296" s="333"/>
      <c r="AS296" s="333"/>
      <c r="AT296" s="333"/>
      <c r="AU296" s="333"/>
      <c r="AV296" s="333"/>
      <c r="AW296" s="333"/>
      <c r="AX296" s="333"/>
      <c r="AY296" s="333"/>
      <c r="AZ296" s="333"/>
      <c r="BA296" s="333"/>
      <c r="BB296" s="130"/>
      <c r="BC296" s="130"/>
      <c r="BD296" s="130"/>
      <c r="BE296" s="130"/>
      <c r="BF296" s="130"/>
      <c r="BG296" s="130"/>
      <c r="BH296" s="130"/>
      <c r="BI296" s="130"/>
      <c r="BJ296" s="130"/>
      <c r="BK296" s="130"/>
      <c r="BL296" s="130"/>
      <c r="BM296" s="130"/>
      <c r="BN296" s="130"/>
      <c r="BO296" s="130"/>
      <c r="BP296" s="130"/>
      <c r="BQ296" s="130"/>
      <c r="BR296" s="130"/>
      <c r="BS296" s="130"/>
      <c r="BT296" s="130"/>
    </row>
    <row r="297" spans="1:72" ht="25.5" customHeight="1">
      <c r="A297" s="524"/>
      <c r="B297" s="93" t="s">
        <v>1337</v>
      </c>
      <c r="C297" s="337" t="s">
        <v>1338</v>
      </c>
      <c r="D297" s="338"/>
      <c r="E297" s="338"/>
      <c r="F297" s="338"/>
      <c r="G297" s="338"/>
      <c r="H297" s="338"/>
      <c r="I297" s="338"/>
      <c r="J297" s="338"/>
      <c r="K297" s="338"/>
      <c r="L297" s="338"/>
      <c r="M297" s="338"/>
      <c r="N297" s="338"/>
      <c r="O297" s="338"/>
      <c r="P297" s="338"/>
      <c r="Q297" s="338"/>
      <c r="R297" s="338"/>
      <c r="S297" s="338"/>
      <c r="T297" s="338"/>
      <c r="U297" s="338"/>
      <c r="V297" s="339"/>
      <c r="W297" s="332"/>
      <c r="X297" s="333"/>
      <c r="Y297" s="333"/>
      <c r="Z297" s="333"/>
      <c r="AA297" s="333"/>
      <c r="AB297" s="333"/>
      <c r="AC297" s="333"/>
      <c r="AD297" s="333"/>
      <c r="AE297" s="333"/>
      <c r="AF297" s="333"/>
      <c r="AG297" s="333"/>
      <c r="AH297" s="333"/>
      <c r="AI297" s="333"/>
      <c r="AJ297" s="333"/>
      <c r="AK297" s="333"/>
      <c r="AL297" s="333"/>
      <c r="AM297" s="333"/>
      <c r="AN297" s="333"/>
      <c r="AO297" s="333"/>
      <c r="AP297" s="333"/>
      <c r="AQ297" s="333"/>
      <c r="AR297" s="333"/>
      <c r="AS297" s="333"/>
      <c r="AT297" s="333"/>
      <c r="AU297" s="333"/>
      <c r="AV297" s="333"/>
      <c r="AW297" s="333"/>
      <c r="AX297" s="333"/>
      <c r="AY297" s="333"/>
      <c r="AZ297" s="333"/>
      <c r="BA297" s="333"/>
      <c r="BB297" s="130"/>
      <c r="BC297" s="130"/>
      <c r="BD297" s="130"/>
      <c r="BE297" s="130"/>
      <c r="BF297" s="130"/>
      <c r="BG297" s="130"/>
      <c r="BH297" s="130"/>
      <c r="BI297" s="130"/>
      <c r="BJ297" s="130"/>
      <c r="BK297" s="130"/>
      <c r="BL297" s="130"/>
      <c r="BM297" s="130"/>
      <c r="BN297" s="130"/>
      <c r="BO297" s="130"/>
      <c r="BP297" s="130"/>
      <c r="BQ297" s="130"/>
      <c r="BR297" s="130"/>
      <c r="BS297" s="130"/>
      <c r="BT297" s="130"/>
    </row>
    <row r="298" spans="1:72" ht="25.5" customHeight="1">
      <c r="A298" s="525"/>
      <c r="B298" s="161" t="s">
        <v>1339</v>
      </c>
      <c r="C298" s="340" t="s">
        <v>1338</v>
      </c>
      <c r="D298" s="341"/>
      <c r="E298" s="341"/>
      <c r="F298" s="341"/>
      <c r="G298" s="341"/>
      <c r="H298" s="341"/>
      <c r="I298" s="341"/>
      <c r="J298" s="341"/>
      <c r="K298" s="341"/>
      <c r="L298" s="341"/>
      <c r="M298" s="341"/>
      <c r="N298" s="341"/>
      <c r="O298" s="341"/>
      <c r="P298" s="341"/>
      <c r="Q298" s="341"/>
      <c r="R298" s="341"/>
      <c r="S298" s="341"/>
      <c r="T298" s="341"/>
      <c r="U298" s="341"/>
      <c r="V298" s="342"/>
      <c r="W298" s="332"/>
      <c r="X298" s="333"/>
      <c r="Y298" s="333"/>
      <c r="Z298" s="333"/>
      <c r="AA298" s="333"/>
      <c r="AB298" s="333"/>
      <c r="AC298" s="333"/>
      <c r="AD298" s="333"/>
      <c r="AE298" s="333"/>
      <c r="AF298" s="333"/>
      <c r="AG298" s="333"/>
      <c r="AH298" s="333"/>
      <c r="AI298" s="333"/>
      <c r="AJ298" s="333"/>
      <c r="AK298" s="333"/>
      <c r="AL298" s="333"/>
      <c r="AM298" s="333"/>
      <c r="AN298" s="333"/>
      <c r="AO298" s="333"/>
      <c r="AP298" s="333"/>
      <c r="AQ298" s="333"/>
      <c r="AR298" s="333"/>
      <c r="AS298" s="333"/>
      <c r="AT298" s="333"/>
      <c r="AU298" s="333"/>
      <c r="AV298" s="333"/>
      <c r="AW298" s="333"/>
      <c r="AX298" s="333"/>
      <c r="AY298" s="333"/>
      <c r="AZ298" s="333"/>
      <c r="BA298" s="333"/>
      <c r="BB298" s="130"/>
      <c r="BC298" s="130"/>
      <c r="BD298" s="130"/>
      <c r="BE298" s="130"/>
      <c r="BF298" s="130"/>
      <c r="BG298" s="130"/>
      <c r="BH298" s="130"/>
      <c r="BI298" s="130"/>
      <c r="BJ298" s="130"/>
      <c r="BK298" s="130"/>
      <c r="BL298" s="130"/>
      <c r="BM298" s="130"/>
      <c r="BN298" s="130"/>
      <c r="BO298" s="130"/>
      <c r="BP298" s="130"/>
      <c r="BQ298" s="130"/>
      <c r="BR298" s="130"/>
      <c r="BS298" s="130"/>
      <c r="BT298" s="130"/>
    </row>
    <row r="299" spans="1:72" ht="15" customHeight="1">
      <c r="A299" s="343" t="s">
        <v>1340</v>
      </c>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c r="AA299" s="344"/>
      <c r="AB299" s="344"/>
      <c r="AC299" s="344"/>
      <c r="AD299" s="344"/>
      <c r="AE299" s="344"/>
      <c r="AF299" s="344"/>
      <c r="AG299" s="344"/>
      <c r="AH299" s="344"/>
      <c r="AI299" s="344"/>
      <c r="AJ299" s="344"/>
      <c r="AK299" s="344"/>
      <c r="AL299" s="344"/>
      <c r="AM299" s="344"/>
      <c r="AN299" s="344"/>
      <c r="AO299" s="344"/>
      <c r="AP299" s="344"/>
      <c r="AQ299" s="344"/>
      <c r="AR299" s="344"/>
      <c r="AS299" s="344"/>
      <c r="AT299" s="344"/>
      <c r="AU299" s="344"/>
      <c r="AV299" s="344"/>
      <c r="AW299" s="344"/>
      <c r="AX299" s="344"/>
      <c r="AY299" s="344"/>
      <c r="AZ299" s="344"/>
      <c r="BA299" s="345"/>
      <c r="BB299" s="130"/>
      <c r="BC299" s="130"/>
      <c r="BD299" s="130"/>
      <c r="BE299" s="130"/>
      <c r="BF299" s="130"/>
      <c r="BG299" s="130"/>
      <c r="BH299" s="130"/>
      <c r="BI299" s="130"/>
      <c r="BJ299" s="130"/>
      <c r="BK299" s="130"/>
      <c r="BL299" s="130"/>
      <c r="BM299" s="130"/>
      <c r="BN299" s="130"/>
      <c r="BO299" s="130"/>
      <c r="BP299" s="130"/>
      <c r="BQ299" s="130"/>
      <c r="BR299" s="130"/>
      <c r="BS299" s="130"/>
      <c r="BT299" s="130"/>
    </row>
    <row r="300" spans="1:72" ht="15" customHeight="1">
      <c r="A300" s="337" t="s">
        <v>1341</v>
      </c>
      <c r="B300" s="338"/>
      <c r="C300" s="338"/>
      <c r="D300" s="338"/>
      <c r="E300" s="338"/>
      <c r="F300" s="338"/>
      <c r="G300" s="338"/>
      <c r="H300" s="338"/>
      <c r="I300" s="338"/>
      <c r="J300" s="338"/>
      <c r="K300" s="338"/>
      <c r="L300" s="338"/>
      <c r="M300" s="338"/>
      <c r="N300" s="338"/>
      <c r="O300" s="338"/>
      <c r="P300" s="338"/>
      <c r="Q300" s="338"/>
      <c r="R300" s="338"/>
      <c r="S300" s="338"/>
      <c r="T300" s="338"/>
      <c r="U300" s="338"/>
      <c r="V300" s="338"/>
      <c r="W300" s="338"/>
      <c r="X300" s="338"/>
      <c r="Y300" s="338"/>
      <c r="Z300" s="338"/>
      <c r="AA300" s="338"/>
      <c r="AB300" s="338"/>
      <c r="AC300" s="338"/>
      <c r="AD300" s="338"/>
      <c r="AE300" s="338"/>
      <c r="AF300" s="338"/>
      <c r="AG300" s="338"/>
      <c r="AH300" s="338"/>
      <c r="AI300" s="338"/>
      <c r="AJ300" s="338"/>
      <c r="AK300" s="338"/>
      <c r="AL300" s="338"/>
      <c r="AM300" s="338"/>
      <c r="AN300" s="338"/>
      <c r="AO300" s="338"/>
      <c r="AP300" s="338"/>
      <c r="AQ300" s="338"/>
      <c r="AR300" s="338"/>
      <c r="AS300" s="338"/>
      <c r="AT300" s="338"/>
      <c r="AU300" s="338"/>
      <c r="AV300" s="338"/>
      <c r="AW300" s="338"/>
      <c r="AX300" s="338"/>
      <c r="AY300" s="338"/>
      <c r="AZ300" s="338"/>
      <c r="BA300" s="339"/>
      <c r="BB300" s="130"/>
      <c r="BC300" s="130"/>
      <c r="BD300" s="130"/>
      <c r="BE300" s="130"/>
      <c r="BF300" s="130"/>
      <c r="BG300" s="130"/>
      <c r="BH300" s="130"/>
      <c r="BI300" s="130"/>
      <c r="BJ300" s="130"/>
      <c r="BK300" s="130"/>
      <c r="BL300" s="130"/>
      <c r="BM300" s="130"/>
      <c r="BN300" s="130"/>
      <c r="BO300" s="130"/>
      <c r="BP300" s="130"/>
      <c r="BQ300" s="130"/>
      <c r="BR300" s="130"/>
      <c r="BS300" s="130"/>
      <c r="BT300" s="130"/>
    </row>
    <row r="301" spans="1:72" ht="15" customHeight="1">
      <c r="A301" s="343" t="s">
        <v>852</v>
      </c>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c r="AA301" s="344"/>
      <c r="AB301" s="344"/>
      <c r="AC301" s="344"/>
      <c r="AD301" s="344"/>
      <c r="AE301" s="344"/>
      <c r="AF301" s="344"/>
      <c r="AG301" s="344"/>
      <c r="AH301" s="344"/>
      <c r="AI301" s="344"/>
      <c r="AJ301" s="344"/>
      <c r="AK301" s="344"/>
      <c r="AL301" s="344"/>
      <c r="AM301" s="344"/>
      <c r="AN301" s="344"/>
      <c r="AO301" s="344"/>
      <c r="AP301" s="344"/>
      <c r="AQ301" s="344"/>
      <c r="AR301" s="344"/>
      <c r="AS301" s="344"/>
      <c r="AT301" s="344"/>
      <c r="AU301" s="344"/>
      <c r="AV301" s="344"/>
      <c r="AW301" s="344"/>
      <c r="AX301" s="344"/>
      <c r="AY301" s="344"/>
      <c r="AZ301" s="344"/>
      <c r="BA301" s="345"/>
      <c r="BB301" s="130"/>
      <c r="BC301" s="130"/>
      <c r="BD301" s="130"/>
      <c r="BE301" s="130"/>
      <c r="BF301" s="130"/>
      <c r="BG301" s="130"/>
      <c r="BH301" s="130"/>
      <c r="BI301" s="130"/>
      <c r="BJ301" s="130"/>
      <c r="BK301" s="130"/>
      <c r="BL301" s="130"/>
      <c r="BM301" s="130"/>
      <c r="BN301" s="130"/>
      <c r="BO301" s="130"/>
      <c r="BP301" s="130"/>
      <c r="BQ301" s="130"/>
      <c r="BR301" s="130"/>
      <c r="BS301" s="130"/>
      <c r="BT301" s="130"/>
    </row>
    <row r="302" spans="1:72" ht="15" customHeight="1">
      <c r="A302" s="346" t="s">
        <v>1342</v>
      </c>
      <c r="B302" s="347"/>
      <c r="C302" s="347"/>
      <c r="D302" s="347"/>
      <c r="E302" s="347"/>
      <c r="F302" s="347"/>
      <c r="G302" s="347"/>
      <c r="H302" s="347"/>
      <c r="I302" s="347"/>
      <c r="J302" s="347"/>
      <c r="K302" s="347"/>
      <c r="L302" s="347"/>
      <c r="M302" s="347"/>
      <c r="N302" s="347"/>
      <c r="O302" s="347"/>
      <c r="P302" s="347"/>
      <c r="Q302" s="347"/>
      <c r="R302" s="347"/>
      <c r="S302" s="347"/>
      <c r="T302" s="347"/>
      <c r="U302" s="347"/>
      <c r="V302" s="347"/>
      <c r="W302" s="347"/>
      <c r="X302" s="347"/>
      <c r="Y302" s="347"/>
      <c r="Z302" s="347"/>
      <c r="AA302" s="347"/>
      <c r="AB302" s="347"/>
      <c r="AC302" s="347"/>
      <c r="AD302" s="347"/>
      <c r="AE302" s="347"/>
      <c r="AF302" s="347"/>
      <c r="AG302" s="347"/>
      <c r="AH302" s="347"/>
      <c r="AI302" s="347"/>
      <c r="AJ302" s="347"/>
      <c r="AK302" s="347"/>
      <c r="AL302" s="347"/>
      <c r="AM302" s="347"/>
      <c r="AN302" s="347"/>
      <c r="AO302" s="347"/>
      <c r="AP302" s="347"/>
      <c r="AQ302" s="347"/>
      <c r="AR302" s="347"/>
      <c r="AS302" s="347"/>
      <c r="AT302" s="347"/>
      <c r="AU302" s="347"/>
      <c r="AV302" s="347"/>
      <c r="AW302" s="347"/>
      <c r="AX302" s="347"/>
      <c r="AY302" s="347"/>
      <c r="AZ302" s="347"/>
      <c r="BA302" s="348"/>
      <c r="BB302" s="130"/>
      <c r="BC302" s="130"/>
      <c r="BD302" s="130"/>
      <c r="BE302" s="130"/>
      <c r="BF302" s="130"/>
      <c r="BG302" s="130"/>
      <c r="BH302" s="130"/>
      <c r="BI302" s="130"/>
      <c r="BJ302" s="130"/>
      <c r="BK302" s="130"/>
      <c r="BL302" s="130"/>
      <c r="BM302" s="130"/>
      <c r="BN302" s="130"/>
      <c r="BO302" s="130"/>
      <c r="BP302" s="130"/>
      <c r="BQ302" s="130"/>
      <c r="BR302" s="130"/>
      <c r="BS302" s="130"/>
      <c r="BT302" s="130"/>
    </row>
    <row r="303" spans="1:72" ht="15.75" customHeight="1">
      <c r="A303" s="349"/>
      <c r="B303" s="350"/>
      <c r="C303" s="350"/>
      <c r="D303" s="350"/>
      <c r="E303" s="350"/>
      <c r="F303" s="350"/>
      <c r="G303" s="350"/>
      <c r="H303" s="350"/>
      <c r="I303" s="350"/>
      <c r="J303" s="350"/>
      <c r="K303" s="350"/>
      <c r="L303" s="350"/>
      <c r="M303" s="350"/>
      <c r="N303" s="350"/>
      <c r="O303" s="350"/>
      <c r="P303" s="350"/>
      <c r="Q303" s="350"/>
      <c r="R303" s="350"/>
      <c r="S303" s="350"/>
      <c r="T303" s="350"/>
      <c r="U303" s="350"/>
      <c r="V303" s="350"/>
      <c r="W303" s="350"/>
      <c r="X303" s="350"/>
      <c r="Y303" s="350"/>
      <c r="Z303" s="350"/>
      <c r="AA303" s="350"/>
      <c r="AB303" s="350"/>
      <c r="AC303" s="350"/>
      <c r="AD303" s="350"/>
      <c r="AE303" s="350"/>
      <c r="AF303" s="350"/>
      <c r="AG303" s="350"/>
      <c r="AH303" s="350"/>
      <c r="AI303" s="350"/>
      <c r="AJ303" s="350"/>
      <c r="AK303" s="350"/>
      <c r="AL303" s="350"/>
      <c r="AM303" s="350"/>
      <c r="AN303" s="350"/>
      <c r="AO303" s="350"/>
      <c r="AP303" s="350"/>
      <c r="AQ303" s="350"/>
      <c r="AR303" s="350"/>
      <c r="AS303" s="350"/>
      <c r="AT303" s="350"/>
      <c r="AU303" s="350"/>
      <c r="AV303" s="350"/>
      <c r="AW303" s="350"/>
      <c r="AX303" s="350"/>
      <c r="AY303" s="350"/>
      <c r="AZ303" s="350"/>
      <c r="BA303" s="351"/>
      <c r="BB303" s="130"/>
      <c r="BC303" s="130"/>
      <c r="BD303" s="130"/>
      <c r="BE303" s="130"/>
      <c r="BF303" s="130"/>
      <c r="BG303" s="130"/>
      <c r="BH303" s="130"/>
      <c r="BI303" s="130"/>
      <c r="BJ303" s="130"/>
      <c r="BK303" s="130"/>
      <c r="BL303" s="130"/>
      <c r="BM303" s="130"/>
      <c r="BN303" s="130"/>
      <c r="BO303" s="130"/>
      <c r="BP303" s="130"/>
      <c r="BQ303" s="130"/>
      <c r="BR303" s="130"/>
      <c r="BS303" s="130"/>
      <c r="BT303" s="130"/>
    </row>
    <row r="304" spans="1:72" ht="15" customHeight="1">
      <c r="A304" s="694" t="s">
        <v>1343</v>
      </c>
      <c r="B304" s="696" t="s">
        <v>1344</v>
      </c>
      <c r="C304" s="613">
        <v>1</v>
      </c>
      <c r="D304" s="510"/>
      <c r="E304" s="613">
        <v>2</v>
      </c>
      <c r="F304" s="510"/>
      <c r="G304" s="613">
        <v>3</v>
      </c>
      <c r="H304" s="510"/>
      <c r="I304" s="613">
        <v>4</v>
      </c>
      <c r="J304" s="510"/>
      <c r="K304" s="613">
        <v>5</v>
      </c>
      <c r="L304" s="510"/>
      <c r="M304" s="613">
        <v>6</v>
      </c>
      <c r="N304" s="510"/>
      <c r="O304" s="613">
        <v>7</v>
      </c>
      <c r="P304" s="510"/>
      <c r="Q304" s="613">
        <v>8</v>
      </c>
      <c r="R304" s="510"/>
      <c r="S304" s="613">
        <v>9</v>
      </c>
      <c r="T304" s="510"/>
      <c r="U304" s="613">
        <v>10</v>
      </c>
      <c r="V304" s="510"/>
      <c r="W304" s="613">
        <v>11</v>
      </c>
      <c r="X304" s="510"/>
      <c r="Y304" s="613">
        <v>12</v>
      </c>
      <c r="Z304" s="510"/>
      <c r="AA304" s="613">
        <v>13</v>
      </c>
      <c r="AB304" s="510"/>
      <c r="AC304" s="613">
        <v>14</v>
      </c>
      <c r="AD304" s="510"/>
      <c r="AE304" s="613">
        <v>15</v>
      </c>
      <c r="AF304" s="510"/>
      <c r="AG304" s="613">
        <v>16</v>
      </c>
      <c r="AH304" s="510"/>
      <c r="AI304" s="613">
        <v>17</v>
      </c>
      <c r="AJ304" s="510"/>
      <c r="AK304" s="613">
        <v>18</v>
      </c>
      <c r="AL304" s="510"/>
      <c r="AM304" s="613">
        <v>19</v>
      </c>
      <c r="AN304" s="510"/>
      <c r="AO304" s="613">
        <v>20</v>
      </c>
      <c r="AP304" s="510"/>
      <c r="AQ304" s="613">
        <v>21</v>
      </c>
      <c r="AR304" s="510"/>
      <c r="AS304" s="613">
        <v>22</v>
      </c>
      <c r="AT304" s="510"/>
      <c r="AU304" s="613">
        <v>23</v>
      </c>
      <c r="AV304" s="510"/>
      <c r="AW304" s="613">
        <v>24</v>
      </c>
      <c r="AX304" s="510"/>
      <c r="AY304" s="613">
        <v>25</v>
      </c>
      <c r="AZ304" s="510"/>
      <c r="BA304" s="130"/>
      <c r="BB304" s="130"/>
      <c r="BC304" s="130"/>
      <c r="BD304" s="130"/>
      <c r="BE304" s="130"/>
      <c r="BF304" s="130"/>
      <c r="BG304" s="130"/>
      <c r="BH304" s="130"/>
      <c r="BI304" s="130"/>
      <c r="BJ304" s="130"/>
      <c r="BK304" s="130"/>
      <c r="BL304" s="130"/>
      <c r="BM304" s="130"/>
      <c r="BN304" s="130"/>
      <c r="BO304" s="130"/>
      <c r="BP304" s="130"/>
      <c r="BQ304" s="130"/>
      <c r="BR304" s="130"/>
      <c r="BS304" s="130"/>
      <c r="BT304" s="130"/>
    </row>
    <row r="305" spans="1:72" ht="15.75" customHeight="1">
      <c r="A305" s="695"/>
      <c r="B305" s="525"/>
      <c r="C305" s="154" t="s">
        <v>300</v>
      </c>
      <c r="D305" s="154" t="s">
        <v>301</v>
      </c>
      <c r="E305" s="154" t="s">
        <v>300</v>
      </c>
      <c r="F305" s="154" t="s">
        <v>301</v>
      </c>
      <c r="G305" s="154" t="s">
        <v>300</v>
      </c>
      <c r="H305" s="154" t="s">
        <v>301</v>
      </c>
      <c r="I305" s="154" t="s">
        <v>300</v>
      </c>
      <c r="J305" s="154" t="s">
        <v>301</v>
      </c>
      <c r="K305" s="154" t="s">
        <v>300</v>
      </c>
      <c r="L305" s="154" t="s">
        <v>301</v>
      </c>
      <c r="M305" s="154" t="s">
        <v>300</v>
      </c>
      <c r="N305" s="154" t="s">
        <v>301</v>
      </c>
      <c r="O305" s="154" t="s">
        <v>300</v>
      </c>
      <c r="P305" s="154" t="s">
        <v>301</v>
      </c>
      <c r="Q305" s="154" t="s">
        <v>300</v>
      </c>
      <c r="R305" s="154" t="s">
        <v>301</v>
      </c>
      <c r="S305" s="154" t="s">
        <v>300</v>
      </c>
      <c r="T305" s="154" t="s">
        <v>301</v>
      </c>
      <c r="U305" s="154" t="s">
        <v>300</v>
      </c>
      <c r="V305" s="154" t="s">
        <v>301</v>
      </c>
      <c r="W305" s="154" t="s">
        <v>300</v>
      </c>
      <c r="X305" s="154" t="s">
        <v>301</v>
      </c>
      <c r="Y305" s="154" t="s">
        <v>300</v>
      </c>
      <c r="Z305" s="154" t="s">
        <v>301</v>
      </c>
      <c r="AA305" s="154" t="s">
        <v>300</v>
      </c>
      <c r="AB305" s="154" t="s">
        <v>301</v>
      </c>
      <c r="AC305" s="154" t="s">
        <v>300</v>
      </c>
      <c r="AD305" s="154" t="s">
        <v>301</v>
      </c>
      <c r="AE305" s="154" t="s">
        <v>300</v>
      </c>
      <c r="AF305" s="154" t="s">
        <v>301</v>
      </c>
      <c r="AG305" s="154" t="s">
        <v>300</v>
      </c>
      <c r="AH305" s="154" t="s">
        <v>301</v>
      </c>
      <c r="AI305" s="154" t="s">
        <v>300</v>
      </c>
      <c r="AJ305" s="154" t="s">
        <v>301</v>
      </c>
      <c r="AK305" s="154" t="s">
        <v>300</v>
      </c>
      <c r="AL305" s="154" t="s">
        <v>301</v>
      </c>
      <c r="AM305" s="154" t="s">
        <v>300</v>
      </c>
      <c r="AN305" s="154" t="s">
        <v>301</v>
      </c>
      <c r="AO305" s="154" t="s">
        <v>300</v>
      </c>
      <c r="AP305" s="154" t="s">
        <v>301</v>
      </c>
      <c r="AQ305" s="154" t="s">
        <v>300</v>
      </c>
      <c r="AR305" s="154" t="s">
        <v>301</v>
      </c>
      <c r="AS305" s="154" t="s">
        <v>300</v>
      </c>
      <c r="AT305" s="154" t="s">
        <v>301</v>
      </c>
      <c r="AU305" s="154" t="s">
        <v>300</v>
      </c>
      <c r="AV305" s="154" t="s">
        <v>301</v>
      </c>
      <c r="AW305" s="154" t="s">
        <v>300</v>
      </c>
      <c r="AX305" s="154" t="s">
        <v>301</v>
      </c>
      <c r="AY305" s="154" t="s">
        <v>300</v>
      </c>
      <c r="AZ305" s="154" t="s">
        <v>301</v>
      </c>
      <c r="BA305" s="130"/>
      <c r="BB305" s="130"/>
      <c r="BC305" s="130"/>
      <c r="BD305" s="130"/>
      <c r="BE305" s="130"/>
      <c r="BF305" s="130"/>
      <c r="BG305" s="130"/>
      <c r="BH305" s="130"/>
      <c r="BI305" s="130"/>
      <c r="BJ305" s="130"/>
      <c r="BK305" s="130"/>
      <c r="BL305" s="130"/>
      <c r="BM305" s="130"/>
      <c r="BN305" s="130"/>
      <c r="BO305" s="130"/>
      <c r="BP305" s="130"/>
      <c r="BQ305" s="130"/>
      <c r="BR305" s="130"/>
      <c r="BS305" s="130"/>
      <c r="BT305" s="130"/>
    </row>
    <row r="306" spans="1:72" ht="15.75" customHeight="1">
      <c r="A306" s="560" t="s">
        <v>1345</v>
      </c>
      <c r="B306" s="352" t="s">
        <v>1346</v>
      </c>
      <c r="C306" s="556">
        <v>1</v>
      </c>
      <c r="D306" s="510"/>
      <c r="E306" s="556">
        <v>1</v>
      </c>
      <c r="F306" s="510"/>
      <c r="G306" s="556">
        <v>1</v>
      </c>
      <c r="H306" s="510"/>
      <c r="I306" s="556">
        <v>1</v>
      </c>
      <c r="J306" s="510"/>
      <c r="K306" s="556">
        <v>1</v>
      </c>
      <c r="L306" s="510"/>
      <c r="M306" s="556">
        <v>1</v>
      </c>
      <c r="N306" s="510"/>
      <c r="O306" s="556">
        <v>1</v>
      </c>
      <c r="P306" s="510"/>
      <c r="Q306" s="556">
        <v>1</v>
      </c>
      <c r="R306" s="510"/>
      <c r="S306" s="556">
        <v>1</v>
      </c>
      <c r="T306" s="510"/>
      <c r="U306" s="556">
        <v>1</v>
      </c>
      <c r="V306" s="510"/>
      <c r="W306" s="556">
        <v>1</v>
      </c>
      <c r="X306" s="510"/>
      <c r="Y306" s="556">
        <v>1</v>
      </c>
      <c r="Z306" s="510"/>
      <c r="AA306" s="556">
        <v>1</v>
      </c>
      <c r="AB306" s="510"/>
      <c r="AC306" s="556">
        <v>1</v>
      </c>
      <c r="AD306" s="510"/>
      <c r="AE306" s="556">
        <v>1</v>
      </c>
      <c r="AF306" s="510"/>
      <c r="AG306" s="556">
        <v>1</v>
      </c>
      <c r="AH306" s="510"/>
      <c r="AI306" s="556">
        <v>1</v>
      </c>
      <c r="AJ306" s="510"/>
      <c r="AK306" s="556">
        <v>1</v>
      </c>
      <c r="AL306" s="510"/>
      <c r="AM306" s="556">
        <v>1</v>
      </c>
      <c r="AN306" s="510"/>
      <c r="AO306" s="556">
        <v>1</v>
      </c>
      <c r="AP306" s="510"/>
      <c r="AQ306" s="556">
        <v>1</v>
      </c>
      <c r="AR306" s="510"/>
      <c r="AS306" s="556">
        <v>1</v>
      </c>
      <c r="AT306" s="510"/>
      <c r="AU306" s="556">
        <v>1</v>
      </c>
      <c r="AV306" s="510"/>
      <c r="AW306" s="556">
        <v>1</v>
      </c>
      <c r="AX306" s="510"/>
      <c r="AY306" s="556">
        <v>1</v>
      </c>
      <c r="AZ306" s="510"/>
      <c r="BA306" s="130"/>
      <c r="BB306" s="130"/>
      <c r="BC306" s="130"/>
      <c r="BD306" s="130"/>
      <c r="BE306" s="130"/>
      <c r="BF306" s="130"/>
      <c r="BG306" s="130"/>
      <c r="BH306" s="130"/>
      <c r="BI306" s="130"/>
      <c r="BJ306" s="130"/>
      <c r="BK306" s="130"/>
      <c r="BL306" s="130"/>
      <c r="BM306" s="130"/>
      <c r="BN306" s="130"/>
      <c r="BO306" s="130"/>
      <c r="BP306" s="130"/>
      <c r="BQ306" s="130"/>
      <c r="BR306" s="130"/>
      <c r="BS306" s="130"/>
      <c r="BT306" s="130"/>
    </row>
    <row r="307" spans="1:72" ht="23.25" customHeight="1">
      <c r="A307" s="524"/>
      <c r="B307" s="353" t="s">
        <v>1129</v>
      </c>
      <c r="C307" s="554" t="s">
        <v>1347</v>
      </c>
      <c r="D307" s="510"/>
      <c r="E307" s="557" t="s">
        <v>1347</v>
      </c>
      <c r="F307" s="510"/>
      <c r="G307" s="557" t="s">
        <v>1347</v>
      </c>
      <c r="H307" s="510"/>
      <c r="I307" s="557" t="s">
        <v>1347</v>
      </c>
      <c r="J307" s="510"/>
      <c r="K307" s="557" t="s">
        <v>1347</v>
      </c>
      <c r="L307" s="510"/>
      <c r="M307" s="557" t="s">
        <v>1347</v>
      </c>
      <c r="N307" s="510"/>
      <c r="O307" s="557" t="s">
        <v>1347</v>
      </c>
      <c r="P307" s="510"/>
      <c r="Q307" s="557" t="s">
        <v>1347</v>
      </c>
      <c r="R307" s="510"/>
      <c r="S307" s="557" t="s">
        <v>1347</v>
      </c>
      <c r="T307" s="510"/>
      <c r="U307" s="557" t="s">
        <v>1347</v>
      </c>
      <c r="V307" s="510"/>
      <c r="W307" s="557" t="s">
        <v>1347</v>
      </c>
      <c r="X307" s="510"/>
      <c r="Y307" s="557" t="s">
        <v>1347</v>
      </c>
      <c r="Z307" s="510"/>
      <c r="AA307" s="557" t="s">
        <v>1347</v>
      </c>
      <c r="AB307" s="510"/>
      <c r="AC307" s="557" t="s">
        <v>1347</v>
      </c>
      <c r="AD307" s="510"/>
      <c r="AE307" s="557" t="s">
        <v>1347</v>
      </c>
      <c r="AF307" s="510"/>
      <c r="AG307" s="557" t="s">
        <v>1347</v>
      </c>
      <c r="AH307" s="510"/>
      <c r="AI307" s="557" t="s">
        <v>1347</v>
      </c>
      <c r="AJ307" s="510"/>
      <c r="AK307" s="557" t="s">
        <v>1347</v>
      </c>
      <c r="AL307" s="510"/>
      <c r="AM307" s="557" t="s">
        <v>1347</v>
      </c>
      <c r="AN307" s="510"/>
      <c r="AO307" s="557" t="s">
        <v>1347</v>
      </c>
      <c r="AP307" s="510"/>
      <c r="AQ307" s="557" t="s">
        <v>1347</v>
      </c>
      <c r="AR307" s="510"/>
      <c r="AS307" s="557" t="s">
        <v>1347</v>
      </c>
      <c r="AT307" s="510"/>
      <c r="AU307" s="557" t="s">
        <v>1347</v>
      </c>
      <c r="AV307" s="510"/>
      <c r="AW307" s="557" t="s">
        <v>1347</v>
      </c>
      <c r="AX307" s="510"/>
      <c r="AY307" s="557" t="s">
        <v>1347</v>
      </c>
      <c r="AZ307" s="510"/>
      <c r="BA307" s="130"/>
      <c r="BB307" s="130"/>
      <c r="BC307" s="130"/>
      <c r="BD307" s="130"/>
      <c r="BE307" s="130"/>
      <c r="BF307" s="130"/>
      <c r="BG307" s="130"/>
      <c r="BH307" s="130"/>
      <c r="BI307" s="130"/>
      <c r="BJ307" s="130"/>
      <c r="BK307" s="130"/>
      <c r="BL307" s="130"/>
      <c r="BM307" s="130"/>
      <c r="BN307" s="130"/>
      <c r="BO307" s="130"/>
      <c r="BP307" s="130"/>
      <c r="BQ307" s="130"/>
      <c r="BR307" s="130"/>
      <c r="BS307" s="130"/>
      <c r="BT307" s="130"/>
    </row>
    <row r="308" spans="1:72" ht="15.75" customHeight="1">
      <c r="A308" s="525"/>
      <c r="B308" s="135" t="s">
        <v>307</v>
      </c>
      <c r="C308" s="553"/>
      <c r="D308" s="510"/>
      <c r="E308" s="553"/>
      <c r="F308" s="510"/>
      <c r="G308" s="553"/>
      <c r="H308" s="510"/>
      <c r="I308" s="553"/>
      <c r="J308" s="510"/>
      <c r="K308" s="553"/>
      <c r="L308" s="510"/>
      <c r="M308" s="553"/>
      <c r="N308" s="510"/>
      <c r="O308" s="553"/>
      <c r="P308" s="510"/>
      <c r="Q308" s="553"/>
      <c r="R308" s="510"/>
      <c r="S308" s="553"/>
      <c r="T308" s="510"/>
      <c r="U308" s="553"/>
      <c r="V308" s="510"/>
      <c r="W308" s="553"/>
      <c r="X308" s="510"/>
      <c r="Y308" s="553"/>
      <c r="Z308" s="510"/>
      <c r="AA308" s="553"/>
      <c r="AB308" s="510"/>
      <c r="AC308" s="553"/>
      <c r="AD308" s="510"/>
      <c r="AE308" s="553"/>
      <c r="AF308" s="510"/>
      <c r="AG308" s="553"/>
      <c r="AH308" s="510"/>
      <c r="AI308" s="553"/>
      <c r="AJ308" s="510"/>
      <c r="AK308" s="553"/>
      <c r="AL308" s="510"/>
      <c r="AM308" s="553"/>
      <c r="AN308" s="510"/>
      <c r="AO308" s="553"/>
      <c r="AP308" s="510"/>
      <c r="AQ308" s="553"/>
      <c r="AR308" s="510"/>
      <c r="AS308" s="553"/>
      <c r="AT308" s="510"/>
      <c r="AU308" s="553"/>
      <c r="AV308" s="510"/>
      <c r="AW308" s="553"/>
      <c r="AX308" s="510"/>
      <c r="AY308" s="553"/>
      <c r="AZ308" s="510"/>
      <c r="BA308" s="130"/>
      <c r="BB308" s="130"/>
      <c r="BC308" s="130"/>
      <c r="BD308" s="130"/>
      <c r="BE308" s="130"/>
      <c r="BF308" s="130"/>
      <c r="BG308" s="130"/>
      <c r="BH308" s="130"/>
      <c r="BI308" s="130"/>
      <c r="BJ308" s="130"/>
      <c r="BK308" s="130"/>
      <c r="BL308" s="130"/>
      <c r="BM308" s="130"/>
      <c r="BN308" s="130"/>
      <c r="BO308" s="130"/>
      <c r="BP308" s="130"/>
      <c r="BQ308" s="130"/>
      <c r="BR308" s="130"/>
      <c r="BS308" s="130"/>
      <c r="BT308" s="130"/>
    </row>
    <row r="309" spans="1:72" ht="15" customHeight="1">
      <c r="A309" s="592" t="s">
        <v>853</v>
      </c>
      <c r="B309" s="510"/>
      <c r="C309" s="192"/>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c r="AE309" s="196"/>
      <c r="AF309" s="196"/>
      <c r="AG309" s="196"/>
      <c r="AH309" s="196"/>
      <c r="AI309" s="196"/>
      <c r="AJ309" s="196"/>
      <c r="AK309" s="196"/>
      <c r="AL309" s="196"/>
      <c r="AM309" s="196"/>
      <c r="AN309" s="196"/>
      <c r="AO309" s="196"/>
      <c r="AP309" s="196"/>
      <c r="AQ309" s="196"/>
      <c r="AR309" s="196"/>
      <c r="AS309" s="196"/>
      <c r="AT309" s="196"/>
      <c r="AU309" s="196"/>
      <c r="AV309" s="196"/>
      <c r="AW309" s="196"/>
      <c r="AX309" s="196"/>
      <c r="AY309" s="196"/>
      <c r="AZ309" s="196"/>
      <c r="BA309" s="197"/>
      <c r="BB309" s="130"/>
      <c r="BC309" s="130"/>
      <c r="BD309" s="130"/>
      <c r="BE309" s="130"/>
      <c r="BF309" s="130"/>
      <c r="BG309" s="130"/>
      <c r="BH309" s="130"/>
      <c r="BI309" s="130"/>
      <c r="BJ309" s="130"/>
      <c r="BK309" s="130"/>
      <c r="BL309" s="130"/>
      <c r="BM309" s="130"/>
      <c r="BN309" s="130"/>
      <c r="BO309" s="130"/>
      <c r="BP309" s="130"/>
      <c r="BQ309" s="130"/>
      <c r="BR309" s="130"/>
      <c r="BS309" s="130"/>
      <c r="BT309" s="130"/>
    </row>
    <row r="310" spans="1:72" ht="15" customHeight="1">
      <c r="A310" s="592" t="s">
        <v>854</v>
      </c>
      <c r="B310" s="510"/>
      <c r="C310" s="195"/>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c r="AE310" s="196"/>
      <c r="AF310" s="196"/>
      <c r="AG310" s="196"/>
      <c r="AH310" s="196"/>
      <c r="AI310" s="196"/>
      <c r="AJ310" s="196"/>
      <c r="AK310" s="196"/>
      <c r="AL310" s="196"/>
      <c r="AM310" s="196"/>
      <c r="AN310" s="196"/>
      <c r="AO310" s="196"/>
      <c r="AP310" s="196"/>
      <c r="AQ310" s="196"/>
      <c r="AR310" s="196"/>
      <c r="AS310" s="196"/>
      <c r="AT310" s="196"/>
      <c r="AU310" s="196"/>
      <c r="AV310" s="196"/>
      <c r="AW310" s="196"/>
      <c r="AX310" s="196"/>
      <c r="AY310" s="196"/>
      <c r="AZ310" s="196"/>
      <c r="BA310" s="197"/>
      <c r="BB310" s="130"/>
      <c r="BC310" s="130"/>
      <c r="BD310" s="130"/>
      <c r="BE310" s="130"/>
      <c r="BF310" s="130"/>
      <c r="BG310" s="130"/>
      <c r="BH310" s="130"/>
      <c r="BI310" s="130"/>
      <c r="BJ310" s="130"/>
      <c r="BK310" s="130"/>
      <c r="BL310" s="130"/>
      <c r="BM310" s="130"/>
      <c r="BN310" s="130"/>
      <c r="BO310" s="130"/>
      <c r="BP310" s="130"/>
      <c r="BQ310" s="130"/>
      <c r="BR310" s="130"/>
      <c r="BS310" s="130"/>
      <c r="BT310" s="130"/>
    </row>
    <row r="311" spans="1:72"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c r="BA311" s="130"/>
      <c r="BB311" s="130"/>
      <c r="BC311" s="130"/>
      <c r="BD311" s="130"/>
      <c r="BE311" s="130"/>
      <c r="BF311" s="130"/>
      <c r="BG311" s="130"/>
      <c r="BH311" s="130"/>
      <c r="BI311" s="130"/>
      <c r="BJ311" s="130"/>
      <c r="BK311" s="130"/>
      <c r="BL311" s="130"/>
      <c r="BM311" s="130"/>
      <c r="BN311" s="130"/>
      <c r="BO311" s="130"/>
      <c r="BP311" s="130"/>
      <c r="BQ311" s="130"/>
      <c r="BR311" s="130"/>
      <c r="BS311" s="130"/>
      <c r="BT311" s="130"/>
    </row>
    <row r="312" spans="1:7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c r="BE312" s="130"/>
      <c r="BF312" s="130"/>
      <c r="BG312" s="130"/>
      <c r="BH312" s="130"/>
      <c r="BI312" s="130"/>
      <c r="BJ312" s="130"/>
      <c r="BK312" s="130"/>
      <c r="BL312" s="130"/>
      <c r="BM312" s="130"/>
      <c r="BN312" s="130"/>
      <c r="BO312" s="130"/>
      <c r="BP312" s="130"/>
      <c r="BQ312" s="130"/>
      <c r="BR312" s="130"/>
      <c r="BS312" s="130"/>
      <c r="BT312" s="130"/>
    </row>
    <row r="313" spans="1:72"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c r="BE313" s="130"/>
      <c r="BF313" s="130"/>
      <c r="BG313" s="130"/>
      <c r="BH313" s="130"/>
      <c r="BI313" s="130"/>
      <c r="BJ313" s="130"/>
      <c r="BK313" s="130"/>
      <c r="BL313" s="130"/>
      <c r="BM313" s="130"/>
      <c r="BN313" s="130"/>
      <c r="BO313" s="130"/>
      <c r="BP313" s="130"/>
      <c r="BQ313" s="130"/>
      <c r="BR313" s="130"/>
      <c r="BS313" s="130"/>
      <c r="BT313" s="130"/>
    </row>
    <row r="314" spans="1:72"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c r="BE314" s="130"/>
      <c r="BF314" s="130"/>
      <c r="BG314" s="130"/>
      <c r="BH314" s="130"/>
      <c r="BI314" s="130"/>
      <c r="BJ314" s="130"/>
      <c r="BK314" s="130"/>
      <c r="BL314" s="130"/>
      <c r="BM314" s="130"/>
      <c r="BN314" s="130"/>
      <c r="BO314" s="130"/>
      <c r="BP314" s="130"/>
      <c r="BQ314" s="130"/>
      <c r="BR314" s="130"/>
      <c r="BS314" s="130"/>
      <c r="BT314" s="130"/>
    </row>
    <row r="315" spans="1:72"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c r="BE315" s="130"/>
      <c r="BF315" s="130"/>
      <c r="BG315" s="130"/>
      <c r="BH315" s="130"/>
      <c r="BI315" s="130"/>
      <c r="BJ315" s="130"/>
      <c r="BK315" s="130"/>
      <c r="BL315" s="130"/>
      <c r="BM315" s="130"/>
      <c r="BN315" s="130"/>
      <c r="BO315" s="130"/>
      <c r="BP315" s="130"/>
      <c r="BQ315" s="130"/>
      <c r="BR315" s="130"/>
      <c r="BS315" s="130"/>
      <c r="BT315" s="130"/>
    </row>
    <row r="316" spans="1:72"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c r="BB316" s="130"/>
      <c r="BC316" s="130"/>
      <c r="BD316" s="130"/>
      <c r="BE316" s="130"/>
      <c r="BF316" s="130"/>
      <c r="BG316" s="130"/>
      <c r="BH316" s="130"/>
      <c r="BI316" s="130"/>
      <c r="BJ316" s="130"/>
      <c r="BK316" s="130"/>
      <c r="BL316" s="130"/>
      <c r="BM316" s="130"/>
      <c r="BN316" s="130"/>
      <c r="BO316" s="130"/>
      <c r="BP316" s="130"/>
      <c r="BQ316" s="130"/>
      <c r="BR316" s="130"/>
      <c r="BS316" s="130"/>
      <c r="BT316" s="130"/>
    </row>
    <row r="317" spans="1:72"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c r="BB317" s="130"/>
      <c r="BC317" s="130"/>
      <c r="BD317" s="130"/>
      <c r="BE317" s="130"/>
      <c r="BF317" s="130"/>
      <c r="BG317" s="130"/>
      <c r="BH317" s="130"/>
      <c r="BI317" s="130"/>
      <c r="BJ317" s="130"/>
      <c r="BK317" s="130"/>
      <c r="BL317" s="130"/>
      <c r="BM317" s="130"/>
      <c r="BN317" s="130"/>
      <c r="BO317" s="130"/>
      <c r="BP317" s="130"/>
      <c r="BQ317" s="130"/>
      <c r="BR317" s="130"/>
      <c r="BS317" s="130"/>
      <c r="BT317" s="130"/>
    </row>
    <row r="318" spans="1:72"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c r="BB318" s="130"/>
      <c r="BC318" s="130"/>
      <c r="BD318" s="130"/>
      <c r="BE318" s="130"/>
      <c r="BF318" s="130"/>
      <c r="BG318" s="130"/>
      <c r="BH318" s="130"/>
      <c r="BI318" s="130"/>
      <c r="BJ318" s="130"/>
      <c r="BK318" s="130"/>
      <c r="BL318" s="130"/>
      <c r="BM318" s="130"/>
      <c r="BN318" s="130"/>
      <c r="BO318" s="130"/>
      <c r="BP318" s="130"/>
      <c r="BQ318" s="130"/>
      <c r="BR318" s="130"/>
      <c r="BS318" s="130"/>
      <c r="BT318" s="130"/>
    </row>
    <row r="319" spans="1:72"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c r="BB319" s="130"/>
      <c r="BC319" s="130"/>
      <c r="BD319" s="130"/>
      <c r="BE319" s="130"/>
      <c r="BF319" s="130"/>
      <c r="BG319" s="130"/>
      <c r="BH319" s="130"/>
      <c r="BI319" s="130"/>
      <c r="BJ319" s="130"/>
      <c r="BK319" s="130"/>
      <c r="BL319" s="130"/>
      <c r="BM319" s="130"/>
      <c r="BN319" s="130"/>
      <c r="BO319" s="130"/>
      <c r="BP319" s="130"/>
      <c r="BQ319" s="130"/>
      <c r="BR319" s="130"/>
      <c r="BS319" s="130"/>
      <c r="BT319" s="130"/>
    </row>
    <row r="320" spans="1:72"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c r="BE320" s="130"/>
      <c r="BF320" s="130"/>
      <c r="BG320" s="130"/>
      <c r="BH320" s="130"/>
      <c r="BI320" s="130"/>
      <c r="BJ320" s="130"/>
      <c r="BK320" s="130"/>
      <c r="BL320" s="130"/>
      <c r="BM320" s="130"/>
      <c r="BN320" s="130"/>
      <c r="BO320" s="130"/>
      <c r="BP320" s="130"/>
      <c r="BQ320" s="130"/>
      <c r="BR320" s="130"/>
      <c r="BS320" s="130"/>
      <c r="BT320" s="130"/>
    </row>
    <row r="321" spans="1:72"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c r="BA321" s="130"/>
      <c r="BB321" s="130"/>
      <c r="BC321" s="130"/>
      <c r="BD321" s="130"/>
      <c r="BE321" s="130"/>
      <c r="BF321" s="130"/>
      <c r="BG321" s="130"/>
      <c r="BH321" s="130"/>
      <c r="BI321" s="130"/>
      <c r="BJ321" s="130"/>
      <c r="BK321" s="130"/>
      <c r="BL321" s="130"/>
      <c r="BM321" s="130"/>
      <c r="BN321" s="130"/>
      <c r="BO321" s="130"/>
      <c r="BP321" s="130"/>
      <c r="BQ321" s="130"/>
      <c r="BR321" s="130"/>
      <c r="BS321" s="130"/>
      <c r="BT321" s="130"/>
    </row>
    <row r="322" spans="1:7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c r="BA322" s="130"/>
      <c r="BB322" s="130"/>
      <c r="BC322" s="130"/>
      <c r="BD322" s="130"/>
      <c r="BE322" s="130"/>
      <c r="BF322" s="130"/>
      <c r="BG322" s="130"/>
      <c r="BH322" s="130"/>
      <c r="BI322" s="130"/>
      <c r="BJ322" s="130"/>
      <c r="BK322" s="130"/>
      <c r="BL322" s="130"/>
      <c r="BM322" s="130"/>
      <c r="BN322" s="130"/>
      <c r="BO322" s="130"/>
      <c r="BP322" s="130"/>
      <c r="BQ322" s="130"/>
      <c r="BR322" s="130"/>
      <c r="BS322" s="130"/>
      <c r="BT322" s="130"/>
    </row>
    <row r="323" spans="1:72"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c r="BA323" s="130"/>
      <c r="BB323" s="130"/>
      <c r="BC323" s="130"/>
      <c r="BD323" s="130"/>
      <c r="BE323" s="130"/>
      <c r="BF323" s="130"/>
      <c r="BG323" s="130"/>
      <c r="BH323" s="130"/>
      <c r="BI323" s="130"/>
      <c r="BJ323" s="130"/>
      <c r="BK323" s="130"/>
      <c r="BL323" s="130"/>
      <c r="BM323" s="130"/>
      <c r="BN323" s="130"/>
      <c r="BO323" s="130"/>
      <c r="BP323" s="130"/>
      <c r="BQ323" s="130"/>
      <c r="BR323" s="130"/>
      <c r="BS323" s="130"/>
      <c r="BT323" s="130"/>
    </row>
    <row r="324" spans="1:72"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c r="BA324" s="130"/>
      <c r="BB324" s="130"/>
      <c r="BC324" s="130"/>
      <c r="BD324" s="130"/>
      <c r="BE324" s="130"/>
      <c r="BF324" s="130"/>
      <c r="BG324" s="130"/>
      <c r="BH324" s="130"/>
      <c r="BI324" s="130"/>
      <c r="BJ324" s="130"/>
      <c r="BK324" s="130"/>
      <c r="BL324" s="130"/>
      <c r="BM324" s="130"/>
      <c r="BN324" s="130"/>
      <c r="BO324" s="130"/>
      <c r="BP324" s="130"/>
      <c r="BQ324" s="130"/>
      <c r="BR324" s="130"/>
      <c r="BS324" s="130"/>
      <c r="BT324" s="130"/>
    </row>
    <row r="325" spans="1:72"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c r="BA325" s="130"/>
      <c r="BB325" s="130"/>
      <c r="BC325" s="130"/>
      <c r="BD325" s="130"/>
      <c r="BE325" s="130"/>
      <c r="BF325" s="130"/>
      <c r="BG325" s="130"/>
      <c r="BH325" s="130"/>
      <c r="BI325" s="130"/>
      <c r="BJ325" s="130"/>
      <c r="BK325" s="130"/>
      <c r="BL325" s="130"/>
      <c r="BM325" s="130"/>
      <c r="BN325" s="130"/>
      <c r="BO325" s="130"/>
      <c r="BP325" s="130"/>
      <c r="BQ325" s="130"/>
      <c r="BR325" s="130"/>
      <c r="BS325" s="130"/>
      <c r="BT325" s="130"/>
    </row>
    <row r="326" spans="1:72"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c r="BE326" s="130"/>
      <c r="BF326" s="130"/>
      <c r="BG326" s="130"/>
      <c r="BH326" s="130"/>
      <c r="BI326" s="130"/>
      <c r="BJ326" s="130"/>
      <c r="BK326" s="130"/>
      <c r="BL326" s="130"/>
      <c r="BM326" s="130"/>
      <c r="BN326" s="130"/>
      <c r="BO326" s="130"/>
      <c r="BP326" s="130"/>
      <c r="BQ326" s="130"/>
      <c r="BR326" s="130"/>
      <c r="BS326" s="130"/>
      <c r="BT326" s="130"/>
    </row>
    <row r="327" spans="1:72"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c r="BB327" s="130"/>
      <c r="BC327" s="130"/>
      <c r="BD327" s="130"/>
      <c r="BE327" s="130"/>
      <c r="BF327" s="130"/>
      <c r="BG327" s="130"/>
      <c r="BH327" s="130"/>
      <c r="BI327" s="130"/>
      <c r="BJ327" s="130"/>
      <c r="BK327" s="130"/>
      <c r="BL327" s="130"/>
      <c r="BM327" s="130"/>
      <c r="BN327" s="130"/>
      <c r="BO327" s="130"/>
      <c r="BP327" s="130"/>
      <c r="BQ327" s="130"/>
      <c r="BR327" s="130"/>
      <c r="BS327" s="130"/>
      <c r="BT327" s="130"/>
    </row>
    <row r="328" spans="1:72"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c r="BE328" s="130"/>
      <c r="BF328" s="130"/>
      <c r="BG328" s="130"/>
      <c r="BH328" s="130"/>
      <c r="BI328" s="130"/>
      <c r="BJ328" s="130"/>
      <c r="BK328" s="130"/>
      <c r="BL328" s="130"/>
      <c r="BM328" s="130"/>
      <c r="BN328" s="130"/>
      <c r="BO328" s="130"/>
      <c r="BP328" s="130"/>
      <c r="BQ328" s="130"/>
      <c r="BR328" s="130"/>
      <c r="BS328" s="130"/>
      <c r="BT328" s="130"/>
    </row>
    <row r="329" spans="1:72"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c r="BB329" s="130"/>
      <c r="BC329" s="130"/>
      <c r="BD329" s="130"/>
      <c r="BE329" s="130"/>
      <c r="BF329" s="130"/>
      <c r="BG329" s="130"/>
      <c r="BH329" s="130"/>
      <c r="BI329" s="130"/>
      <c r="BJ329" s="130"/>
      <c r="BK329" s="130"/>
      <c r="BL329" s="130"/>
      <c r="BM329" s="130"/>
      <c r="BN329" s="130"/>
      <c r="BO329" s="130"/>
      <c r="BP329" s="130"/>
      <c r="BQ329" s="130"/>
      <c r="BR329" s="130"/>
      <c r="BS329" s="130"/>
      <c r="BT329" s="130"/>
    </row>
    <row r="330" spans="1:72"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c r="BB330" s="130"/>
      <c r="BC330" s="130"/>
      <c r="BD330" s="130"/>
      <c r="BE330" s="130"/>
      <c r="BF330" s="130"/>
      <c r="BG330" s="130"/>
      <c r="BH330" s="130"/>
      <c r="BI330" s="130"/>
      <c r="BJ330" s="130"/>
      <c r="BK330" s="130"/>
      <c r="BL330" s="130"/>
      <c r="BM330" s="130"/>
      <c r="BN330" s="130"/>
      <c r="BO330" s="130"/>
      <c r="BP330" s="130"/>
      <c r="BQ330" s="130"/>
      <c r="BR330" s="130"/>
      <c r="BS330" s="130"/>
      <c r="BT330" s="130"/>
    </row>
    <row r="331" spans="1:72"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c r="BB331" s="130"/>
      <c r="BC331" s="130"/>
      <c r="BD331" s="130"/>
      <c r="BE331" s="130"/>
      <c r="BF331" s="130"/>
      <c r="BG331" s="130"/>
      <c r="BH331" s="130"/>
      <c r="BI331" s="130"/>
      <c r="BJ331" s="130"/>
      <c r="BK331" s="130"/>
      <c r="BL331" s="130"/>
      <c r="BM331" s="130"/>
      <c r="BN331" s="130"/>
      <c r="BO331" s="130"/>
      <c r="BP331" s="130"/>
      <c r="BQ331" s="130"/>
      <c r="BR331" s="130"/>
      <c r="BS331" s="130"/>
      <c r="BT331" s="130"/>
    </row>
    <row r="332" spans="1:7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c r="BE332" s="130"/>
      <c r="BF332" s="130"/>
      <c r="BG332" s="130"/>
      <c r="BH332" s="130"/>
      <c r="BI332" s="130"/>
      <c r="BJ332" s="130"/>
      <c r="BK332" s="130"/>
      <c r="BL332" s="130"/>
      <c r="BM332" s="130"/>
      <c r="BN332" s="130"/>
      <c r="BO332" s="130"/>
      <c r="BP332" s="130"/>
      <c r="BQ332" s="130"/>
      <c r="BR332" s="130"/>
      <c r="BS332" s="130"/>
      <c r="BT332" s="130"/>
    </row>
    <row r="333" spans="1:72"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c r="BB333" s="130"/>
      <c r="BC333" s="130"/>
      <c r="BD333" s="130"/>
      <c r="BE333" s="130"/>
      <c r="BF333" s="130"/>
      <c r="BG333" s="130"/>
      <c r="BH333" s="130"/>
      <c r="BI333" s="130"/>
      <c r="BJ333" s="130"/>
      <c r="BK333" s="130"/>
      <c r="BL333" s="130"/>
      <c r="BM333" s="130"/>
      <c r="BN333" s="130"/>
      <c r="BO333" s="130"/>
      <c r="BP333" s="130"/>
      <c r="BQ333" s="130"/>
      <c r="BR333" s="130"/>
      <c r="BS333" s="130"/>
      <c r="BT333" s="130"/>
    </row>
    <row r="334" spans="1:72"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c r="BE334" s="130"/>
      <c r="BF334" s="130"/>
      <c r="BG334" s="130"/>
      <c r="BH334" s="130"/>
      <c r="BI334" s="130"/>
      <c r="BJ334" s="130"/>
      <c r="BK334" s="130"/>
      <c r="BL334" s="130"/>
      <c r="BM334" s="130"/>
      <c r="BN334" s="130"/>
      <c r="BO334" s="130"/>
      <c r="BP334" s="130"/>
      <c r="BQ334" s="130"/>
      <c r="BR334" s="130"/>
      <c r="BS334" s="130"/>
      <c r="BT334" s="130"/>
    </row>
    <row r="335" spans="1:72"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c r="BE335" s="130"/>
      <c r="BF335" s="130"/>
      <c r="BG335" s="130"/>
      <c r="BH335" s="130"/>
      <c r="BI335" s="130"/>
      <c r="BJ335" s="130"/>
      <c r="BK335" s="130"/>
      <c r="BL335" s="130"/>
      <c r="BM335" s="130"/>
      <c r="BN335" s="130"/>
      <c r="BO335" s="130"/>
      <c r="BP335" s="130"/>
      <c r="BQ335" s="130"/>
      <c r="BR335" s="130"/>
      <c r="BS335" s="130"/>
      <c r="BT335" s="130"/>
    </row>
    <row r="336" spans="1:72"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c r="BB336" s="130"/>
      <c r="BC336" s="130"/>
      <c r="BD336" s="130"/>
      <c r="BE336" s="130"/>
      <c r="BF336" s="130"/>
      <c r="BG336" s="130"/>
      <c r="BH336" s="130"/>
      <c r="BI336" s="130"/>
      <c r="BJ336" s="130"/>
      <c r="BK336" s="130"/>
      <c r="BL336" s="130"/>
      <c r="BM336" s="130"/>
      <c r="BN336" s="130"/>
      <c r="BO336" s="130"/>
      <c r="BP336" s="130"/>
      <c r="BQ336" s="130"/>
      <c r="BR336" s="130"/>
      <c r="BS336" s="130"/>
      <c r="BT336" s="130"/>
    </row>
    <row r="337" spans="1:72"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c r="BE337" s="130"/>
      <c r="BF337" s="130"/>
      <c r="BG337" s="130"/>
      <c r="BH337" s="130"/>
      <c r="BI337" s="130"/>
      <c r="BJ337" s="130"/>
      <c r="BK337" s="130"/>
      <c r="BL337" s="130"/>
      <c r="BM337" s="130"/>
      <c r="BN337" s="130"/>
      <c r="BO337" s="130"/>
      <c r="BP337" s="130"/>
      <c r="BQ337" s="130"/>
      <c r="BR337" s="130"/>
      <c r="BS337" s="130"/>
      <c r="BT337" s="130"/>
    </row>
    <row r="338" spans="1:72"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c r="BE338" s="130"/>
      <c r="BF338" s="130"/>
      <c r="BG338" s="130"/>
      <c r="BH338" s="130"/>
      <c r="BI338" s="130"/>
      <c r="BJ338" s="130"/>
      <c r="BK338" s="130"/>
      <c r="BL338" s="130"/>
      <c r="BM338" s="130"/>
      <c r="BN338" s="130"/>
      <c r="BO338" s="130"/>
      <c r="BP338" s="130"/>
      <c r="BQ338" s="130"/>
      <c r="BR338" s="130"/>
      <c r="BS338" s="130"/>
      <c r="BT338" s="130"/>
    </row>
    <row r="339" spans="1:72"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c r="BB339" s="130"/>
      <c r="BC339" s="130"/>
      <c r="BD339" s="130"/>
      <c r="BE339" s="130"/>
      <c r="BF339" s="130"/>
      <c r="BG339" s="130"/>
      <c r="BH339" s="130"/>
      <c r="BI339" s="130"/>
      <c r="BJ339" s="130"/>
      <c r="BK339" s="130"/>
      <c r="BL339" s="130"/>
      <c r="BM339" s="130"/>
      <c r="BN339" s="130"/>
      <c r="BO339" s="130"/>
      <c r="BP339" s="130"/>
      <c r="BQ339" s="130"/>
      <c r="BR339" s="130"/>
      <c r="BS339" s="130"/>
      <c r="BT339" s="130"/>
    </row>
    <row r="340" spans="1:72"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c r="BB340" s="130"/>
      <c r="BC340" s="130"/>
      <c r="BD340" s="130"/>
      <c r="BE340" s="130"/>
      <c r="BF340" s="130"/>
      <c r="BG340" s="130"/>
      <c r="BH340" s="130"/>
      <c r="BI340" s="130"/>
      <c r="BJ340" s="130"/>
      <c r="BK340" s="130"/>
      <c r="BL340" s="130"/>
      <c r="BM340" s="130"/>
      <c r="BN340" s="130"/>
      <c r="BO340" s="130"/>
      <c r="BP340" s="130"/>
      <c r="BQ340" s="130"/>
      <c r="BR340" s="130"/>
      <c r="BS340" s="130"/>
      <c r="BT340" s="130"/>
    </row>
    <row r="341" spans="1:72"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c r="BB341" s="130"/>
      <c r="BC341" s="130"/>
      <c r="BD341" s="130"/>
      <c r="BE341" s="130"/>
      <c r="BF341" s="130"/>
      <c r="BG341" s="130"/>
      <c r="BH341" s="130"/>
      <c r="BI341" s="130"/>
      <c r="BJ341" s="130"/>
      <c r="BK341" s="130"/>
      <c r="BL341" s="130"/>
      <c r="BM341" s="130"/>
      <c r="BN341" s="130"/>
      <c r="BO341" s="130"/>
      <c r="BP341" s="130"/>
      <c r="BQ341" s="130"/>
      <c r="BR341" s="130"/>
      <c r="BS341" s="130"/>
      <c r="BT341" s="130"/>
    </row>
    <row r="342" spans="1:7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c r="BB342" s="130"/>
      <c r="BC342" s="130"/>
      <c r="BD342" s="130"/>
      <c r="BE342" s="130"/>
      <c r="BF342" s="130"/>
      <c r="BG342" s="130"/>
      <c r="BH342" s="130"/>
      <c r="BI342" s="130"/>
      <c r="BJ342" s="130"/>
      <c r="BK342" s="130"/>
      <c r="BL342" s="130"/>
      <c r="BM342" s="130"/>
      <c r="BN342" s="130"/>
      <c r="BO342" s="130"/>
      <c r="BP342" s="130"/>
      <c r="BQ342" s="130"/>
      <c r="BR342" s="130"/>
      <c r="BS342" s="130"/>
      <c r="BT342" s="130"/>
    </row>
    <row r="343" spans="1:72"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c r="BB343" s="130"/>
      <c r="BC343" s="130"/>
      <c r="BD343" s="130"/>
      <c r="BE343" s="130"/>
      <c r="BF343" s="130"/>
      <c r="BG343" s="130"/>
      <c r="BH343" s="130"/>
      <c r="BI343" s="130"/>
      <c r="BJ343" s="130"/>
      <c r="BK343" s="130"/>
      <c r="BL343" s="130"/>
      <c r="BM343" s="130"/>
      <c r="BN343" s="130"/>
      <c r="BO343" s="130"/>
      <c r="BP343" s="130"/>
      <c r="BQ343" s="130"/>
      <c r="BR343" s="130"/>
      <c r="BS343" s="130"/>
      <c r="BT343" s="130"/>
    </row>
    <row r="344" spans="1:72"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c r="BB344" s="130"/>
      <c r="BC344" s="130"/>
      <c r="BD344" s="130"/>
      <c r="BE344" s="130"/>
      <c r="BF344" s="130"/>
      <c r="BG344" s="130"/>
      <c r="BH344" s="130"/>
      <c r="BI344" s="130"/>
      <c r="BJ344" s="130"/>
      <c r="BK344" s="130"/>
      <c r="BL344" s="130"/>
      <c r="BM344" s="130"/>
      <c r="BN344" s="130"/>
      <c r="BO344" s="130"/>
      <c r="BP344" s="130"/>
      <c r="BQ344" s="130"/>
      <c r="BR344" s="130"/>
      <c r="BS344" s="130"/>
      <c r="BT344" s="130"/>
    </row>
    <row r="345" spans="1:72"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c r="BE345" s="130"/>
      <c r="BF345" s="130"/>
      <c r="BG345" s="130"/>
      <c r="BH345" s="130"/>
      <c r="BI345" s="130"/>
      <c r="BJ345" s="130"/>
      <c r="BK345" s="130"/>
      <c r="BL345" s="130"/>
      <c r="BM345" s="130"/>
      <c r="BN345" s="130"/>
      <c r="BO345" s="130"/>
      <c r="BP345" s="130"/>
      <c r="BQ345" s="130"/>
      <c r="BR345" s="130"/>
      <c r="BS345" s="130"/>
      <c r="BT345" s="130"/>
    </row>
    <row r="346" spans="1:72"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c r="BB346" s="130"/>
      <c r="BC346" s="130"/>
      <c r="BD346" s="130"/>
      <c r="BE346" s="130"/>
      <c r="BF346" s="130"/>
      <c r="BG346" s="130"/>
      <c r="BH346" s="130"/>
      <c r="BI346" s="130"/>
      <c r="BJ346" s="130"/>
      <c r="BK346" s="130"/>
      <c r="BL346" s="130"/>
      <c r="BM346" s="130"/>
      <c r="BN346" s="130"/>
      <c r="BO346" s="130"/>
      <c r="BP346" s="130"/>
      <c r="BQ346" s="130"/>
      <c r="BR346" s="130"/>
      <c r="BS346" s="130"/>
      <c r="BT346" s="130"/>
    </row>
    <row r="347" spans="1:72"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c r="BA347" s="130"/>
      <c r="BB347" s="130"/>
      <c r="BC347" s="130"/>
      <c r="BD347" s="130"/>
      <c r="BE347" s="130"/>
      <c r="BF347" s="130"/>
      <c r="BG347" s="130"/>
      <c r="BH347" s="130"/>
      <c r="BI347" s="130"/>
      <c r="BJ347" s="130"/>
      <c r="BK347" s="130"/>
      <c r="BL347" s="130"/>
      <c r="BM347" s="130"/>
      <c r="BN347" s="130"/>
      <c r="BO347" s="130"/>
      <c r="BP347" s="130"/>
      <c r="BQ347" s="130"/>
      <c r="BR347" s="130"/>
      <c r="BS347" s="130"/>
      <c r="BT347" s="130"/>
    </row>
    <row r="348" spans="1:72"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c r="BA348" s="130"/>
      <c r="BB348" s="130"/>
      <c r="BC348" s="130"/>
      <c r="BD348" s="130"/>
      <c r="BE348" s="130"/>
      <c r="BF348" s="130"/>
      <c r="BG348" s="130"/>
      <c r="BH348" s="130"/>
      <c r="BI348" s="130"/>
      <c r="BJ348" s="130"/>
      <c r="BK348" s="130"/>
      <c r="BL348" s="130"/>
      <c r="BM348" s="130"/>
      <c r="BN348" s="130"/>
      <c r="BO348" s="130"/>
      <c r="BP348" s="130"/>
      <c r="BQ348" s="130"/>
      <c r="BR348" s="130"/>
      <c r="BS348" s="130"/>
      <c r="BT348" s="130"/>
    </row>
    <row r="349" spans="1:72"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c r="BA349" s="130"/>
      <c r="BB349" s="130"/>
      <c r="BC349" s="130"/>
      <c r="BD349" s="130"/>
      <c r="BE349" s="130"/>
      <c r="BF349" s="130"/>
      <c r="BG349" s="130"/>
      <c r="BH349" s="130"/>
      <c r="BI349" s="130"/>
      <c r="BJ349" s="130"/>
      <c r="BK349" s="130"/>
      <c r="BL349" s="130"/>
      <c r="BM349" s="130"/>
      <c r="BN349" s="130"/>
      <c r="BO349" s="130"/>
      <c r="BP349" s="130"/>
      <c r="BQ349" s="130"/>
      <c r="BR349" s="130"/>
      <c r="BS349" s="130"/>
      <c r="BT349" s="130"/>
    </row>
    <row r="350" spans="1:72"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c r="BA350" s="130"/>
      <c r="BB350" s="130"/>
      <c r="BC350" s="130"/>
      <c r="BD350" s="130"/>
      <c r="BE350" s="130"/>
      <c r="BF350" s="130"/>
      <c r="BG350" s="130"/>
      <c r="BH350" s="130"/>
      <c r="BI350" s="130"/>
      <c r="BJ350" s="130"/>
      <c r="BK350" s="130"/>
      <c r="BL350" s="130"/>
      <c r="BM350" s="130"/>
      <c r="BN350" s="130"/>
      <c r="BO350" s="130"/>
      <c r="BP350" s="130"/>
      <c r="BQ350" s="130"/>
      <c r="BR350" s="130"/>
      <c r="BS350" s="130"/>
      <c r="BT350" s="130"/>
    </row>
    <row r="351" spans="1:72"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c r="BA351" s="130"/>
      <c r="BB351" s="130"/>
      <c r="BC351" s="130"/>
      <c r="BD351" s="130"/>
      <c r="BE351" s="130"/>
      <c r="BF351" s="130"/>
      <c r="BG351" s="130"/>
      <c r="BH351" s="130"/>
      <c r="BI351" s="130"/>
      <c r="BJ351" s="130"/>
      <c r="BK351" s="130"/>
      <c r="BL351" s="130"/>
      <c r="BM351" s="130"/>
      <c r="BN351" s="130"/>
      <c r="BO351" s="130"/>
      <c r="BP351" s="130"/>
      <c r="BQ351" s="130"/>
      <c r="BR351" s="130"/>
      <c r="BS351" s="130"/>
      <c r="BT351" s="130"/>
    </row>
    <row r="352" spans="1:7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c r="BA352" s="130"/>
      <c r="BB352" s="130"/>
      <c r="BC352" s="130"/>
      <c r="BD352" s="130"/>
      <c r="BE352" s="130"/>
      <c r="BF352" s="130"/>
      <c r="BG352" s="130"/>
      <c r="BH352" s="130"/>
      <c r="BI352" s="130"/>
      <c r="BJ352" s="130"/>
      <c r="BK352" s="130"/>
      <c r="BL352" s="130"/>
      <c r="BM352" s="130"/>
      <c r="BN352" s="130"/>
      <c r="BO352" s="130"/>
      <c r="BP352" s="130"/>
      <c r="BQ352" s="130"/>
      <c r="BR352" s="130"/>
      <c r="BS352" s="130"/>
      <c r="BT352" s="130"/>
    </row>
    <row r="353" spans="1:72"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c r="BA353" s="130"/>
      <c r="BB353" s="130"/>
      <c r="BC353" s="130"/>
      <c r="BD353" s="130"/>
      <c r="BE353" s="130"/>
      <c r="BF353" s="130"/>
      <c r="BG353" s="130"/>
      <c r="BH353" s="130"/>
      <c r="BI353" s="130"/>
      <c r="BJ353" s="130"/>
      <c r="BK353" s="130"/>
      <c r="BL353" s="130"/>
      <c r="BM353" s="130"/>
      <c r="BN353" s="130"/>
      <c r="BO353" s="130"/>
      <c r="BP353" s="130"/>
      <c r="BQ353" s="130"/>
      <c r="BR353" s="130"/>
      <c r="BS353" s="130"/>
      <c r="BT353" s="130"/>
    </row>
    <row r="354" spans="1:72"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c r="BE354" s="130"/>
      <c r="BF354" s="130"/>
      <c r="BG354" s="130"/>
      <c r="BH354" s="130"/>
      <c r="BI354" s="130"/>
      <c r="BJ354" s="130"/>
      <c r="BK354" s="130"/>
      <c r="BL354" s="130"/>
      <c r="BM354" s="130"/>
      <c r="BN354" s="130"/>
      <c r="BO354" s="130"/>
      <c r="BP354" s="130"/>
      <c r="BQ354" s="130"/>
      <c r="BR354" s="130"/>
      <c r="BS354" s="130"/>
      <c r="BT354" s="130"/>
    </row>
    <row r="355" spans="1:72"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c r="BB355" s="130"/>
      <c r="BC355" s="130"/>
      <c r="BD355" s="130"/>
      <c r="BE355" s="130"/>
      <c r="BF355" s="130"/>
      <c r="BG355" s="130"/>
      <c r="BH355" s="130"/>
      <c r="BI355" s="130"/>
      <c r="BJ355" s="130"/>
      <c r="BK355" s="130"/>
      <c r="BL355" s="130"/>
      <c r="BM355" s="130"/>
      <c r="BN355" s="130"/>
      <c r="BO355" s="130"/>
      <c r="BP355" s="130"/>
      <c r="BQ355" s="130"/>
      <c r="BR355" s="130"/>
      <c r="BS355" s="130"/>
      <c r="BT355" s="130"/>
    </row>
    <row r="356" spans="1:72"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c r="BA356" s="130"/>
      <c r="BB356" s="130"/>
      <c r="BC356" s="130"/>
      <c r="BD356" s="130"/>
      <c r="BE356" s="130"/>
      <c r="BF356" s="130"/>
      <c r="BG356" s="130"/>
      <c r="BH356" s="130"/>
      <c r="BI356" s="130"/>
      <c r="BJ356" s="130"/>
      <c r="BK356" s="130"/>
      <c r="BL356" s="130"/>
      <c r="BM356" s="130"/>
      <c r="BN356" s="130"/>
      <c r="BO356" s="130"/>
      <c r="BP356" s="130"/>
      <c r="BQ356" s="130"/>
      <c r="BR356" s="130"/>
      <c r="BS356" s="130"/>
      <c r="BT356" s="130"/>
    </row>
    <row r="357" spans="1:72"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c r="BA357" s="130"/>
      <c r="BB357" s="130"/>
      <c r="BC357" s="130"/>
      <c r="BD357" s="130"/>
      <c r="BE357" s="130"/>
      <c r="BF357" s="130"/>
      <c r="BG357" s="130"/>
      <c r="BH357" s="130"/>
      <c r="BI357" s="130"/>
      <c r="BJ357" s="130"/>
      <c r="BK357" s="130"/>
      <c r="BL357" s="130"/>
      <c r="BM357" s="130"/>
      <c r="BN357" s="130"/>
      <c r="BO357" s="130"/>
      <c r="BP357" s="130"/>
      <c r="BQ357" s="130"/>
      <c r="BR357" s="130"/>
      <c r="BS357" s="130"/>
      <c r="BT357" s="130"/>
    </row>
    <row r="358" spans="1:72"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c r="BA358" s="130"/>
      <c r="BB358" s="130"/>
      <c r="BC358" s="130"/>
      <c r="BD358" s="130"/>
      <c r="BE358" s="130"/>
      <c r="BF358" s="130"/>
      <c r="BG358" s="130"/>
      <c r="BH358" s="130"/>
      <c r="BI358" s="130"/>
      <c r="BJ358" s="130"/>
      <c r="BK358" s="130"/>
      <c r="BL358" s="130"/>
      <c r="BM358" s="130"/>
      <c r="BN358" s="130"/>
      <c r="BO358" s="130"/>
      <c r="BP358" s="130"/>
      <c r="BQ358" s="130"/>
      <c r="BR358" s="130"/>
      <c r="BS358" s="130"/>
      <c r="BT358" s="130"/>
    </row>
    <row r="359" spans="1:72"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c r="BA359" s="130"/>
      <c r="BB359" s="130"/>
      <c r="BC359" s="130"/>
      <c r="BD359" s="130"/>
      <c r="BE359" s="130"/>
      <c r="BF359" s="130"/>
      <c r="BG359" s="130"/>
      <c r="BH359" s="130"/>
      <c r="BI359" s="130"/>
      <c r="BJ359" s="130"/>
      <c r="BK359" s="130"/>
      <c r="BL359" s="130"/>
      <c r="BM359" s="130"/>
      <c r="BN359" s="130"/>
      <c r="BO359" s="130"/>
      <c r="BP359" s="130"/>
      <c r="BQ359" s="130"/>
      <c r="BR359" s="130"/>
      <c r="BS359" s="130"/>
      <c r="BT359" s="130"/>
    </row>
    <row r="360" spans="1:72"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c r="BB360" s="130"/>
      <c r="BC360" s="130"/>
      <c r="BD360" s="130"/>
      <c r="BE360" s="130"/>
      <c r="BF360" s="130"/>
      <c r="BG360" s="130"/>
      <c r="BH360" s="130"/>
      <c r="BI360" s="130"/>
      <c r="BJ360" s="130"/>
      <c r="BK360" s="130"/>
      <c r="BL360" s="130"/>
      <c r="BM360" s="130"/>
      <c r="BN360" s="130"/>
      <c r="BO360" s="130"/>
      <c r="BP360" s="130"/>
      <c r="BQ360" s="130"/>
      <c r="BR360" s="130"/>
      <c r="BS360" s="130"/>
      <c r="BT360" s="130"/>
    </row>
    <row r="361" spans="1:72"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c r="BA361" s="130"/>
      <c r="BB361" s="130"/>
      <c r="BC361" s="130"/>
      <c r="BD361" s="130"/>
      <c r="BE361" s="130"/>
      <c r="BF361" s="130"/>
      <c r="BG361" s="130"/>
      <c r="BH361" s="130"/>
      <c r="BI361" s="130"/>
      <c r="BJ361" s="130"/>
      <c r="BK361" s="130"/>
      <c r="BL361" s="130"/>
      <c r="BM361" s="130"/>
      <c r="BN361" s="130"/>
      <c r="BO361" s="130"/>
      <c r="BP361" s="130"/>
      <c r="BQ361" s="130"/>
      <c r="BR361" s="130"/>
      <c r="BS361" s="130"/>
      <c r="BT361" s="130"/>
    </row>
    <row r="362" spans="1:7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c r="BA362" s="130"/>
      <c r="BB362" s="130"/>
      <c r="BC362" s="130"/>
      <c r="BD362" s="130"/>
      <c r="BE362" s="130"/>
      <c r="BF362" s="130"/>
      <c r="BG362" s="130"/>
      <c r="BH362" s="130"/>
      <c r="BI362" s="130"/>
      <c r="BJ362" s="130"/>
      <c r="BK362" s="130"/>
      <c r="BL362" s="130"/>
      <c r="BM362" s="130"/>
      <c r="BN362" s="130"/>
      <c r="BO362" s="130"/>
      <c r="BP362" s="130"/>
      <c r="BQ362" s="130"/>
      <c r="BR362" s="130"/>
      <c r="BS362" s="130"/>
      <c r="BT362" s="130"/>
    </row>
    <row r="363" spans="1:72"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c r="BA363" s="130"/>
      <c r="BB363" s="130"/>
      <c r="BC363" s="130"/>
      <c r="BD363" s="130"/>
      <c r="BE363" s="130"/>
      <c r="BF363" s="130"/>
      <c r="BG363" s="130"/>
      <c r="BH363" s="130"/>
      <c r="BI363" s="130"/>
      <c r="BJ363" s="130"/>
      <c r="BK363" s="130"/>
      <c r="BL363" s="130"/>
      <c r="BM363" s="130"/>
      <c r="BN363" s="130"/>
      <c r="BO363" s="130"/>
      <c r="BP363" s="130"/>
      <c r="BQ363" s="130"/>
      <c r="BR363" s="130"/>
      <c r="BS363" s="130"/>
      <c r="BT363" s="130"/>
    </row>
    <row r="364" spans="1:72"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c r="BA364" s="130"/>
      <c r="BB364" s="130"/>
      <c r="BC364" s="130"/>
      <c r="BD364" s="130"/>
      <c r="BE364" s="130"/>
      <c r="BF364" s="130"/>
      <c r="BG364" s="130"/>
      <c r="BH364" s="130"/>
      <c r="BI364" s="130"/>
      <c r="BJ364" s="130"/>
      <c r="BK364" s="130"/>
      <c r="BL364" s="130"/>
      <c r="BM364" s="130"/>
      <c r="BN364" s="130"/>
      <c r="BO364" s="130"/>
      <c r="BP364" s="130"/>
      <c r="BQ364" s="130"/>
      <c r="BR364" s="130"/>
      <c r="BS364" s="130"/>
      <c r="BT364" s="130"/>
    </row>
    <row r="365" spans="1:72"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c r="BA365" s="130"/>
      <c r="BB365" s="130"/>
      <c r="BC365" s="130"/>
      <c r="BD365" s="130"/>
      <c r="BE365" s="130"/>
      <c r="BF365" s="130"/>
      <c r="BG365" s="130"/>
      <c r="BH365" s="130"/>
      <c r="BI365" s="130"/>
      <c r="BJ365" s="130"/>
      <c r="BK365" s="130"/>
      <c r="BL365" s="130"/>
      <c r="BM365" s="130"/>
      <c r="BN365" s="130"/>
      <c r="BO365" s="130"/>
      <c r="BP365" s="130"/>
      <c r="BQ365" s="130"/>
      <c r="BR365" s="130"/>
      <c r="BS365" s="130"/>
      <c r="BT365" s="130"/>
    </row>
    <row r="366" spans="1:72"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c r="BB366" s="130"/>
      <c r="BC366" s="130"/>
      <c r="BD366" s="130"/>
      <c r="BE366" s="130"/>
      <c r="BF366" s="130"/>
      <c r="BG366" s="130"/>
      <c r="BH366" s="130"/>
      <c r="BI366" s="130"/>
      <c r="BJ366" s="130"/>
      <c r="BK366" s="130"/>
      <c r="BL366" s="130"/>
      <c r="BM366" s="130"/>
      <c r="BN366" s="130"/>
      <c r="BO366" s="130"/>
      <c r="BP366" s="130"/>
      <c r="BQ366" s="130"/>
      <c r="BR366" s="130"/>
      <c r="BS366" s="130"/>
      <c r="BT366" s="130"/>
    </row>
    <row r="367" spans="1:72"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c r="BA367" s="130"/>
      <c r="BB367" s="130"/>
      <c r="BC367" s="130"/>
      <c r="BD367" s="130"/>
      <c r="BE367" s="130"/>
      <c r="BF367" s="130"/>
      <c r="BG367" s="130"/>
      <c r="BH367" s="130"/>
      <c r="BI367" s="130"/>
      <c r="BJ367" s="130"/>
      <c r="BK367" s="130"/>
      <c r="BL367" s="130"/>
      <c r="BM367" s="130"/>
      <c r="BN367" s="130"/>
      <c r="BO367" s="130"/>
      <c r="BP367" s="130"/>
      <c r="BQ367" s="130"/>
      <c r="BR367" s="130"/>
      <c r="BS367" s="130"/>
      <c r="BT367" s="130"/>
    </row>
    <row r="368" spans="1:72"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c r="BA368" s="130"/>
      <c r="BB368" s="130"/>
      <c r="BC368" s="130"/>
      <c r="BD368" s="130"/>
      <c r="BE368" s="130"/>
      <c r="BF368" s="130"/>
      <c r="BG368" s="130"/>
      <c r="BH368" s="130"/>
      <c r="BI368" s="130"/>
      <c r="BJ368" s="130"/>
      <c r="BK368" s="130"/>
      <c r="BL368" s="130"/>
      <c r="BM368" s="130"/>
      <c r="BN368" s="130"/>
      <c r="BO368" s="130"/>
      <c r="BP368" s="130"/>
      <c r="BQ368" s="130"/>
      <c r="BR368" s="130"/>
      <c r="BS368" s="130"/>
      <c r="BT368" s="130"/>
    </row>
    <row r="369" spans="1:72"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c r="BA369" s="130"/>
      <c r="BB369" s="130"/>
      <c r="BC369" s="130"/>
      <c r="BD369" s="130"/>
      <c r="BE369" s="130"/>
      <c r="BF369" s="130"/>
      <c r="BG369" s="130"/>
      <c r="BH369" s="130"/>
      <c r="BI369" s="130"/>
      <c r="BJ369" s="130"/>
      <c r="BK369" s="130"/>
      <c r="BL369" s="130"/>
      <c r="BM369" s="130"/>
      <c r="BN369" s="130"/>
      <c r="BO369" s="130"/>
      <c r="BP369" s="130"/>
      <c r="BQ369" s="130"/>
      <c r="BR369" s="130"/>
      <c r="BS369" s="130"/>
      <c r="BT369" s="130"/>
    </row>
    <row r="370" spans="1:72"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c r="BA370" s="130"/>
      <c r="BB370" s="130"/>
      <c r="BC370" s="130"/>
      <c r="BD370" s="130"/>
      <c r="BE370" s="130"/>
      <c r="BF370" s="130"/>
      <c r="BG370" s="130"/>
      <c r="BH370" s="130"/>
      <c r="BI370" s="130"/>
      <c r="BJ370" s="130"/>
      <c r="BK370" s="130"/>
      <c r="BL370" s="130"/>
      <c r="BM370" s="130"/>
      <c r="BN370" s="130"/>
      <c r="BO370" s="130"/>
      <c r="BP370" s="130"/>
      <c r="BQ370" s="130"/>
      <c r="BR370" s="130"/>
      <c r="BS370" s="130"/>
      <c r="BT370" s="130"/>
    </row>
    <row r="371" spans="1:72"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c r="BA371" s="130"/>
      <c r="BB371" s="130"/>
      <c r="BC371" s="130"/>
      <c r="BD371" s="130"/>
      <c r="BE371" s="130"/>
      <c r="BF371" s="130"/>
      <c r="BG371" s="130"/>
      <c r="BH371" s="130"/>
      <c r="BI371" s="130"/>
      <c r="BJ371" s="130"/>
      <c r="BK371" s="130"/>
      <c r="BL371" s="130"/>
      <c r="BM371" s="130"/>
      <c r="BN371" s="130"/>
      <c r="BO371" s="130"/>
      <c r="BP371" s="130"/>
      <c r="BQ371" s="130"/>
      <c r="BR371" s="130"/>
      <c r="BS371" s="130"/>
      <c r="BT371" s="130"/>
    </row>
    <row r="372" spans="1: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c r="BB372" s="130"/>
      <c r="BC372" s="130"/>
      <c r="BD372" s="130"/>
      <c r="BE372" s="130"/>
      <c r="BF372" s="130"/>
      <c r="BG372" s="130"/>
      <c r="BH372" s="130"/>
      <c r="BI372" s="130"/>
      <c r="BJ372" s="130"/>
      <c r="BK372" s="130"/>
      <c r="BL372" s="130"/>
      <c r="BM372" s="130"/>
      <c r="BN372" s="130"/>
      <c r="BO372" s="130"/>
      <c r="BP372" s="130"/>
      <c r="BQ372" s="130"/>
      <c r="BR372" s="130"/>
      <c r="BS372" s="130"/>
      <c r="BT372" s="130"/>
    </row>
    <row r="373" spans="1:72"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c r="BA373" s="130"/>
      <c r="BB373" s="130"/>
      <c r="BC373" s="130"/>
      <c r="BD373" s="130"/>
      <c r="BE373" s="130"/>
      <c r="BF373" s="130"/>
      <c r="BG373" s="130"/>
      <c r="BH373" s="130"/>
      <c r="BI373" s="130"/>
      <c r="BJ373" s="130"/>
      <c r="BK373" s="130"/>
      <c r="BL373" s="130"/>
      <c r="BM373" s="130"/>
      <c r="BN373" s="130"/>
      <c r="BO373" s="130"/>
      <c r="BP373" s="130"/>
      <c r="BQ373" s="130"/>
      <c r="BR373" s="130"/>
      <c r="BS373" s="130"/>
      <c r="BT373" s="130"/>
    </row>
    <row r="374" spans="1:72"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c r="BA374" s="130"/>
      <c r="BB374" s="130"/>
      <c r="BC374" s="130"/>
      <c r="BD374" s="130"/>
      <c r="BE374" s="130"/>
      <c r="BF374" s="130"/>
      <c r="BG374" s="130"/>
      <c r="BH374" s="130"/>
      <c r="BI374" s="130"/>
      <c r="BJ374" s="130"/>
      <c r="BK374" s="130"/>
      <c r="BL374" s="130"/>
      <c r="BM374" s="130"/>
      <c r="BN374" s="130"/>
      <c r="BO374" s="130"/>
      <c r="BP374" s="130"/>
      <c r="BQ374" s="130"/>
      <c r="BR374" s="130"/>
      <c r="BS374" s="130"/>
      <c r="BT374" s="130"/>
    </row>
    <row r="375" spans="1:72"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c r="BA375" s="130"/>
      <c r="BB375" s="130"/>
      <c r="BC375" s="130"/>
      <c r="BD375" s="130"/>
      <c r="BE375" s="130"/>
      <c r="BF375" s="130"/>
      <c r="BG375" s="130"/>
      <c r="BH375" s="130"/>
      <c r="BI375" s="130"/>
      <c r="BJ375" s="130"/>
      <c r="BK375" s="130"/>
      <c r="BL375" s="130"/>
      <c r="BM375" s="130"/>
      <c r="BN375" s="130"/>
      <c r="BO375" s="130"/>
      <c r="BP375" s="130"/>
      <c r="BQ375" s="130"/>
      <c r="BR375" s="130"/>
      <c r="BS375" s="130"/>
      <c r="BT375" s="130"/>
    </row>
    <row r="376" spans="1:72"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c r="BA376" s="130"/>
      <c r="BB376" s="130"/>
      <c r="BC376" s="130"/>
      <c r="BD376" s="130"/>
      <c r="BE376" s="130"/>
      <c r="BF376" s="130"/>
      <c r="BG376" s="130"/>
      <c r="BH376" s="130"/>
      <c r="BI376" s="130"/>
      <c r="BJ376" s="130"/>
      <c r="BK376" s="130"/>
      <c r="BL376" s="130"/>
      <c r="BM376" s="130"/>
      <c r="BN376" s="130"/>
      <c r="BO376" s="130"/>
      <c r="BP376" s="130"/>
      <c r="BQ376" s="130"/>
      <c r="BR376" s="130"/>
      <c r="BS376" s="130"/>
      <c r="BT376" s="130"/>
    </row>
    <row r="377" spans="1:72"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c r="BA377" s="130"/>
      <c r="BB377" s="130"/>
      <c r="BC377" s="130"/>
      <c r="BD377" s="130"/>
      <c r="BE377" s="130"/>
      <c r="BF377" s="130"/>
      <c r="BG377" s="130"/>
      <c r="BH377" s="130"/>
      <c r="BI377" s="130"/>
      <c r="BJ377" s="130"/>
      <c r="BK377" s="130"/>
      <c r="BL377" s="130"/>
      <c r="BM377" s="130"/>
      <c r="BN377" s="130"/>
      <c r="BO377" s="130"/>
      <c r="BP377" s="130"/>
      <c r="BQ377" s="130"/>
      <c r="BR377" s="130"/>
      <c r="BS377" s="130"/>
      <c r="BT377" s="130"/>
    </row>
    <row r="378" spans="1:72"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c r="BB378" s="130"/>
      <c r="BC378" s="130"/>
      <c r="BD378" s="130"/>
      <c r="BE378" s="130"/>
      <c r="BF378" s="130"/>
      <c r="BG378" s="130"/>
      <c r="BH378" s="130"/>
      <c r="BI378" s="130"/>
      <c r="BJ378" s="130"/>
      <c r="BK378" s="130"/>
      <c r="BL378" s="130"/>
      <c r="BM378" s="130"/>
      <c r="BN378" s="130"/>
      <c r="BO378" s="130"/>
      <c r="BP378" s="130"/>
      <c r="BQ378" s="130"/>
      <c r="BR378" s="130"/>
      <c r="BS378" s="130"/>
      <c r="BT378" s="130"/>
    </row>
    <row r="379" spans="1:72"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c r="BA379" s="130"/>
      <c r="BB379" s="130"/>
      <c r="BC379" s="130"/>
      <c r="BD379" s="130"/>
      <c r="BE379" s="130"/>
      <c r="BF379" s="130"/>
      <c r="BG379" s="130"/>
      <c r="BH379" s="130"/>
      <c r="BI379" s="130"/>
      <c r="BJ379" s="130"/>
      <c r="BK379" s="130"/>
      <c r="BL379" s="130"/>
      <c r="BM379" s="130"/>
      <c r="BN379" s="130"/>
      <c r="BO379" s="130"/>
      <c r="BP379" s="130"/>
      <c r="BQ379" s="130"/>
      <c r="BR379" s="130"/>
      <c r="BS379" s="130"/>
      <c r="BT379" s="130"/>
    </row>
    <row r="380" spans="1:72"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c r="BA380" s="130"/>
      <c r="BB380" s="130"/>
      <c r="BC380" s="130"/>
      <c r="BD380" s="130"/>
      <c r="BE380" s="130"/>
      <c r="BF380" s="130"/>
      <c r="BG380" s="130"/>
      <c r="BH380" s="130"/>
      <c r="BI380" s="130"/>
      <c r="BJ380" s="130"/>
      <c r="BK380" s="130"/>
      <c r="BL380" s="130"/>
      <c r="BM380" s="130"/>
      <c r="BN380" s="130"/>
      <c r="BO380" s="130"/>
      <c r="BP380" s="130"/>
      <c r="BQ380" s="130"/>
      <c r="BR380" s="130"/>
      <c r="BS380" s="130"/>
      <c r="BT380" s="130"/>
    </row>
    <row r="381" spans="1:72"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c r="BA381" s="130"/>
      <c r="BB381" s="130"/>
      <c r="BC381" s="130"/>
      <c r="BD381" s="130"/>
      <c r="BE381" s="130"/>
      <c r="BF381" s="130"/>
      <c r="BG381" s="130"/>
      <c r="BH381" s="130"/>
      <c r="BI381" s="130"/>
      <c r="BJ381" s="130"/>
      <c r="BK381" s="130"/>
      <c r="BL381" s="130"/>
      <c r="BM381" s="130"/>
      <c r="BN381" s="130"/>
      <c r="BO381" s="130"/>
      <c r="BP381" s="130"/>
      <c r="BQ381" s="130"/>
      <c r="BR381" s="130"/>
      <c r="BS381" s="130"/>
      <c r="BT381" s="130"/>
    </row>
    <row r="382" spans="1:7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c r="BA382" s="130"/>
      <c r="BB382" s="130"/>
      <c r="BC382" s="130"/>
      <c r="BD382" s="130"/>
      <c r="BE382" s="130"/>
      <c r="BF382" s="130"/>
      <c r="BG382" s="130"/>
      <c r="BH382" s="130"/>
      <c r="BI382" s="130"/>
      <c r="BJ382" s="130"/>
      <c r="BK382" s="130"/>
      <c r="BL382" s="130"/>
      <c r="BM382" s="130"/>
      <c r="BN382" s="130"/>
      <c r="BO382" s="130"/>
      <c r="BP382" s="130"/>
      <c r="BQ382" s="130"/>
      <c r="BR382" s="130"/>
      <c r="BS382" s="130"/>
      <c r="BT382" s="130"/>
    </row>
    <row r="383" spans="1:72"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c r="BA383" s="130"/>
      <c r="BB383" s="130"/>
      <c r="BC383" s="130"/>
      <c r="BD383" s="130"/>
      <c r="BE383" s="130"/>
      <c r="BF383" s="130"/>
      <c r="BG383" s="130"/>
      <c r="BH383" s="130"/>
      <c r="BI383" s="130"/>
      <c r="BJ383" s="130"/>
      <c r="BK383" s="130"/>
      <c r="BL383" s="130"/>
      <c r="BM383" s="130"/>
      <c r="BN383" s="130"/>
      <c r="BO383" s="130"/>
      <c r="BP383" s="130"/>
      <c r="BQ383" s="130"/>
      <c r="BR383" s="130"/>
      <c r="BS383" s="130"/>
      <c r="BT383" s="130"/>
    </row>
    <row r="384" spans="1:72"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c r="BB384" s="130"/>
      <c r="BC384" s="130"/>
      <c r="BD384" s="130"/>
      <c r="BE384" s="130"/>
      <c r="BF384" s="130"/>
      <c r="BG384" s="130"/>
      <c r="BH384" s="130"/>
      <c r="BI384" s="130"/>
      <c r="BJ384" s="130"/>
      <c r="BK384" s="130"/>
      <c r="BL384" s="130"/>
      <c r="BM384" s="130"/>
      <c r="BN384" s="130"/>
      <c r="BO384" s="130"/>
      <c r="BP384" s="130"/>
      <c r="BQ384" s="130"/>
      <c r="BR384" s="130"/>
      <c r="BS384" s="130"/>
      <c r="BT384" s="130"/>
    </row>
    <row r="385" spans="1:72"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c r="BA385" s="130"/>
      <c r="BB385" s="130"/>
      <c r="BC385" s="130"/>
      <c r="BD385" s="130"/>
      <c r="BE385" s="130"/>
      <c r="BF385" s="130"/>
      <c r="BG385" s="130"/>
      <c r="BH385" s="130"/>
      <c r="BI385" s="130"/>
      <c r="BJ385" s="130"/>
      <c r="BK385" s="130"/>
      <c r="BL385" s="130"/>
      <c r="BM385" s="130"/>
      <c r="BN385" s="130"/>
      <c r="BO385" s="130"/>
      <c r="BP385" s="130"/>
      <c r="BQ385" s="130"/>
      <c r="BR385" s="130"/>
      <c r="BS385" s="130"/>
      <c r="BT385" s="130"/>
    </row>
    <row r="386" spans="1:72"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c r="BA386" s="130"/>
      <c r="BB386" s="130"/>
      <c r="BC386" s="130"/>
      <c r="BD386" s="130"/>
      <c r="BE386" s="130"/>
      <c r="BF386" s="130"/>
      <c r="BG386" s="130"/>
      <c r="BH386" s="130"/>
      <c r="BI386" s="130"/>
      <c r="BJ386" s="130"/>
      <c r="BK386" s="130"/>
      <c r="BL386" s="130"/>
      <c r="BM386" s="130"/>
      <c r="BN386" s="130"/>
      <c r="BO386" s="130"/>
      <c r="BP386" s="130"/>
      <c r="BQ386" s="130"/>
      <c r="BR386" s="130"/>
      <c r="BS386" s="130"/>
      <c r="BT386" s="130"/>
    </row>
    <row r="387" spans="1:72"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c r="BA387" s="130"/>
      <c r="BB387" s="130"/>
      <c r="BC387" s="130"/>
      <c r="BD387" s="130"/>
      <c r="BE387" s="130"/>
      <c r="BF387" s="130"/>
      <c r="BG387" s="130"/>
      <c r="BH387" s="130"/>
      <c r="BI387" s="130"/>
      <c r="BJ387" s="130"/>
      <c r="BK387" s="130"/>
      <c r="BL387" s="130"/>
      <c r="BM387" s="130"/>
      <c r="BN387" s="130"/>
      <c r="BO387" s="130"/>
      <c r="BP387" s="130"/>
      <c r="BQ387" s="130"/>
      <c r="BR387" s="130"/>
      <c r="BS387" s="130"/>
      <c r="BT387" s="130"/>
    </row>
    <row r="388" spans="1:72"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c r="BA388" s="130"/>
      <c r="BB388" s="130"/>
      <c r="BC388" s="130"/>
      <c r="BD388" s="130"/>
      <c r="BE388" s="130"/>
      <c r="BF388" s="130"/>
      <c r="BG388" s="130"/>
      <c r="BH388" s="130"/>
      <c r="BI388" s="130"/>
      <c r="BJ388" s="130"/>
      <c r="BK388" s="130"/>
      <c r="BL388" s="130"/>
      <c r="BM388" s="130"/>
      <c r="BN388" s="130"/>
      <c r="BO388" s="130"/>
      <c r="BP388" s="130"/>
      <c r="BQ388" s="130"/>
      <c r="BR388" s="130"/>
      <c r="BS388" s="130"/>
      <c r="BT388" s="130"/>
    </row>
    <row r="389" spans="1:72"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c r="BA389" s="130"/>
      <c r="BB389" s="130"/>
      <c r="BC389" s="130"/>
      <c r="BD389" s="130"/>
      <c r="BE389" s="130"/>
      <c r="BF389" s="130"/>
      <c r="BG389" s="130"/>
      <c r="BH389" s="130"/>
      <c r="BI389" s="130"/>
      <c r="BJ389" s="130"/>
      <c r="BK389" s="130"/>
      <c r="BL389" s="130"/>
      <c r="BM389" s="130"/>
      <c r="BN389" s="130"/>
      <c r="BO389" s="130"/>
      <c r="BP389" s="130"/>
      <c r="BQ389" s="130"/>
      <c r="BR389" s="130"/>
      <c r="BS389" s="130"/>
      <c r="BT389" s="130"/>
    </row>
    <row r="390" spans="1:72"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c r="BB390" s="130"/>
      <c r="BC390" s="130"/>
      <c r="BD390" s="130"/>
      <c r="BE390" s="130"/>
      <c r="BF390" s="130"/>
      <c r="BG390" s="130"/>
      <c r="BH390" s="130"/>
      <c r="BI390" s="130"/>
      <c r="BJ390" s="130"/>
      <c r="BK390" s="130"/>
      <c r="BL390" s="130"/>
      <c r="BM390" s="130"/>
      <c r="BN390" s="130"/>
      <c r="BO390" s="130"/>
      <c r="BP390" s="130"/>
      <c r="BQ390" s="130"/>
      <c r="BR390" s="130"/>
      <c r="BS390" s="130"/>
      <c r="BT390" s="130"/>
    </row>
    <row r="391" spans="1:72"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c r="BA391" s="130"/>
      <c r="BB391" s="130"/>
      <c r="BC391" s="130"/>
      <c r="BD391" s="130"/>
      <c r="BE391" s="130"/>
      <c r="BF391" s="130"/>
      <c r="BG391" s="130"/>
      <c r="BH391" s="130"/>
      <c r="BI391" s="130"/>
      <c r="BJ391" s="130"/>
      <c r="BK391" s="130"/>
      <c r="BL391" s="130"/>
      <c r="BM391" s="130"/>
      <c r="BN391" s="130"/>
      <c r="BO391" s="130"/>
      <c r="BP391" s="130"/>
      <c r="BQ391" s="130"/>
      <c r="BR391" s="130"/>
      <c r="BS391" s="130"/>
      <c r="BT391" s="130"/>
    </row>
    <row r="392" spans="1:7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c r="BA392" s="130"/>
      <c r="BB392" s="130"/>
      <c r="BC392" s="130"/>
      <c r="BD392" s="130"/>
      <c r="BE392" s="130"/>
      <c r="BF392" s="130"/>
      <c r="BG392" s="130"/>
      <c r="BH392" s="130"/>
      <c r="BI392" s="130"/>
      <c r="BJ392" s="130"/>
      <c r="BK392" s="130"/>
      <c r="BL392" s="130"/>
      <c r="BM392" s="130"/>
      <c r="BN392" s="130"/>
      <c r="BO392" s="130"/>
      <c r="BP392" s="130"/>
      <c r="BQ392" s="130"/>
      <c r="BR392" s="130"/>
      <c r="BS392" s="130"/>
      <c r="BT392" s="130"/>
    </row>
    <row r="393" spans="1:72"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c r="BA393" s="130"/>
      <c r="BB393" s="130"/>
      <c r="BC393" s="130"/>
      <c r="BD393" s="130"/>
      <c r="BE393" s="130"/>
      <c r="BF393" s="130"/>
      <c r="BG393" s="130"/>
      <c r="BH393" s="130"/>
      <c r="BI393" s="130"/>
      <c r="BJ393" s="130"/>
      <c r="BK393" s="130"/>
      <c r="BL393" s="130"/>
      <c r="BM393" s="130"/>
      <c r="BN393" s="130"/>
      <c r="BO393" s="130"/>
      <c r="BP393" s="130"/>
      <c r="BQ393" s="130"/>
      <c r="BR393" s="130"/>
      <c r="BS393" s="130"/>
      <c r="BT393" s="130"/>
    </row>
    <row r="394" spans="1:72"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c r="BA394" s="130"/>
      <c r="BB394" s="130"/>
      <c r="BC394" s="130"/>
      <c r="BD394" s="130"/>
      <c r="BE394" s="130"/>
      <c r="BF394" s="130"/>
      <c r="BG394" s="130"/>
      <c r="BH394" s="130"/>
      <c r="BI394" s="130"/>
      <c r="BJ394" s="130"/>
      <c r="BK394" s="130"/>
      <c r="BL394" s="130"/>
      <c r="BM394" s="130"/>
      <c r="BN394" s="130"/>
      <c r="BO394" s="130"/>
      <c r="BP394" s="130"/>
      <c r="BQ394" s="130"/>
      <c r="BR394" s="130"/>
      <c r="BS394" s="130"/>
      <c r="BT394" s="130"/>
    </row>
    <row r="395" spans="1:72"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c r="BA395" s="130"/>
      <c r="BB395" s="130"/>
      <c r="BC395" s="130"/>
      <c r="BD395" s="130"/>
      <c r="BE395" s="130"/>
      <c r="BF395" s="130"/>
      <c r="BG395" s="130"/>
      <c r="BH395" s="130"/>
      <c r="BI395" s="130"/>
      <c r="BJ395" s="130"/>
      <c r="BK395" s="130"/>
      <c r="BL395" s="130"/>
      <c r="BM395" s="130"/>
      <c r="BN395" s="130"/>
      <c r="BO395" s="130"/>
      <c r="BP395" s="130"/>
      <c r="BQ395" s="130"/>
      <c r="BR395" s="130"/>
      <c r="BS395" s="130"/>
      <c r="BT395" s="130"/>
    </row>
    <row r="396" spans="1:72"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c r="BB396" s="130"/>
      <c r="BC396" s="130"/>
      <c r="BD396" s="130"/>
      <c r="BE396" s="130"/>
      <c r="BF396" s="130"/>
      <c r="BG396" s="130"/>
      <c r="BH396" s="130"/>
      <c r="BI396" s="130"/>
      <c r="BJ396" s="130"/>
      <c r="BK396" s="130"/>
      <c r="BL396" s="130"/>
      <c r="BM396" s="130"/>
      <c r="BN396" s="130"/>
      <c r="BO396" s="130"/>
      <c r="BP396" s="130"/>
      <c r="BQ396" s="130"/>
      <c r="BR396" s="130"/>
      <c r="BS396" s="130"/>
      <c r="BT396" s="130"/>
    </row>
    <row r="397" spans="1:72"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c r="BA397" s="130"/>
      <c r="BB397" s="130"/>
      <c r="BC397" s="130"/>
      <c r="BD397" s="130"/>
      <c r="BE397" s="130"/>
      <c r="BF397" s="130"/>
      <c r="BG397" s="130"/>
      <c r="BH397" s="130"/>
      <c r="BI397" s="130"/>
      <c r="BJ397" s="130"/>
      <c r="BK397" s="130"/>
      <c r="BL397" s="130"/>
      <c r="BM397" s="130"/>
      <c r="BN397" s="130"/>
      <c r="BO397" s="130"/>
      <c r="BP397" s="130"/>
      <c r="BQ397" s="130"/>
      <c r="BR397" s="130"/>
      <c r="BS397" s="130"/>
      <c r="BT397" s="130"/>
    </row>
    <row r="398" spans="1:72"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c r="BA398" s="130"/>
      <c r="BB398" s="130"/>
      <c r="BC398" s="130"/>
      <c r="BD398" s="130"/>
      <c r="BE398" s="130"/>
      <c r="BF398" s="130"/>
      <c r="BG398" s="130"/>
      <c r="BH398" s="130"/>
      <c r="BI398" s="130"/>
      <c r="BJ398" s="130"/>
      <c r="BK398" s="130"/>
      <c r="BL398" s="130"/>
      <c r="BM398" s="130"/>
      <c r="BN398" s="130"/>
      <c r="BO398" s="130"/>
      <c r="BP398" s="130"/>
      <c r="BQ398" s="130"/>
      <c r="BR398" s="130"/>
      <c r="BS398" s="130"/>
      <c r="BT398" s="130"/>
    </row>
    <row r="399" spans="1:72"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c r="BA399" s="130"/>
      <c r="BB399" s="130"/>
      <c r="BC399" s="130"/>
      <c r="BD399" s="130"/>
      <c r="BE399" s="130"/>
      <c r="BF399" s="130"/>
      <c r="BG399" s="130"/>
      <c r="BH399" s="130"/>
      <c r="BI399" s="130"/>
      <c r="BJ399" s="130"/>
      <c r="BK399" s="130"/>
      <c r="BL399" s="130"/>
      <c r="BM399" s="130"/>
      <c r="BN399" s="130"/>
      <c r="BO399" s="130"/>
      <c r="BP399" s="130"/>
      <c r="BQ399" s="130"/>
      <c r="BR399" s="130"/>
      <c r="BS399" s="130"/>
      <c r="BT399" s="130"/>
    </row>
    <row r="400" spans="1:72"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c r="BA400" s="130"/>
      <c r="BB400" s="130"/>
      <c r="BC400" s="130"/>
      <c r="BD400" s="130"/>
      <c r="BE400" s="130"/>
      <c r="BF400" s="130"/>
      <c r="BG400" s="130"/>
      <c r="BH400" s="130"/>
      <c r="BI400" s="130"/>
      <c r="BJ400" s="130"/>
      <c r="BK400" s="130"/>
      <c r="BL400" s="130"/>
      <c r="BM400" s="130"/>
      <c r="BN400" s="130"/>
      <c r="BO400" s="130"/>
      <c r="BP400" s="130"/>
      <c r="BQ400" s="130"/>
      <c r="BR400" s="130"/>
      <c r="BS400" s="130"/>
      <c r="BT400" s="130"/>
    </row>
    <row r="401" spans="1:72"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c r="BA401" s="130"/>
      <c r="BB401" s="130"/>
      <c r="BC401" s="130"/>
      <c r="BD401" s="130"/>
      <c r="BE401" s="130"/>
      <c r="BF401" s="130"/>
      <c r="BG401" s="130"/>
      <c r="BH401" s="130"/>
      <c r="BI401" s="130"/>
      <c r="BJ401" s="130"/>
      <c r="BK401" s="130"/>
      <c r="BL401" s="130"/>
      <c r="BM401" s="130"/>
      <c r="BN401" s="130"/>
      <c r="BO401" s="130"/>
      <c r="BP401" s="130"/>
      <c r="BQ401" s="130"/>
      <c r="BR401" s="130"/>
      <c r="BS401" s="130"/>
      <c r="BT401" s="130"/>
    </row>
    <row r="402" spans="1:7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c r="BB402" s="130"/>
      <c r="BC402" s="130"/>
      <c r="BD402" s="130"/>
      <c r="BE402" s="130"/>
      <c r="BF402" s="130"/>
      <c r="BG402" s="130"/>
      <c r="BH402" s="130"/>
      <c r="BI402" s="130"/>
      <c r="BJ402" s="130"/>
      <c r="BK402" s="130"/>
      <c r="BL402" s="130"/>
      <c r="BM402" s="130"/>
      <c r="BN402" s="130"/>
      <c r="BO402" s="130"/>
      <c r="BP402" s="130"/>
      <c r="BQ402" s="130"/>
      <c r="BR402" s="130"/>
      <c r="BS402" s="130"/>
      <c r="BT402" s="130"/>
    </row>
    <row r="403" spans="1:72"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c r="BB403" s="130"/>
      <c r="BC403" s="130"/>
      <c r="BD403" s="130"/>
      <c r="BE403" s="130"/>
      <c r="BF403" s="130"/>
      <c r="BG403" s="130"/>
      <c r="BH403" s="130"/>
      <c r="BI403" s="130"/>
      <c r="BJ403" s="130"/>
      <c r="BK403" s="130"/>
      <c r="BL403" s="130"/>
      <c r="BM403" s="130"/>
      <c r="BN403" s="130"/>
      <c r="BO403" s="130"/>
      <c r="BP403" s="130"/>
      <c r="BQ403" s="130"/>
      <c r="BR403" s="130"/>
      <c r="BS403" s="130"/>
      <c r="BT403" s="130"/>
    </row>
    <row r="404" spans="1:72"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c r="BA404" s="130"/>
      <c r="BB404" s="130"/>
      <c r="BC404" s="130"/>
      <c r="BD404" s="130"/>
      <c r="BE404" s="130"/>
      <c r="BF404" s="130"/>
      <c r="BG404" s="130"/>
      <c r="BH404" s="130"/>
      <c r="BI404" s="130"/>
      <c r="BJ404" s="130"/>
      <c r="BK404" s="130"/>
      <c r="BL404" s="130"/>
      <c r="BM404" s="130"/>
      <c r="BN404" s="130"/>
      <c r="BO404" s="130"/>
      <c r="BP404" s="130"/>
      <c r="BQ404" s="130"/>
      <c r="BR404" s="130"/>
      <c r="BS404" s="130"/>
      <c r="BT404" s="130"/>
    </row>
    <row r="405" spans="1:72"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c r="BA405" s="130"/>
      <c r="BB405" s="130"/>
      <c r="BC405" s="130"/>
      <c r="BD405" s="130"/>
      <c r="BE405" s="130"/>
      <c r="BF405" s="130"/>
      <c r="BG405" s="130"/>
      <c r="BH405" s="130"/>
      <c r="BI405" s="130"/>
      <c r="BJ405" s="130"/>
      <c r="BK405" s="130"/>
      <c r="BL405" s="130"/>
      <c r="BM405" s="130"/>
      <c r="BN405" s="130"/>
      <c r="BO405" s="130"/>
      <c r="BP405" s="130"/>
      <c r="BQ405" s="130"/>
      <c r="BR405" s="130"/>
      <c r="BS405" s="130"/>
      <c r="BT405" s="130"/>
    </row>
    <row r="406" spans="1:72"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c r="BA406" s="130"/>
      <c r="BB406" s="130"/>
      <c r="BC406" s="130"/>
      <c r="BD406" s="130"/>
      <c r="BE406" s="130"/>
      <c r="BF406" s="130"/>
      <c r="BG406" s="130"/>
      <c r="BH406" s="130"/>
      <c r="BI406" s="130"/>
      <c r="BJ406" s="130"/>
      <c r="BK406" s="130"/>
      <c r="BL406" s="130"/>
      <c r="BM406" s="130"/>
      <c r="BN406" s="130"/>
      <c r="BO406" s="130"/>
      <c r="BP406" s="130"/>
      <c r="BQ406" s="130"/>
      <c r="BR406" s="130"/>
      <c r="BS406" s="130"/>
      <c r="BT406" s="130"/>
    </row>
    <row r="407" spans="1:72"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c r="BA407" s="130"/>
      <c r="BB407" s="130"/>
      <c r="BC407" s="130"/>
      <c r="BD407" s="130"/>
      <c r="BE407" s="130"/>
      <c r="BF407" s="130"/>
      <c r="BG407" s="130"/>
      <c r="BH407" s="130"/>
      <c r="BI407" s="130"/>
      <c r="BJ407" s="130"/>
      <c r="BK407" s="130"/>
      <c r="BL407" s="130"/>
      <c r="BM407" s="130"/>
      <c r="BN407" s="130"/>
      <c r="BO407" s="130"/>
      <c r="BP407" s="130"/>
      <c r="BQ407" s="130"/>
      <c r="BR407" s="130"/>
      <c r="BS407" s="130"/>
      <c r="BT407" s="130"/>
    </row>
    <row r="408" spans="1:72"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c r="BA408" s="130"/>
      <c r="BB408" s="130"/>
      <c r="BC408" s="130"/>
      <c r="BD408" s="130"/>
      <c r="BE408" s="130"/>
      <c r="BF408" s="130"/>
      <c r="BG408" s="130"/>
      <c r="BH408" s="130"/>
      <c r="BI408" s="130"/>
      <c r="BJ408" s="130"/>
      <c r="BK408" s="130"/>
      <c r="BL408" s="130"/>
      <c r="BM408" s="130"/>
      <c r="BN408" s="130"/>
      <c r="BO408" s="130"/>
      <c r="BP408" s="130"/>
      <c r="BQ408" s="130"/>
      <c r="BR408" s="130"/>
      <c r="BS408" s="130"/>
      <c r="BT408" s="130"/>
    </row>
    <row r="409" spans="1:72"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c r="BB409" s="130"/>
      <c r="BC409" s="130"/>
      <c r="BD409" s="130"/>
      <c r="BE409" s="130"/>
      <c r="BF409" s="130"/>
      <c r="BG409" s="130"/>
      <c r="BH409" s="130"/>
      <c r="BI409" s="130"/>
      <c r="BJ409" s="130"/>
      <c r="BK409" s="130"/>
      <c r="BL409" s="130"/>
      <c r="BM409" s="130"/>
      <c r="BN409" s="130"/>
      <c r="BO409" s="130"/>
      <c r="BP409" s="130"/>
      <c r="BQ409" s="130"/>
      <c r="BR409" s="130"/>
      <c r="BS409" s="130"/>
      <c r="BT409" s="130"/>
    </row>
    <row r="410" spans="1:72"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c r="BA410" s="130"/>
      <c r="BB410" s="130"/>
      <c r="BC410" s="130"/>
      <c r="BD410" s="130"/>
      <c r="BE410" s="130"/>
      <c r="BF410" s="130"/>
      <c r="BG410" s="130"/>
      <c r="BH410" s="130"/>
      <c r="BI410" s="130"/>
      <c r="BJ410" s="130"/>
      <c r="BK410" s="130"/>
      <c r="BL410" s="130"/>
      <c r="BM410" s="130"/>
      <c r="BN410" s="130"/>
      <c r="BO410" s="130"/>
      <c r="BP410" s="130"/>
      <c r="BQ410" s="130"/>
      <c r="BR410" s="130"/>
      <c r="BS410" s="130"/>
      <c r="BT410" s="130"/>
    </row>
    <row r="411" spans="1:72"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c r="BA411" s="130"/>
      <c r="BB411" s="130"/>
      <c r="BC411" s="130"/>
      <c r="BD411" s="130"/>
      <c r="BE411" s="130"/>
      <c r="BF411" s="130"/>
      <c r="BG411" s="130"/>
      <c r="BH411" s="130"/>
      <c r="BI411" s="130"/>
      <c r="BJ411" s="130"/>
      <c r="BK411" s="130"/>
      <c r="BL411" s="130"/>
      <c r="BM411" s="130"/>
      <c r="BN411" s="130"/>
      <c r="BO411" s="130"/>
      <c r="BP411" s="130"/>
      <c r="BQ411" s="130"/>
      <c r="BR411" s="130"/>
      <c r="BS411" s="130"/>
      <c r="BT411" s="130"/>
    </row>
    <row r="412" spans="1:7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c r="BA412" s="130"/>
      <c r="BB412" s="130"/>
      <c r="BC412" s="130"/>
      <c r="BD412" s="130"/>
      <c r="BE412" s="130"/>
      <c r="BF412" s="130"/>
      <c r="BG412" s="130"/>
      <c r="BH412" s="130"/>
      <c r="BI412" s="130"/>
      <c r="BJ412" s="130"/>
      <c r="BK412" s="130"/>
      <c r="BL412" s="130"/>
      <c r="BM412" s="130"/>
      <c r="BN412" s="130"/>
      <c r="BO412" s="130"/>
      <c r="BP412" s="130"/>
      <c r="BQ412" s="130"/>
      <c r="BR412" s="130"/>
      <c r="BS412" s="130"/>
      <c r="BT412" s="130"/>
    </row>
    <row r="413" spans="1:72"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c r="BA413" s="130"/>
      <c r="BB413" s="130"/>
      <c r="BC413" s="130"/>
      <c r="BD413" s="130"/>
      <c r="BE413" s="130"/>
      <c r="BF413" s="130"/>
      <c r="BG413" s="130"/>
      <c r="BH413" s="130"/>
      <c r="BI413" s="130"/>
      <c r="BJ413" s="130"/>
      <c r="BK413" s="130"/>
      <c r="BL413" s="130"/>
      <c r="BM413" s="130"/>
      <c r="BN413" s="130"/>
      <c r="BO413" s="130"/>
      <c r="BP413" s="130"/>
      <c r="BQ413" s="130"/>
      <c r="BR413" s="130"/>
      <c r="BS413" s="130"/>
      <c r="BT413" s="130"/>
    </row>
    <row r="414" spans="1:72"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c r="BA414" s="130"/>
      <c r="BB414" s="130"/>
      <c r="BC414" s="130"/>
      <c r="BD414" s="130"/>
      <c r="BE414" s="130"/>
      <c r="BF414" s="130"/>
      <c r="BG414" s="130"/>
      <c r="BH414" s="130"/>
      <c r="BI414" s="130"/>
      <c r="BJ414" s="130"/>
      <c r="BK414" s="130"/>
      <c r="BL414" s="130"/>
      <c r="BM414" s="130"/>
      <c r="BN414" s="130"/>
      <c r="BO414" s="130"/>
      <c r="BP414" s="130"/>
      <c r="BQ414" s="130"/>
      <c r="BR414" s="130"/>
      <c r="BS414" s="130"/>
      <c r="BT414" s="130"/>
    </row>
    <row r="415" spans="1:72"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c r="BB415" s="130"/>
      <c r="BC415" s="130"/>
      <c r="BD415" s="130"/>
      <c r="BE415" s="130"/>
      <c r="BF415" s="130"/>
      <c r="BG415" s="130"/>
      <c r="BH415" s="130"/>
      <c r="BI415" s="130"/>
      <c r="BJ415" s="130"/>
      <c r="BK415" s="130"/>
      <c r="BL415" s="130"/>
      <c r="BM415" s="130"/>
      <c r="BN415" s="130"/>
      <c r="BO415" s="130"/>
      <c r="BP415" s="130"/>
      <c r="BQ415" s="130"/>
      <c r="BR415" s="130"/>
      <c r="BS415" s="130"/>
      <c r="BT415" s="130"/>
    </row>
    <row r="416" spans="1:72"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c r="BA416" s="130"/>
      <c r="BB416" s="130"/>
      <c r="BC416" s="130"/>
      <c r="BD416" s="130"/>
      <c r="BE416" s="130"/>
      <c r="BF416" s="130"/>
      <c r="BG416" s="130"/>
      <c r="BH416" s="130"/>
      <c r="BI416" s="130"/>
      <c r="BJ416" s="130"/>
      <c r="BK416" s="130"/>
      <c r="BL416" s="130"/>
      <c r="BM416" s="130"/>
      <c r="BN416" s="130"/>
      <c r="BO416" s="130"/>
      <c r="BP416" s="130"/>
      <c r="BQ416" s="130"/>
      <c r="BR416" s="130"/>
      <c r="BS416" s="130"/>
      <c r="BT416" s="130"/>
    </row>
    <row r="417" spans="1:72"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c r="BA417" s="130"/>
      <c r="BB417" s="130"/>
      <c r="BC417" s="130"/>
      <c r="BD417" s="130"/>
      <c r="BE417" s="130"/>
      <c r="BF417" s="130"/>
      <c r="BG417" s="130"/>
      <c r="BH417" s="130"/>
      <c r="BI417" s="130"/>
      <c r="BJ417" s="130"/>
      <c r="BK417" s="130"/>
      <c r="BL417" s="130"/>
      <c r="BM417" s="130"/>
      <c r="BN417" s="130"/>
      <c r="BO417" s="130"/>
      <c r="BP417" s="130"/>
      <c r="BQ417" s="130"/>
      <c r="BR417" s="130"/>
      <c r="BS417" s="130"/>
      <c r="BT417" s="130"/>
    </row>
    <row r="418" spans="1:72"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c r="BB418" s="130"/>
      <c r="BC418" s="130"/>
      <c r="BD418" s="130"/>
      <c r="BE418" s="130"/>
      <c r="BF418" s="130"/>
      <c r="BG418" s="130"/>
      <c r="BH418" s="130"/>
      <c r="BI418" s="130"/>
      <c r="BJ418" s="130"/>
      <c r="BK418" s="130"/>
      <c r="BL418" s="130"/>
      <c r="BM418" s="130"/>
      <c r="BN418" s="130"/>
      <c r="BO418" s="130"/>
      <c r="BP418" s="130"/>
      <c r="BQ418" s="130"/>
      <c r="BR418" s="130"/>
      <c r="BS418" s="130"/>
      <c r="BT418" s="130"/>
    </row>
    <row r="419" spans="1:72"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c r="BB419" s="130"/>
      <c r="BC419" s="130"/>
      <c r="BD419" s="130"/>
      <c r="BE419" s="130"/>
      <c r="BF419" s="130"/>
      <c r="BG419" s="130"/>
      <c r="BH419" s="130"/>
      <c r="BI419" s="130"/>
      <c r="BJ419" s="130"/>
      <c r="BK419" s="130"/>
      <c r="BL419" s="130"/>
      <c r="BM419" s="130"/>
      <c r="BN419" s="130"/>
      <c r="BO419" s="130"/>
      <c r="BP419" s="130"/>
      <c r="BQ419" s="130"/>
      <c r="BR419" s="130"/>
      <c r="BS419" s="130"/>
      <c r="BT419" s="130"/>
    </row>
    <row r="420" spans="1:72"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c r="BA420" s="130"/>
      <c r="BB420" s="130"/>
      <c r="BC420" s="130"/>
      <c r="BD420" s="130"/>
      <c r="BE420" s="130"/>
      <c r="BF420" s="130"/>
      <c r="BG420" s="130"/>
      <c r="BH420" s="130"/>
      <c r="BI420" s="130"/>
      <c r="BJ420" s="130"/>
      <c r="BK420" s="130"/>
      <c r="BL420" s="130"/>
      <c r="BM420" s="130"/>
      <c r="BN420" s="130"/>
      <c r="BO420" s="130"/>
      <c r="BP420" s="130"/>
      <c r="BQ420" s="130"/>
      <c r="BR420" s="130"/>
      <c r="BS420" s="130"/>
      <c r="BT420" s="130"/>
    </row>
    <row r="421" spans="1:72"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c r="BB421" s="130"/>
      <c r="BC421" s="130"/>
      <c r="BD421" s="130"/>
      <c r="BE421" s="130"/>
      <c r="BF421" s="130"/>
      <c r="BG421" s="130"/>
      <c r="BH421" s="130"/>
      <c r="BI421" s="130"/>
      <c r="BJ421" s="130"/>
      <c r="BK421" s="130"/>
      <c r="BL421" s="130"/>
      <c r="BM421" s="130"/>
      <c r="BN421" s="130"/>
      <c r="BO421" s="130"/>
      <c r="BP421" s="130"/>
      <c r="BQ421" s="130"/>
      <c r="BR421" s="130"/>
      <c r="BS421" s="130"/>
      <c r="BT421" s="130"/>
    </row>
    <row r="422" spans="1:7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c r="BA422" s="130"/>
      <c r="BB422" s="130"/>
      <c r="BC422" s="130"/>
      <c r="BD422" s="130"/>
      <c r="BE422" s="130"/>
      <c r="BF422" s="130"/>
      <c r="BG422" s="130"/>
      <c r="BH422" s="130"/>
      <c r="BI422" s="130"/>
      <c r="BJ422" s="130"/>
      <c r="BK422" s="130"/>
      <c r="BL422" s="130"/>
      <c r="BM422" s="130"/>
      <c r="BN422" s="130"/>
      <c r="BO422" s="130"/>
      <c r="BP422" s="130"/>
      <c r="BQ422" s="130"/>
      <c r="BR422" s="130"/>
      <c r="BS422" s="130"/>
      <c r="BT422" s="130"/>
    </row>
    <row r="423" spans="1:72"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c r="BA423" s="130"/>
      <c r="BB423" s="130"/>
      <c r="BC423" s="130"/>
      <c r="BD423" s="130"/>
      <c r="BE423" s="130"/>
      <c r="BF423" s="130"/>
      <c r="BG423" s="130"/>
      <c r="BH423" s="130"/>
      <c r="BI423" s="130"/>
      <c r="BJ423" s="130"/>
      <c r="BK423" s="130"/>
      <c r="BL423" s="130"/>
      <c r="BM423" s="130"/>
      <c r="BN423" s="130"/>
      <c r="BO423" s="130"/>
      <c r="BP423" s="130"/>
      <c r="BQ423" s="130"/>
      <c r="BR423" s="130"/>
      <c r="BS423" s="130"/>
      <c r="BT423" s="130"/>
    </row>
    <row r="424" spans="1:72"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c r="BA424" s="130"/>
      <c r="BB424" s="130"/>
      <c r="BC424" s="130"/>
      <c r="BD424" s="130"/>
      <c r="BE424" s="130"/>
      <c r="BF424" s="130"/>
      <c r="BG424" s="130"/>
      <c r="BH424" s="130"/>
      <c r="BI424" s="130"/>
      <c r="BJ424" s="130"/>
      <c r="BK424" s="130"/>
      <c r="BL424" s="130"/>
      <c r="BM424" s="130"/>
      <c r="BN424" s="130"/>
      <c r="BO424" s="130"/>
      <c r="BP424" s="130"/>
      <c r="BQ424" s="130"/>
      <c r="BR424" s="130"/>
      <c r="BS424" s="130"/>
      <c r="BT424" s="130"/>
    </row>
    <row r="425" spans="1:72"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c r="BB425" s="130"/>
      <c r="BC425" s="130"/>
      <c r="BD425" s="130"/>
      <c r="BE425" s="130"/>
      <c r="BF425" s="130"/>
      <c r="BG425" s="130"/>
      <c r="BH425" s="130"/>
      <c r="BI425" s="130"/>
      <c r="BJ425" s="130"/>
      <c r="BK425" s="130"/>
      <c r="BL425" s="130"/>
      <c r="BM425" s="130"/>
      <c r="BN425" s="130"/>
      <c r="BO425" s="130"/>
      <c r="BP425" s="130"/>
      <c r="BQ425" s="130"/>
      <c r="BR425" s="130"/>
      <c r="BS425" s="130"/>
      <c r="BT425" s="130"/>
    </row>
    <row r="426" spans="1:72"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c r="BB426" s="130"/>
      <c r="BC426" s="130"/>
      <c r="BD426" s="130"/>
      <c r="BE426" s="130"/>
      <c r="BF426" s="130"/>
      <c r="BG426" s="130"/>
      <c r="BH426" s="130"/>
      <c r="BI426" s="130"/>
      <c r="BJ426" s="130"/>
      <c r="BK426" s="130"/>
      <c r="BL426" s="130"/>
      <c r="BM426" s="130"/>
      <c r="BN426" s="130"/>
      <c r="BO426" s="130"/>
      <c r="BP426" s="130"/>
      <c r="BQ426" s="130"/>
      <c r="BR426" s="130"/>
      <c r="BS426" s="130"/>
      <c r="BT426" s="130"/>
    </row>
    <row r="427" spans="1:72"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c r="BE427" s="130"/>
      <c r="BF427" s="130"/>
      <c r="BG427" s="130"/>
      <c r="BH427" s="130"/>
      <c r="BI427" s="130"/>
      <c r="BJ427" s="130"/>
      <c r="BK427" s="130"/>
      <c r="BL427" s="130"/>
      <c r="BM427" s="130"/>
      <c r="BN427" s="130"/>
      <c r="BO427" s="130"/>
      <c r="BP427" s="130"/>
      <c r="BQ427" s="130"/>
      <c r="BR427" s="130"/>
      <c r="BS427" s="130"/>
      <c r="BT427" s="130"/>
    </row>
    <row r="428" spans="1:72"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c r="BB428" s="130"/>
      <c r="BC428" s="130"/>
      <c r="BD428" s="130"/>
      <c r="BE428" s="130"/>
      <c r="BF428" s="130"/>
      <c r="BG428" s="130"/>
      <c r="BH428" s="130"/>
      <c r="BI428" s="130"/>
      <c r="BJ428" s="130"/>
      <c r="BK428" s="130"/>
      <c r="BL428" s="130"/>
      <c r="BM428" s="130"/>
      <c r="BN428" s="130"/>
      <c r="BO428" s="130"/>
      <c r="BP428" s="130"/>
      <c r="BQ428" s="130"/>
      <c r="BR428" s="130"/>
      <c r="BS428" s="130"/>
      <c r="BT428" s="130"/>
    </row>
    <row r="429" spans="1:72"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c r="BB429" s="130"/>
      <c r="BC429" s="130"/>
      <c r="BD429" s="130"/>
      <c r="BE429" s="130"/>
      <c r="BF429" s="130"/>
      <c r="BG429" s="130"/>
      <c r="BH429" s="130"/>
      <c r="BI429" s="130"/>
      <c r="BJ429" s="130"/>
      <c r="BK429" s="130"/>
      <c r="BL429" s="130"/>
      <c r="BM429" s="130"/>
      <c r="BN429" s="130"/>
      <c r="BO429" s="130"/>
      <c r="BP429" s="130"/>
      <c r="BQ429" s="130"/>
      <c r="BR429" s="130"/>
      <c r="BS429" s="130"/>
      <c r="BT429" s="130"/>
    </row>
    <row r="430" spans="1:72"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c r="BB430" s="130"/>
      <c r="BC430" s="130"/>
      <c r="BD430" s="130"/>
      <c r="BE430" s="130"/>
      <c r="BF430" s="130"/>
      <c r="BG430" s="130"/>
      <c r="BH430" s="130"/>
      <c r="BI430" s="130"/>
      <c r="BJ430" s="130"/>
      <c r="BK430" s="130"/>
      <c r="BL430" s="130"/>
      <c r="BM430" s="130"/>
      <c r="BN430" s="130"/>
      <c r="BO430" s="130"/>
      <c r="BP430" s="130"/>
      <c r="BQ430" s="130"/>
      <c r="BR430" s="130"/>
      <c r="BS430" s="130"/>
      <c r="BT430" s="130"/>
    </row>
    <row r="431" spans="1:72"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c r="BB431" s="130"/>
      <c r="BC431" s="130"/>
      <c r="BD431" s="130"/>
      <c r="BE431" s="130"/>
      <c r="BF431" s="130"/>
      <c r="BG431" s="130"/>
      <c r="BH431" s="130"/>
      <c r="BI431" s="130"/>
      <c r="BJ431" s="130"/>
      <c r="BK431" s="130"/>
      <c r="BL431" s="130"/>
      <c r="BM431" s="130"/>
      <c r="BN431" s="130"/>
      <c r="BO431" s="130"/>
      <c r="BP431" s="130"/>
      <c r="BQ431" s="130"/>
      <c r="BR431" s="130"/>
      <c r="BS431" s="130"/>
      <c r="BT431" s="130"/>
    </row>
    <row r="432" spans="1:7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c r="BE432" s="130"/>
      <c r="BF432" s="130"/>
      <c r="BG432" s="130"/>
      <c r="BH432" s="130"/>
      <c r="BI432" s="130"/>
      <c r="BJ432" s="130"/>
      <c r="BK432" s="130"/>
      <c r="BL432" s="130"/>
      <c r="BM432" s="130"/>
      <c r="BN432" s="130"/>
      <c r="BO432" s="130"/>
      <c r="BP432" s="130"/>
      <c r="BQ432" s="130"/>
      <c r="BR432" s="130"/>
      <c r="BS432" s="130"/>
      <c r="BT432" s="130"/>
    </row>
    <row r="433" spans="1:72"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c r="BB433" s="130"/>
      <c r="BC433" s="130"/>
      <c r="BD433" s="130"/>
      <c r="BE433" s="130"/>
      <c r="BF433" s="130"/>
      <c r="BG433" s="130"/>
      <c r="BH433" s="130"/>
      <c r="BI433" s="130"/>
      <c r="BJ433" s="130"/>
      <c r="BK433" s="130"/>
      <c r="BL433" s="130"/>
      <c r="BM433" s="130"/>
      <c r="BN433" s="130"/>
      <c r="BO433" s="130"/>
      <c r="BP433" s="130"/>
      <c r="BQ433" s="130"/>
      <c r="BR433" s="130"/>
      <c r="BS433" s="130"/>
      <c r="BT433" s="130"/>
    </row>
    <row r="434" spans="1:72"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c r="BA434" s="130"/>
      <c r="BB434" s="130"/>
      <c r="BC434" s="130"/>
      <c r="BD434" s="130"/>
      <c r="BE434" s="130"/>
      <c r="BF434" s="130"/>
      <c r="BG434" s="130"/>
      <c r="BH434" s="130"/>
      <c r="BI434" s="130"/>
      <c r="BJ434" s="130"/>
      <c r="BK434" s="130"/>
      <c r="BL434" s="130"/>
      <c r="BM434" s="130"/>
      <c r="BN434" s="130"/>
      <c r="BO434" s="130"/>
      <c r="BP434" s="130"/>
      <c r="BQ434" s="130"/>
      <c r="BR434" s="130"/>
      <c r="BS434" s="130"/>
      <c r="BT434" s="130"/>
    </row>
    <row r="435" spans="1:72"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c r="BE435" s="130"/>
      <c r="BF435" s="130"/>
      <c r="BG435" s="130"/>
      <c r="BH435" s="130"/>
      <c r="BI435" s="130"/>
      <c r="BJ435" s="130"/>
      <c r="BK435" s="130"/>
      <c r="BL435" s="130"/>
      <c r="BM435" s="130"/>
      <c r="BN435" s="130"/>
      <c r="BO435" s="130"/>
      <c r="BP435" s="130"/>
      <c r="BQ435" s="130"/>
      <c r="BR435" s="130"/>
      <c r="BS435" s="130"/>
      <c r="BT435" s="130"/>
    </row>
    <row r="436" spans="1:72"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c r="BA436" s="130"/>
      <c r="BB436" s="130"/>
      <c r="BC436" s="130"/>
      <c r="BD436" s="130"/>
      <c r="BE436" s="130"/>
      <c r="BF436" s="130"/>
      <c r="BG436" s="130"/>
      <c r="BH436" s="130"/>
      <c r="BI436" s="130"/>
      <c r="BJ436" s="130"/>
      <c r="BK436" s="130"/>
      <c r="BL436" s="130"/>
      <c r="BM436" s="130"/>
      <c r="BN436" s="130"/>
      <c r="BO436" s="130"/>
      <c r="BP436" s="130"/>
      <c r="BQ436" s="130"/>
      <c r="BR436" s="130"/>
      <c r="BS436" s="130"/>
      <c r="BT436" s="130"/>
    </row>
    <row r="437" spans="1:72"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c r="BA437" s="130"/>
      <c r="BB437" s="130"/>
      <c r="BC437" s="130"/>
      <c r="BD437" s="130"/>
      <c r="BE437" s="130"/>
      <c r="BF437" s="130"/>
      <c r="BG437" s="130"/>
      <c r="BH437" s="130"/>
      <c r="BI437" s="130"/>
      <c r="BJ437" s="130"/>
      <c r="BK437" s="130"/>
      <c r="BL437" s="130"/>
      <c r="BM437" s="130"/>
      <c r="BN437" s="130"/>
      <c r="BO437" s="130"/>
      <c r="BP437" s="130"/>
      <c r="BQ437" s="130"/>
      <c r="BR437" s="130"/>
      <c r="BS437" s="130"/>
      <c r="BT437" s="130"/>
    </row>
    <row r="438" spans="1:72"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c r="BA438" s="130"/>
      <c r="BB438" s="130"/>
      <c r="BC438" s="130"/>
      <c r="BD438" s="130"/>
      <c r="BE438" s="130"/>
      <c r="BF438" s="130"/>
      <c r="BG438" s="130"/>
      <c r="BH438" s="130"/>
      <c r="BI438" s="130"/>
      <c r="BJ438" s="130"/>
      <c r="BK438" s="130"/>
      <c r="BL438" s="130"/>
      <c r="BM438" s="130"/>
      <c r="BN438" s="130"/>
      <c r="BO438" s="130"/>
      <c r="BP438" s="130"/>
      <c r="BQ438" s="130"/>
      <c r="BR438" s="130"/>
      <c r="BS438" s="130"/>
      <c r="BT438" s="130"/>
    </row>
    <row r="439" spans="1:72"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c r="BB439" s="130"/>
      <c r="BC439" s="130"/>
      <c r="BD439" s="130"/>
      <c r="BE439" s="130"/>
      <c r="BF439" s="130"/>
      <c r="BG439" s="130"/>
      <c r="BH439" s="130"/>
      <c r="BI439" s="130"/>
      <c r="BJ439" s="130"/>
      <c r="BK439" s="130"/>
      <c r="BL439" s="130"/>
      <c r="BM439" s="130"/>
      <c r="BN439" s="130"/>
      <c r="BO439" s="130"/>
      <c r="BP439" s="130"/>
      <c r="BQ439" s="130"/>
      <c r="BR439" s="130"/>
      <c r="BS439" s="130"/>
      <c r="BT439" s="130"/>
    </row>
    <row r="440" spans="1:72"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c r="BB440" s="130"/>
      <c r="BC440" s="130"/>
      <c r="BD440" s="130"/>
      <c r="BE440" s="130"/>
      <c r="BF440" s="130"/>
      <c r="BG440" s="130"/>
      <c r="BH440" s="130"/>
      <c r="BI440" s="130"/>
      <c r="BJ440" s="130"/>
      <c r="BK440" s="130"/>
      <c r="BL440" s="130"/>
      <c r="BM440" s="130"/>
      <c r="BN440" s="130"/>
      <c r="BO440" s="130"/>
      <c r="BP440" s="130"/>
      <c r="BQ440" s="130"/>
      <c r="BR440" s="130"/>
      <c r="BS440" s="130"/>
      <c r="BT440" s="130"/>
    </row>
    <row r="441" spans="1:72"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c r="BE441" s="130"/>
      <c r="BF441" s="130"/>
      <c r="BG441" s="130"/>
      <c r="BH441" s="130"/>
      <c r="BI441" s="130"/>
      <c r="BJ441" s="130"/>
      <c r="BK441" s="130"/>
      <c r="BL441" s="130"/>
      <c r="BM441" s="130"/>
      <c r="BN441" s="130"/>
      <c r="BO441" s="130"/>
      <c r="BP441" s="130"/>
      <c r="BQ441" s="130"/>
      <c r="BR441" s="130"/>
      <c r="BS441" s="130"/>
      <c r="BT441" s="130"/>
    </row>
    <row r="442" spans="1:7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c r="BB442" s="130"/>
      <c r="BC442" s="130"/>
      <c r="BD442" s="130"/>
      <c r="BE442" s="130"/>
      <c r="BF442" s="130"/>
      <c r="BG442" s="130"/>
      <c r="BH442" s="130"/>
      <c r="BI442" s="130"/>
      <c r="BJ442" s="130"/>
      <c r="BK442" s="130"/>
      <c r="BL442" s="130"/>
      <c r="BM442" s="130"/>
      <c r="BN442" s="130"/>
      <c r="BO442" s="130"/>
      <c r="BP442" s="130"/>
      <c r="BQ442" s="130"/>
      <c r="BR442" s="130"/>
      <c r="BS442" s="130"/>
      <c r="BT442" s="130"/>
    </row>
    <row r="443" spans="1:72"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c r="BB443" s="130"/>
      <c r="BC443" s="130"/>
      <c r="BD443" s="130"/>
      <c r="BE443" s="130"/>
      <c r="BF443" s="130"/>
      <c r="BG443" s="130"/>
      <c r="BH443" s="130"/>
      <c r="BI443" s="130"/>
      <c r="BJ443" s="130"/>
      <c r="BK443" s="130"/>
      <c r="BL443" s="130"/>
      <c r="BM443" s="130"/>
      <c r="BN443" s="130"/>
      <c r="BO443" s="130"/>
      <c r="BP443" s="130"/>
      <c r="BQ443" s="130"/>
      <c r="BR443" s="130"/>
      <c r="BS443" s="130"/>
      <c r="BT443" s="130"/>
    </row>
    <row r="444" spans="1:72"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c r="BB444" s="130"/>
      <c r="BC444" s="130"/>
      <c r="BD444" s="130"/>
      <c r="BE444" s="130"/>
      <c r="BF444" s="130"/>
      <c r="BG444" s="130"/>
      <c r="BH444" s="130"/>
      <c r="BI444" s="130"/>
      <c r="BJ444" s="130"/>
      <c r="BK444" s="130"/>
      <c r="BL444" s="130"/>
      <c r="BM444" s="130"/>
      <c r="BN444" s="130"/>
      <c r="BO444" s="130"/>
      <c r="BP444" s="130"/>
      <c r="BQ444" s="130"/>
      <c r="BR444" s="130"/>
      <c r="BS444" s="130"/>
      <c r="BT444" s="130"/>
    </row>
    <row r="445" spans="1:72"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c r="BB445" s="130"/>
      <c r="BC445" s="130"/>
      <c r="BD445" s="130"/>
      <c r="BE445" s="130"/>
      <c r="BF445" s="130"/>
      <c r="BG445" s="130"/>
      <c r="BH445" s="130"/>
      <c r="BI445" s="130"/>
      <c r="BJ445" s="130"/>
      <c r="BK445" s="130"/>
      <c r="BL445" s="130"/>
      <c r="BM445" s="130"/>
      <c r="BN445" s="130"/>
      <c r="BO445" s="130"/>
      <c r="BP445" s="130"/>
      <c r="BQ445" s="130"/>
      <c r="BR445" s="130"/>
      <c r="BS445" s="130"/>
      <c r="BT445" s="130"/>
    </row>
    <row r="446" spans="1:72"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c r="BB446" s="130"/>
      <c r="BC446" s="130"/>
      <c r="BD446" s="130"/>
      <c r="BE446" s="130"/>
      <c r="BF446" s="130"/>
      <c r="BG446" s="130"/>
      <c r="BH446" s="130"/>
      <c r="BI446" s="130"/>
      <c r="BJ446" s="130"/>
      <c r="BK446" s="130"/>
      <c r="BL446" s="130"/>
      <c r="BM446" s="130"/>
      <c r="BN446" s="130"/>
      <c r="BO446" s="130"/>
      <c r="BP446" s="130"/>
      <c r="BQ446" s="130"/>
      <c r="BR446" s="130"/>
      <c r="BS446" s="130"/>
      <c r="BT446" s="130"/>
    </row>
    <row r="447" spans="1:72"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c r="BE447" s="130"/>
      <c r="BF447" s="130"/>
      <c r="BG447" s="130"/>
      <c r="BH447" s="130"/>
      <c r="BI447" s="130"/>
      <c r="BJ447" s="130"/>
      <c r="BK447" s="130"/>
      <c r="BL447" s="130"/>
      <c r="BM447" s="130"/>
      <c r="BN447" s="130"/>
      <c r="BO447" s="130"/>
      <c r="BP447" s="130"/>
      <c r="BQ447" s="130"/>
      <c r="BR447" s="130"/>
      <c r="BS447" s="130"/>
      <c r="BT447" s="130"/>
    </row>
    <row r="448" spans="1:72"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c r="BE448" s="130"/>
      <c r="BF448" s="130"/>
      <c r="BG448" s="130"/>
      <c r="BH448" s="130"/>
      <c r="BI448" s="130"/>
      <c r="BJ448" s="130"/>
      <c r="BK448" s="130"/>
      <c r="BL448" s="130"/>
      <c r="BM448" s="130"/>
      <c r="BN448" s="130"/>
      <c r="BO448" s="130"/>
      <c r="BP448" s="130"/>
      <c r="BQ448" s="130"/>
      <c r="BR448" s="130"/>
      <c r="BS448" s="130"/>
      <c r="BT448" s="130"/>
    </row>
    <row r="449" spans="1:72"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c r="BB449" s="130"/>
      <c r="BC449" s="130"/>
      <c r="BD449" s="130"/>
      <c r="BE449" s="130"/>
      <c r="BF449" s="130"/>
      <c r="BG449" s="130"/>
      <c r="BH449" s="130"/>
      <c r="BI449" s="130"/>
      <c r="BJ449" s="130"/>
      <c r="BK449" s="130"/>
      <c r="BL449" s="130"/>
      <c r="BM449" s="130"/>
      <c r="BN449" s="130"/>
      <c r="BO449" s="130"/>
      <c r="BP449" s="130"/>
      <c r="BQ449" s="130"/>
      <c r="BR449" s="130"/>
      <c r="BS449" s="130"/>
      <c r="BT449" s="130"/>
    </row>
    <row r="450" spans="1:72"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c r="BB450" s="130"/>
      <c r="BC450" s="130"/>
      <c r="BD450" s="130"/>
      <c r="BE450" s="130"/>
      <c r="BF450" s="130"/>
      <c r="BG450" s="130"/>
      <c r="BH450" s="130"/>
      <c r="BI450" s="130"/>
      <c r="BJ450" s="130"/>
      <c r="BK450" s="130"/>
      <c r="BL450" s="130"/>
      <c r="BM450" s="130"/>
      <c r="BN450" s="130"/>
      <c r="BO450" s="130"/>
      <c r="BP450" s="130"/>
      <c r="BQ450" s="130"/>
      <c r="BR450" s="130"/>
      <c r="BS450" s="130"/>
      <c r="BT450" s="130"/>
    </row>
    <row r="451" spans="1:72"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c r="BE451" s="130"/>
      <c r="BF451" s="130"/>
      <c r="BG451" s="130"/>
      <c r="BH451" s="130"/>
      <c r="BI451" s="130"/>
      <c r="BJ451" s="130"/>
      <c r="BK451" s="130"/>
      <c r="BL451" s="130"/>
      <c r="BM451" s="130"/>
      <c r="BN451" s="130"/>
      <c r="BO451" s="130"/>
      <c r="BP451" s="130"/>
      <c r="BQ451" s="130"/>
      <c r="BR451" s="130"/>
      <c r="BS451" s="130"/>
      <c r="BT451" s="130"/>
    </row>
    <row r="452" spans="1:7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c r="BE452" s="130"/>
      <c r="BF452" s="130"/>
      <c r="BG452" s="130"/>
      <c r="BH452" s="130"/>
      <c r="BI452" s="130"/>
      <c r="BJ452" s="130"/>
      <c r="BK452" s="130"/>
      <c r="BL452" s="130"/>
      <c r="BM452" s="130"/>
      <c r="BN452" s="130"/>
      <c r="BO452" s="130"/>
      <c r="BP452" s="130"/>
      <c r="BQ452" s="130"/>
      <c r="BR452" s="130"/>
      <c r="BS452" s="130"/>
      <c r="BT452" s="130"/>
    </row>
    <row r="453" spans="1:72"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c r="BE453" s="130"/>
      <c r="BF453" s="130"/>
      <c r="BG453" s="130"/>
      <c r="BH453" s="130"/>
      <c r="BI453" s="130"/>
      <c r="BJ453" s="130"/>
      <c r="BK453" s="130"/>
      <c r="BL453" s="130"/>
      <c r="BM453" s="130"/>
      <c r="BN453" s="130"/>
      <c r="BO453" s="130"/>
      <c r="BP453" s="130"/>
      <c r="BQ453" s="130"/>
      <c r="BR453" s="130"/>
      <c r="BS453" s="130"/>
      <c r="BT453" s="130"/>
    </row>
    <row r="454" spans="1:72"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c r="BB454" s="130"/>
      <c r="BC454" s="130"/>
      <c r="BD454" s="130"/>
      <c r="BE454" s="130"/>
      <c r="BF454" s="130"/>
      <c r="BG454" s="130"/>
      <c r="BH454" s="130"/>
      <c r="BI454" s="130"/>
      <c r="BJ454" s="130"/>
      <c r="BK454" s="130"/>
      <c r="BL454" s="130"/>
      <c r="BM454" s="130"/>
      <c r="BN454" s="130"/>
      <c r="BO454" s="130"/>
      <c r="BP454" s="130"/>
      <c r="BQ454" s="130"/>
      <c r="BR454" s="130"/>
      <c r="BS454" s="130"/>
      <c r="BT454" s="130"/>
    </row>
    <row r="455" spans="1:72"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c r="BB455" s="130"/>
      <c r="BC455" s="130"/>
      <c r="BD455" s="130"/>
      <c r="BE455" s="130"/>
      <c r="BF455" s="130"/>
      <c r="BG455" s="130"/>
      <c r="BH455" s="130"/>
      <c r="BI455" s="130"/>
      <c r="BJ455" s="130"/>
      <c r="BK455" s="130"/>
      <c r="BL455" s="130"/>
      <c r="BM455" s="130"/>
      <c r="BN455" s="130"/>
      <c r="BO455" s="130"/>
      <c r="BP455" s="130"/>
      <c r="BQ455" s="130"/>
      <c r="BR455" s="130"/>
      <c r="BS455" s="130"/>
      <c r="BT455" s="130"/>
    </row>
    <row r="456" spans="1:72"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c r="BB456" s="130"/>
      <c r="BC456" s="130"/>
      <c r="BD456" s="130"/>
      <c r="BE456" s="130"/>
      <c r="BF456" s="130"/>
      <c r="BG456" s="130"/>
      <c r="BH456" s="130"/>
      <c r="BI456" s="130"/>
      <c r="BJ456" s="130"/>
      <c r="BK456" s="130"/>
      <c r="BL456" s="130"/>
      <c r="BM456" s="130"/>
      <c r="BN456" s="130"/>
      <c r="BO456" s="130"/>
      <c r="BP456" s="130"/>
      <c r="BQ456" s="130"/>
      <c r="BR456" s="130"/>
      <c r="BS456" s="130"/>
      <c r="BT456" s="130"/>
    </row>
    <row r="457" spans="1:72"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c r="BB457" s="130"/>
      <c r="BC457" s="130"/>
      <c r="BD457" s="130"/>
      <c r="BE457" s="130"/>
      <c r="BF457" s="130"/>
      <c r="BG457" s="130"/>
      <c r="BH457" s="130"/>
      <c r="BI457" s="130"/>
      <c r="BJ457" s="130"/>
      <c r="BK457" s="130"/>
      <c r="BL457" s="130"/>
      <c r="BM457" s="130"/>
      <c r="BN457" s="130"/>
      <c r="BO457" s="130"/>
      <c r="BP457" s="130"/>
      <c r="BQ457" s="130"/>
      <c r="BR457" s="130"/>
      <c r="BS457" s="130"/>
      <c r="BT457" s="130"/>
    </row>
    <row r="458" spans="1:72"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c r="BB458" s="130"/>
      <c r="BC458" s="130"/>
      <c r="BD458" s="130"/>
      <c r="BE458" s="130"/>
      <c r="BF458" s="130"/>
      <c r="BG458" s="130"/>
      <c r="BH458" s="130"/>
      <c r="BI458" s="130"/>
      <c r="BJ458" s="130"/>
      <c r="BK458" s="130"/>
      <c r="BL458" s="130"/>
      <c r="BM458" s="130"/>
      <c r="BN458" s="130"/>
      <c r="BO458" s="130"/>
      <c r="BP458" s="130"/>
      <c r="BQ458" s="130"/>
      <c r="BR458" s="130"/>
      <c r="BS458" s="130"/>
      <c r="BT458" s="130"/>
    </row>
    <row r="459" spans="1:72"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c r="BE459" s="130"/>
      <c r="BF459" s="130"/>
      <c r="BG459" s="130"/>
      <c r="BH459" s="130"/>
      <c r="BI459" s="130"/>
      <c r="BJ459" s="130"/>
      <c r="BK459" s="130"/>
      <c r="BL459" s="130"/>
      <c r="BM459" s="130"/>
      <c r="BN459" s="130"/>
      <c r="BO459" s="130"/>
      <c r="BP459" s="130"/>
      <c r="BQ459" s="130"/>
      <c r="BR459" s="130"/>
      <c r="BS459" s="130"/>
      <c r="BT459" s="130"/>
    </row>
    <row r="460" spans="1:72"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c r="BA460" s="130"/>
      <c r="BB460" s="130"/>
      <c r="BC460" s="130"/>
      <c r="BD460" s="130"/>
      <c r="BE460" s="130"/>
      <c r="BF460" s="130"/>
      <c r="BG460" s="130"/>
      <c r="BH460" s="130"/>
      <c r="BI460" s="130"/>
      <c r="BJ460" s="130"/>
      <c r="BK460" s="130"/>
      <c r="BL460" s="130"/>
      <c r="BM460" s="130"/>
      <c r="BN460" s="130"/>
      <c r="BO460" s="130"/>
      <c r="BP460" s="130"/>
      <c r="BQ460" s="130"/>
      <c r="BR460" s="130"/>
      <c r="BS460" s="130"/>
      <c r="BT460" s="130"/>
    </row>
    <row r="461" spans="1:72"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c r="BA461" s="130"/>
      <c r="BB461" s="130"/>
      <c r="BC461" s="130"/>
      <c r="BD461" s="130"/>
      <c r="BE461" s="130"/>
      <c r="BF461" s="130"/>
      <c r="BG461" s="130"/>
      <c r="BH461" s="130"/>
      <c r="BI461" s="130"/>
      <c r="BJ461" s="130"/>
      <c r="BK461" s="130"/>
      <c r="BL461" s="130"/>
      <c r="BM461" s="130"/>
      <c r="BN461" s="130"/>
      <c r="BO461" s="130"/>
      <c r="BP461" s="130"/>
      <c r="BQ461" s="130"/>
      <c r="BR461" s="130"/>
      <c r="BS461" s="130"/>
      <c r="BT461" s="130"/>
    </row>
    <row r="462" spans="1:7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c r="BA462" s="130"/>
      <c r="BB462" s="130"/>
      <c r="BC462" s="130"/>
      <c r="BD462" s="130"/>
      <c r="BE462" s="130"/>
      <c r="BF462" s="130"/>
      <c r="BG462" s="130"/>
      <c r="BH462" s="130"/>
      <c r="BI462" s="130"/>
      <c r="BJ462" s="130"/>
      <c r="BK462" s="130"/>
      <c r="BL462" s="130"/>
      <c r="BM462" s="130"/>
      <c r="BN462" s="130"/>
      <c r="BO462" s="130"/>
      <c r="BP462" s="130"/>
      <c r="BQ462" s="130"/>
      <c r="BR462" s="130"/>
      <c r="BS462" s="130"/>
      <c r="BT462" s="130"/>
    </row>
    <row r="463" spans="1:72"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c r="BA463" s="130"/>
      <c r="BB463" s="130"/>
      <c r="BC463" s="130"/>
      <c r="BD463" s="130"/>
      <c r="BE463" s="130"/>
      <c r="BF463" s="130"/>
      <c r="BG463" s="130"/>
      <c r="BH463" s="130"/>
      <c r="BI463" s="130"/>
      <c r="BJ463" s="130"/>
      <c r="BK463" s="130"/>
      <c r="BL463" s="130"/>
      <c r="BM463" s="130"/>
      <c r="BN463" s="130"/>
      <c r="BO463" s="130"/>
      <c r="BP463" s="130"/>
      <c r="BQ463" s="130"/>
      <c r="BR463" s="130"/>
      <c r="BS463" s="130"/>
      <c r="BT463" s="130"/>
    </row>
    <row r="464" spans="1:72"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c r="BA464" s="130"/>
      <c r="BB464" s="130"/>
      <c r="BC464" s="130"/>
      <c r="BD464" s="130"/>
      <c r="BE464" s="130"/>
      <c r="BF464" s="130"/>
      <c r="BG464" s="130"/>
      <c r="BH464" s="130"/>
      <c r="BI464" s="130"/>
      <c r="BJ464" s="130"/>
      <c r="BK464" s="130"/>
      <c r="BL464" s="130"/>
      <c r="BM464" s="130"/>
      <c r="BN464" s="130"/>
      <c r="BO464" s="130"/>
      <c r="BP464" s="130"/>
      <c r="BQ464" s="130"/>
      <c r="BR464" s="130"/>
      <c r="BS464" s="130"/>
      <c r="BT464" s="130"/>
    </row>
    <row r="465" spans="1:72"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c r="BB465" s="130"/>
      <c r="BC465" s="130"/>
      <c r="BD465" s="130"/>
      <c r="BE465" s="130"/>
      <c r="BF465" s="130"/>
      <c r="BG465" s="130"/>
      <c r="BH465" s="130"/>
      <c r="BI465" s="130"/>
      <c r="BJ465" s="130"/>
      <c r="BK465" s="130"/>
      <c r="BL465" s="130"/>
      <c r="BM465" s="130"/>
      <c r="BN465" s="130"/>
      <c r="BO465" s="130"/>
      <c r="BP465" s="130"/>
      <c r="BQ465" s="130"/>
      <c r="BR465" s="130"/>
      <c r="BS465" s="130"/>
      <c r="BT465" s="130"/>
    </row>
    <row r="466" spans="1:72"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c r="BA466" s="130"/>
      <c r="BB466" s="130"/>
      <c r="BC466" s="130"/>
      <c r="BD466" s="130"/>
      <c r="BE466" s="130"/>
      <c r="BF466" s="130"/>
      <c r="BG466" s="130"/>
      <c r="BH466" s="130"/>
      <c r="BI466" s="130"/>
      <c r="BJ466" s="130"/>
      <c r="BK466" s="130"/>
      <c r="BL466" s="130"/>
      <c r="BM466" s="130"/>
      <c r="BN466" s="130"/>
      <c r="BO466" s="130"/>
      <c r="BP466" s="130"/>
      <c r="BQ466" s="130"/>
      <c r="BR466" s="130"/>
      <c r="BS466" s="130"/>
      <c r="BT466" s="130"/>
    </row>
  </sheetData>
  <mergeCells count="4033">
    <mergeCell ref="U63:V63"/>
    <mergeCell ref="W63:X63"/>
    <mergeCell ref="Y63:Z63"/>
    <mergeCell ref="AA63:AB63"/>
    <mergeCell ref="AA62:AB62"/>
    <mergeCell ref="W62:X62"/>
    <mergeCell ref="Y62:Z62"/>
    <mergeCell ref="Y60:Z60"/>
    <mergeCell ref="AA60:AB60"/>
    <mergeCell ref="U62:V62"/>
    <mergeCell ref="U61:V61"/>
    <mergeCell ref="W61:X61"/>
    <mergeCell ref="Y61:Z61"/>
    <mergeCell ref="AA61:AB61"/>
    <mergeCell ref="U60:V60"/>
    <mergeCell ref="W60:X60"/>
    <mergeCell ref="U56:V56"/>
    <mergeCell ref="W56:X56"/>
    <mergeCell ref="Y56:Z56"/>
    <mergeCell ref="AA56:AB56"/>
    <mergeCell ref="U58:V58"/>
    <mergeCell ref="U57:V57"/>
    <mergeCell ref="W57:X57"/>
    <mergeCell ref="Y57:Z57"/>
    <mergeCell ref="AA57:AB57"/>
    <mergeCell ref="U55:V55"/>
    <mergeCell ref="W55:X55"/>
    <mergeCell ref="Q49:R49"/>
    <mergeCell ref="S49:T49"/>
    <mergeCell ref="U49:V49"/>
    <mergeCell ref="W49:X49"/>
    <mergeCell ref="O53:P53"/>
    <mergeCell ref="Q53:R53"/>
    <mergeCell ref="S53:T53"/>
    <mergeCell ref="U53:V53"/>
    <mergeCell ref="W53:X53"/>
    <mergeCell ref="Y53:Z53"/>
    <mergeCell ref="O49:P49"/>
    <mergeCell ref="Y49:Z49"/>
    <mergeCell ref="U54:V54"/>
    <mergeCell ref="W54:X54"/>
    <mergeCell ref="U52:V52"/>
    <mergeCell ref="W52:X52"/>
    <mergeCell ref="Y55:Z55"/>
    <mergeCell ref="AA55:AB55"/>
    <mergeCell ref="Y54:Z54"/>
    <mergeCell ref="AA54:AB54"/>
    <mergeCell ref="AA53:AB53"/>
    <mergeCell ref="Y52:Z52"/>
    <mergeCell ref="AA52:AB52"/>
    <mergeCell ref="U69:V69"/>
    <mergeCell ref="S70:T70"/>
    <mergeCell ref="W69:X69"/>
    <mergeCell ref="Y69:Z69"/>
    <mergeCell ref="AA69:AB69"/>
    <mergeCell ref="U68:V68"/>
    <mergeCell ref="W68:X68"/>
    <mergeCell ref="Y68:Z68"/>
    <mergeCell ref="AA68:AB68"/>
    <mergeCell ref="Y64:Z64"/>
    <mergeCell ref="AA64:AB64"/>
    <mergeCell ref="U59:V59"/>
    <mergeCell ref="W59:X59"/>
    <mergeCell ref="Y59:Z59"/>
    <mergeCell ref="AA59:AB59"/>
    <mergeCell ref="W58:X58"/>
    <mergeCell ref="Y58:Z58"/>
    <mergeCell ref="AA58:AB58"/>
    <mergeCell ref="U67:V67"/>
    <mergeCell ref="W67:X67"/>
    <mergeCell ref="Y67:Z67"/>
    <mergeCell ref="AA67:AB67"/>
    <mergeCell ref="W66:X66"/>
    <mergeCell ref="Y66:Z66"/>
    <mergeCell ref="AA66:AB66"/>
    <mergeCell ref="U66:V66"/>
    <mergeCell ref="U65:V65"/>
    <mergeCell ref="W65:X65"/>
    <mergeCell ref="Y65:Z65"/>
    <mergeCell ref="AA65:AB65"/>
    <mergeCell ref="U64:V64"/>
    <mergeCell ref="W64:X64"/>
    <mergeCell ref="G70:H70"/>
    <mergeCell ref="I70:J70"/>
    <mergeCell ref="A69:A70"/>
    <mergeCell ref="C69:D69"/>
    <mergeCell ref="E69:F69"/>
    <mergeCell ref="G69:H69"/>
    <mergeCell ref="I69:J69"/>
    <mergeCell ref="C70:D70"/>
    <mergeCell ref="E70:F70"/>
    <mergeCell ref="K69:L69"/>
    <mergeCell ref="M69:N69"/>
    <mergeCell ref="O69:P69"/>
    <mergeCell ref="Q69:R69"/>
    <mergeCell ref="K70:L70"/>
    <mergeCell ref="M70:N70"/>
    <mergeCell ref="O70:P70"/>
    <mergeCell ref="Q70:R70"/>
    <mergeCell ref="A73:A74"/>
    <mergeCell ref="A71:A72"/>
    <mergeCell ref="B71:B72"/>
    <mergeCell ref="C71:D71"/>
    <mergeCell ref="E71:F71"/>
    <mergeCell ref="G71:H71"/>
    <mergeCell ref="I71:J71"/>
    <mergeCell ref="A78:A79"/>
    <mergeCell ref="C78:D78"/>
    <mergeCell ref="E78:F78"/>
    <mergeCell ref="G78:H78"/>
    <mergeCell ref="I78:J78"/>
    <mergeCell ref="K78:L78"/>
    <mergeCell ref="M78:N78"/>
    <mergeCell ref="K79:L79"/>
    <mergeCell ref="E75:F75"/>
    <mergeCell ref="G75:H75"/>
    <mergeCell ref="G76:H76"/>
    <mergeCell ref="I76:J76"/>
    <mergeCell ref="M76:N76"/>
    <mergeCell ref="C79:D79"/>
    <mergeCell ref="E79:F79"/>
    <mergeCell ref="E77:F77"/>
    <mergeCell ref="G77:H77"/>
    <mergeCell ref="I77:J77"/>
    <mergeCell ref="K77:L77"/>
    <mergeCell ref="A75:A77"/>
    <mergeCell ref="K76:L76"/>
    <mergeCell ref="K73:L73"/>
    <mergeCell ref="M73:N73"/>
    <mergeCell ref="C74:D74"/>
    <mergeCell ref="E74:F74"/>
    <mergeCell ref="AO71:AP71"/>
    <mergeCell ref="AQ71:AR71"/>
    <mergeCell ref="AG71:AH71"/>
    <mergeCell ref="AG70:AH70"/>
    <mergeCell ref="I81:J81"/>
    <mergeCell ref="K81:L81"/>
    <mergeCell ref="M80:N80"/>
    <mergeCell ref="O79:P79"/>
    <mergeCell ref="Q79:R79"/>
    <mergeCell ref="S79:T79"/>
    <mergeCell ref="M79:N79"/>
    <mergeCell ref="E82:F82"/>
    <mergeCell ref="G82:H82"/>
    <mergeCell ref="E80:F80"/>
    <mergeCell ref="G80:H80"/>
    <mergeCell ref="I80:J80"/>
    <mergeCell ref="K80:L80"/>
    <mergeCell ref="M81:N81"/>
    <mergeCell ref="O78:P78"/>
    <mergeCell ref="Q78:R78"/>
    <mergeCell ref="S78:T78"/>
    <mergeCell ref="G79:H79"/>
    <mergeCell ref="I79:J79"/>
    <mergeCell ref="O75:P75"/>
    <mergeCell ref="Q75:R75"/>
    <mergeCell ref="S75:T75"/>
    <mergeCell ref="M77:N77"/>
    <mergeCell ref="O77:P77"/>
    <mergeCell ref="Q77:R77"/>
    <mergeCell ref="S77:T77"/>
    <mergeCell ref="O76:P76"/>
    <mergeCell ref="Q76:R76"/>
    <mergeCell ref="U80:V80"/>
    <mergeCell ref="W80:X80"/>
    <mergeCell ref="Y80:Z80"/>
    <mergeCell ref="AA80:AB80"/>
    <mergeCell ref="AC80:AD80"/>
    <mergeCell ref="W79:X79"/>
    <mergeCell ref="AC79:AD79"/>
    <mergeCell ref="Y77:Z77"/>
    <mergeCell ref="AA77:AB77"/>
    <mergeCell ref="U79:V79"/>
    <mergeCell ref="U78:V78"/>
    <mergeCell ref="W78:X78"/>
    <mergeCell ref="Y78:Z78"/>
    <mergeCell ref="AA78:AB78"/>
    <mergeCell ref="U77:V77"/>
    <mergeCell ref="W77:X77"/>
    <mergeCell ref="AM70:AN70"/>
    <mergeCell ref="AI71:AJ71"/>
    <mergeCell ref="AK71:AL71"/>
    <mergeCell ref="AM71:AN71"/>
    <mergeCell ref="W70:X70"/>
    <mergeCell ref="Y70:Z70"/>
    <mergeCell ref="AA70:AB70"/>
    <mergeCell ref="AC70:AD70"/>
    <mergeCell ref="W71:X71"/>
    <mergeCell ref="Y71:Z71"/>
    <mergeCell ref="AA71:AB71"/>
    <mergeCell ref="AC71:AD71"/>
    <mergeCell ref="AE71:AF71"/>
    <mergeCell ref="U71:V71"/>
    <mergeCell ref="U70:V70"/>
    <mergeCell ref="AE70:AF70"/>
    <mergeCell ref="U84:V84"/>
    <mergeCell ref="U82:V82"/>
    <mergeCell ref="W82:X82"/>
    <mergeCell ref="Y82:Z82"/>
    <mergeCell ref="AA82:AB82"/>
    <mergeCell ref="AC82:AD82"/>
    <mergeCell ref="AE82:AF82"/>
    <mergeCell ref="Y83:Z83"/>
    <mergeCell ref="AE81:AF81"/>
    <mergeCell ref="AE80:AF80"/>
    <mergeCell ref="AE79:AF79"/>
    <mergeCell ref="U83:V83"/>
    <mergeCell ref="W83:X83"/>
    <mergeCell ref="U81:V81"/>
    <mergeCell ref="W81:X81"/>
    <mergeCell ref="Y81:Z81"/>
    <mergeCell ref="AA81:AB81"/>
    <mergeCell ref="AC81:AD81"/>
    <mergeCell ref="Y79:Z79"/>
    <mergeCell ref="AA79:AB79"/>
    <mergeCell ref="Y75:Z75"/>
    <mergeCell ref="AA75:AB75"/>
    <mergeCell ref="AC75:AD75"/>
    <mergeCell ref="AE75:AF75"/>
    <mergeCell ref="U75:V75"/>
    <mergeCell ref="W75:X75"/>
    <mergeCell ref="Y74:Z74"/>
    <mergeCell ref="AA74:AB74"/>
    <mergeCell ref="AC74:AD74"/>
    <mergeCell ref="AE74:AF74"/>
    <mergeCell ref="U74:V74"/>
    <mergeCell ref="W74:X74"/>
    <mergeCell ref="W73:X73"/>
    <mergeCell ref="Y73:Z73"/>
    <mergeCell ref="AA73:AB73"/>
    <mergeCell ref="AC73:AD73"/>
    <mergeCell ref="AE73:AF73"/>
    <mergeCell ref="U73:V73"/>
    <mergeCell ref="AO77:AP77"/>
    <mergeCell ref="AM77:AN77"/>
    <mergeCell ref="AM78:AN78"/>
    <mergeCell ref="AM76:AN76"/>
    <mergeCell ref="AO76:AP76"/>
    <mergeCell ref="AQ76:AR76"/>
    <mergeCell ref="AA76:AB76"/>
    <mergeCell ref="AC76:AD76"/>
    <mergeCell ref="AE76:AF76"/>
    <mergeCell ref="AG76:AH76"/>
    <mergeCell ref="AI76:AJ76"/>
    <mergeCell ref="AK76:AL76"/>
    <mergeCell ref="AS76:AT76"/>
    <mergeCell ref="AU76:AV76"/>
    <mergeCell ref="U76:V76"/>
    <mergeCell ref="W76:X76"/>
    <mergeCell ref="Y76:Z76"/>
    <mergeCell ref="AK82:AL82"/>
    <mergeCell ref="AG82:AH82"/>
    <mergeCell ref="AI82:AJ82"/>
    <mergeCell ref="AG81:AH81"/>
    <mergeCell ref="AI81:AJ81"/>
    <mergeCell ref="AK81:AL81"/>
    <mergeCell ref="AM81:AN81"/>
    <mergeCell ref="AG80:AH80"/>
    <mergeCell ref="AI80:AJ80"/>
    <mergeCell ref="AK80:AL80"/>
    <mergeCell ref="AM80:AN80"/>
    <mergeCell ref="AG79:AH79"/>
    <mergeCell ref="AI79:AJ79"/>
    <mergeCell ref="AK79:AL79"/>
    <mergeCell ref="AG77:AH77"/>
    <mergeCell ref="AI77:AJ77"/>
    <mergeCell ref="AC78:AD78"/>
    <mergeCell ref="AE78:AF78"/>
    <mergeCell ref="AG78:AH78"/>
    <mergeCell ref="AI78:AJ78"/>
    <mergeCell ref="AK78:AL78"/>
    <mergeCell ref="AC77:AD77"/>
    <mergeCell ref="AE77:AF77"/>
    <mergeCell ref="AK77:AL77"/>
    <mergeCell ref="AS83:AT83"/>
    <mergeCell ref="AU83:AV83"/>
    <mergeCell ref="AW82:AX82"/>
    <mergeCell ref="AY82:AZ82"/>
    <mergeCell ref="AM82:AN82"/>
    <mergeCell ref="AO82:AP82"/>
    <mergeCell ref="AQ82:AR82"/>
    <mergeCell ref="AS82:AT82"/>
    <mergeCell ref="AU82:AV82"/>
    <mergeCell ref="AS80:AT80"/>
    <mergeCell ref="AU80:AV80"/>
    <mergeCell ref="AQ79:AR79"/>
    <mergeCell ref="AS79:AT79"/>
    <mergeCell ref="AU79:AV79"/>
    <mergeCell ref="AW80:AX80"/>
    <mergeCell ref="AY80:AZ80"/>
    <mergeCell ref="AW79:AX79"/>
    <mergeCell ref="AY79:AZ79"/>
    <mergeCell ref="AS81:AT81"/>
    <mergeCell ref="AU81:AV81"/>
    <mergeCell ref="AW81:AX81"/>
    <mergeCell ref="AY81:AZ81"/>
    <mergeCell ref="AO81:AP81"/>
    <mergeCell ref="AQ81:AR81"/>
    <mergeCell ref="AQ80:AR80"/>
    <mergeCell ref="AO80:AP80"/>
    <mergeCell ref="U92:V92"/>
    <mergeCell ref="W92:X92"/>
    <mergeCell ref="Y92:Z92"/>
    <mergeCell ref="U91:V91"/>
    <mergeCell ref="U90:V90"/>
    <mergeCell ref="W84:X84"/>
    <mergeCell ref="Y84:Z84"/>
    <mergeCell ref="U85:V85"/>
    <mergeCell ref="W85:X85"/>
    <mergeCell ref="Y85:Z85"/>
    <mergeCell ref="AI85:AJ85"/>
    <mergeCell ref="AK85:AL85"/>
    <mergeCell ref="AM84:AN84"/>
    <mergeCell ref="AO84:AP84"/>
    <mergeCell ref="AQ84:AR84"/>
    <mergeCell ref="AS84:AT84"/>
    <mergeCell ref="AU84:AV84"/>
    <mergeCell ref="AI84:AJ84"/>
    <mergeCell ref="AK84:AL84"/>
    <mergeCell ref="U99:V99"/>
    <mergeCell ref="W99:X99"/>
    <mergeCell ref="Y99:Z99"/>
    <mergeCell ref="U98:V98"/>
    <mergeCell ref="W98:X98"/>
    <mergeCell ref="Y98:Z98"/>
    <mergeCell ref="W96:X96"/>
    <mergeCell ref="Y96:Z96"/>
    <mergeCell ref="U93:V93"/>
    <mergeCell ref="W93:X93"/>
    <mergeCell ref="Y93:Z93"/>
    <mergeCell ref="U96:V96"/>
    <mergeCell ref="U95:V95"/>
    <mergeCell ref="W95:X95"/>
    <mergeCell ref="Y95:Z95"/>
    <mergeCell ref="U94:V94"/>
    <mergeCell ref="W94:X94"/>
    <mergeCell ref="Y94:Z94"/>
    <mergeCell ref="AA93:AB93"/>
    <mergeCell ref="AY85:AZ85"/>
    <mergeCell ref="AY84:AZ84"/>
    <mergeCell ref="AW84:AX84"/>
    <mergeCell ref="AY83:AZ83"/>
    <mergeCell ref="AW83:AX83"/>
    <mergeCell ref="AO85:AP85"/>
    <mergeCell ref="AQ85:AR85"/>
    <mergeCell ref="AS85:AT85"/>
    <mergeCell ref="AU85:AV85"/>
    <mergeCell ref="AW85:AX85"/>
    <mergeCell ref="AC85:AD85"/>
    <mergeCell ref="AM85:AN85"/>
    <mergeCell ref="AA83:AB83"/>
    <mergeCell ref="AC83:AD83"/>
    <mergeCell ref="AE83:AF83"/>
    <mergeCell ref="AG83:AH83"/>
    <mergeCell ref="AE85:AF85"/>
    <mergeCell ref="AG85:AH85"/>
    <mergeCell ref="AA84:AB84"/>
    <mergeCell ref="AC84:AD84"/>
    <mergeCell ref="AE84:AF84"/>
    <mergeCell ref="AG84:AH84"/>
    <mergeCell ref="AA85:AB85"/>
    <mergeCell ref="AI83:AJ83"/>
    <mergeCell ref="AK83:AL83"/>
    <mergeCell ref="AA92:AB92"/>
    <mergeCell ref="AC92:AD92"/>
    <mergeCell ref="AE92:AF92"/>
    <mergeCell ref="AM83:AN83"/>
    <mergeCell ref="AO83:AP83"/>
    <mergeCell ref="AQ83:AR83"/>
    <mergeCell ref="U114:V114"/>
    <mergeCell ref="W114:X114"/>
    <mergeCell ref="Y114:Z114"/>
    <mergeCell ref="AO114:AP114"/>
    <mergeCell ref="AO111:AP111"/>
    <mergeCell ref="AO113:AP113"/>
    <mergeCell ref="AO112:AP112"/>
    <mergeCell ref="AO110:AP110"/>
    <mergeCell ref="AM114:AN114"/>
    <mergeCell ref="AM113:AN113"/>
    <mergeCell ref="AY114:AZ114"/>
    <mergeCell ref="AQ114:AR114"/>
    <mergeCell ref="AS114:AT114"/>
    <mergeCell ref="AU114:AV114"/>
    <mergeCell ref="AW114:AX114"/>
    <mergeCell ref="AK114:AL114"/>
    <mergeCell ref="AY113:AZ113"/>
    <mergeCell ref="AQ113:AR113"/>
    <mergeCell ref="AS113:AT113"/>
    <mergeCell ref="AC113:AD113"/>
    <mergeCell ref="AE113:AF113"/>
    <mergeCell ref="AG113:AH113"/>
    <mergeCell ref="AI113:AJ113"/>
    <mergeCell ref="AK113:AL113"/>
    <mergeCell ref="AG112:AH112"/>
    <mergeCell ref="AI112:AJ112"/>
    <mergeCell ref="AK112:AL112"/>
    <mergeCell ref="AM112:AN112"/>
    <mergeCell ref="AQ112:AR112"/>
    <mergeCell ref="AC112:AD112"/>
    <mergeCell ref="AE112:AF112"/>
    <mergeCell ref="AE110:AF110"/>
    <mergeCell ref="A118:A126"/>
    <mergeCell ref="C118:D118"/>
    <mergeCell ref="E118:F118"/>
    <mergeCell ref="G118:H118"/>
    <mergeCell ref="I118:J118"/>
    <mergeCell ref="AS112:AT112"/>
    <mergeCell ref="AQ111:AR111"/>
    <mergeCell ref="AS111:AT111"/>
    <mergeCell ref="AQ110:AR110"/>
    <mergeCell ref="AS110:AT110"/>
    <mergeCell ref="AU111:AV111"/>
    <mergeCell ref="AW111:AX111"/>
    <mergeCell ref="AW110:AX110"/>
    <mergeCell ref="AU110:AV110"/>
    <mergeCell ref="AU113:AV113"/>
    <mergeCell ref="AW113:AX113"/>
    <mergeCell ref="AU112:AV112"/>
    <mergeCell ref="AW112:AX112"/>
    <mergeCell ref="AI111:AJ111"/>
    <mergeCell ref="AK111:AL111"/>
    <mergeCell ref="AG110:AH110"/>
    <mergeCell ref="AI110:AJ110"/>
    <mergeCell ref="AK110:AL110"/>
    <mergeCell ref="AM110:AN110"/>
    <mergeCell ref="AE111:AF111"/>
    <mergeCell ref="AG111:AH111"/>
    <mergeCell ref="AM111:AN111"/>
    <mergeCell ref="AA114:AB114"/>
    <mergeCell ref="AC114:AD114"/>
    <mergeCell ref="AE114:AF114"/>
    <mergeCell ref="AG114:AH114"/>
    <mergeCell ref="AI114:AJ114"/>
    <mergeCell ref="O124:P124"/>
    <mergeCell ref="Q124:R124"/>
    <mergeCell ref="S124:T124"/>
    <mergeCell ref="U124:V124"/>
    <mergeCell ref="W124:X124"/>
    <mergeCell ref="Y124:Z124"/>
    <mergeCell ref="C123:D123"/>
    <mergeCell ref="E123:F123"/>
    <mergeCell ref="G123:H123"/>
    <mergeCell ref="I123:J123"/>
    <mergeCell ref="K123:L123"/>
    <mergeCell ref="M123:N123"/>
    <mergeCell ref="O123:P123"/>
    <mergeCell ref="Q123:R123"/>
    <mergeCell ref="K122:L122"/>
    <mergeCell ref="M122:N122"/>
    <mergeCell ref="K118:L118"/>
    <mergeCell ref="M118:N118"/>
    <mergeCell ref="O122:P122"/>
    <mergeCell ref="Q122:R122"/>
    <mergeCell ref="Q121:R121"/>
    <mergeCell ref="C121:D121"/>
    <mergeCell ref="E121:F121"/>
    <mergeCell ref="G121:H121"/>
    <mergeCell ref="I121:J121"/>
    <mergeCell ref="K121:L121"/>
    <mergeCell ref="M121:N121"/>
    <mergeCell ref="O121:P121"/>
    <mergeCell ref="O120:P120"/>
    <mergeCell ref="Q120:R120"/>
    <mergeCell ref="O118:P118"/>
    <mergeCell ref="Q118:R118"/>
    <mergeCell ref="C126:D126"/>
    <mergeCell ref="E126:F126"/>
    <mergeCell ref="G126:H126"/>
    <mergeCell ref="I126:J126"/>
    <mergeCell ref="K126:L126"/>
    <mergeCell ref="M126:N126"/>
    <mergeCell ref="O126:P126"/>
    <mergeCell ref="Q126:R126"/>
    <mergeCell ref="AQ126:AR126"/>
    <mergeCell ref="AS126:AT126"/>
    <mergeCell ref="AU126:AV126"/>
    <mergeCell ref="AW126:AX126"/>
    <mergeCell ref="AY126:AZ126"/>
    <mergeCell ref="AE126:AF126"/>
    <mergeCell ref="AG126:AH126"/>
    <mergeCell ref="AI126:AJ126"/>
    <mergeCell ref="AK126:AL126"/>
    <mergeCell ref="AM126:AN126"/>
    <mergeCell ref="AO126:AP126"/>
    <mergeCell ref="S126:T126"/>
    <mergeCell ref="U126:V126"/>
    <mergeCell ref="AY127:AZ127"/>
    <mergeCell ref="AE127:AF127"/>
    <mergeCell ref="AG127:AH127"/>
    <mergeCell ref="AI127:AJ127"/>
    <mergeCell ref="AK127:AL127"/>
    <mergeCell ref="AM127:AN127"/>
    <mergeCell ref="AO127:AP127"/>
    <mergeCell ref="S127:T127"/>
    <mergeCell ref="U127:V127"/>
    <mergeCell ref="W127:X127"/>
    <mergeCell ref="Y127:Z127"/>
    <mergeCell ref="W126:X126"/>
    <mergeCell ref="Y126:Z126"/>
    <mergeCell ref="AA127:AB127"/>
    <mergeCell ref="AC127:AD127"/>
    <mergeCell ref="AA126:AB126"/>
    <mergeCell ref="AC126:AD126"/>
    <mergeCell ref="Q128:R128"/>
    <mergeCell ref="K128:L128"/>
    <mergeCell ref="M128:N128"/>
    <mergeCell ref="AU128:AV128"/>
    <mergeCell ref="AW128:AX128"/>
    <mergeCell ref="S128:T128"/>
    <mergeCell ref="U128:V128"/>
    <mergeCell ref="AS128:AT128"/>
    <mergeCell ref="AG128:AH128"/>
    <mergeCell ref="AI128:AJ128"/>
    <mergeCell ref="AK128:AL128"/>
    <mergeCell ref="AM128:AN128"/>
    <mergeCell ref="AO128:AP128"/>
    <mergeCell ref="AQ128:AR128"/>
    <mergeCell ref="C127:D127"/>
    <mergeCell ref="E127:F127"/>
    <mergeCell ref="G127:H127"/>
    <mergeCell ref="I127:J127"/>
    <mergeCell ref="K127:L127"/>
    <mergeCell ref="M127:N127"/>
    <mergeCell ref="O127:P127"/>
    <mergeCell ref="Q127:R127"/>
    <mergeCell ref="AQ127:AR127"/>
    <mergeCell ref="AS127:AT127"/>
    <mergeCell ref="AU127:AV127"/>
    <mergeCell ref="AW127:AX127"/>
    <mergeCell ref="C128:D128"/>
    <mergeCell ref="E128:F128"/>
    <mergeCell ref="G128:H128"/>
    <mergeCell ref="I128:J128"/>
    <mergeCell ref="C129:D129"/>
    <mergeCell ref="E129:F129"/>
    <mergeCell ref="G129:H129"/>
    <mergeCell ref="I129:J129"/>
    <mergeCell ref="AU129:AV129"/>
    <mergeCell ref="AW129:AX129"/>
    <mergeCell ref="AY129:AZ129"/>
    <mergeCell ref="AI129:AJ129"/>
    <mergeCell ref="K132:L132"/>
    <mergeCell ref="AW132:AX132"/>
    <mergeCell ref="AM132:AN132"/>
    <mergeCell ref="AO132:AP132"/>
    <mergeCell ref="AQ132:AR132"/>
    <mergeCell ref="AS132:AT132"/>
    <mergeCell ref="AU132:AV132"/>
    <mergeCell ref="AK129:AL129"/>
    <mergeCell ref="AM129:AN129"/>
    <mergeCell ref="AO129:AP129"/>
    <mergeCell ref="AQ129:AR129"/>
    <mergeCell ref="AS129:AT129"/>
    <mergeCell ref="W129:X129"/>
    <mergeCell ref="Y129:Z129"/>
    <mergeCell ref="AA129:AB129"/>
    <mergeCell ref="AC129:AD129"/>
    <mergeCell ref="AE129:AF129"/>
    <mergeCell ref="AG129:AH129"/>
    <mergeCell ref="AS131:AT131"/>
    <mergeCell ref="W131:X131"/>
    <mergeCell ref="Y131:Z131"/>
    <mergeCell ref="AA131:AB131"/>
    <mergeCell ref="AC131:AD131"/>
    <mergeCell ref="AE131:AF131"/>
    <mergeCell ref="AG131:AH131"/>
    <mergeCell ref="M132:N132"/>
    <mergeCell ref="O132:P132"/>
    <mergeCell ref="Q132:R132"/>
    <mergeCell ref="S132:T132"/>
    <mergeCell ref="K129:L129"/>
    <mergeCell ref="M129:N129"/>
    <mergeCell ref="O129:P129"/>
    <mergeCell ref="Q129:R129"/>
    <mergeCell ref="S129:T129"/>
    <mergeCell ref="U129:V129"/>
    <mergeCell ref="C132:D132"/>
    <mergeCell ref="E132:F132"/>
    <mergeCell ref="G132:H132"/>
    <mergeCell ref="I132:J132"/>
    <mergeCell ref="AK132:AL132"/>
    <mergeCell ref="Y132:Z132"/>
    <mergeCell ref="AY132:AZ132"/>
    <mergeCell ref="AA132:AB132"/>
    <mergeCell ref="AG132:AH132"/>
    <mergeCell ref="AI132:AJ132"/>
    <mergeCell ref="AC132:AD132"/>
    <mergeCell ref="AE132:AF132"/>
    <mergeCell ref="K131:L131"/>
    <mergeCell ref="M131:N131"/>
    <mergeCell ref="O131:P131"/>
    <mergeCell ref="Q131:R131"/>
    <mergeCell ref="S131:T131"/>
    <mergeCell ref="U131:V131"/>
    <mergeCell ref="U132:V132"/>
    <mergeCell ref="W132:X132"/>
    <mergeCell ref="C131:D131"/>
    <mergeCell ref="E131:F131"/>
    <mergeCell ref="G131:H131"/>
    <mergeCell ref="I131:J131"/>
    <mergeCell ref="AU131:AV131"/>
    <mergeCell ref="AW131:AX131"/>
    <mergeCell ref="AY131:AZ131"/>
    <mergeCell ref="AI131:AJ131"/>
    <mergeCell ref="AK131:AL131"/>
    <mergeCell ref="AM131:AN131"/>
    <mergeCell ref="AO131:AP131"/>
    <mergeCell ref="AQ131:AR131"/>
    <mergeCell ref="O133:P133"/>
    <mergeCell ref="Q133:R133"/>
    <mergeCell ref="S133:T133"/>
    <mergeCell ref="U133:V133"/>
    <mergeCell ref="W133:X133"/>
    <mergeCell ref="Y133:Z133"/>
    <mergeCell ref="C133:D133"/>
    <mergeCell ref="E133:F133"/>
    <mergeCell ref="G133:H133"/>
    <mergeCell ref="I133:J133"/>
    <mergeCell ref="K133:L133"/>
    <mergeCell ref="M133:N133"/>
    <mergeCell ref="AY133:AZ133"/>
    <mergeCell ref="AM133:AN133"/>
    <mergeCell ref="AY141:AZ141"/>
    <mergeCell ref="C140:D140"/>
    <mergeCell ref="E140:F140"/>
    <mergeCell ref="G140:H140"/>
    <mergeCell ref="I140:J140"/>
    <mergeCell ref="K140:L140"/>
    <mergeCell ref="M140:N140"/>
    <mergeCell ref="AO133:AP133"/>
    <mergeCell ref="AQ133:AR133"/>
    <mergeCell ref="AS133:AT133"/>
    <mergeCell ref="AU133:AV133"/>
    <mergeCell ref="AW133:AX133"/>
    <mergeCell ref="AA133:AB133"/>
    <mergeCell ref="AC133:AD133"/>
    <mergeCell ref="AE133:AF133"/>
    <mergeCell ref="AG133:AH133"/>
    <mergeCell ref="AI133:AJ133"/>
    <mergeCell ref="AK133:AL133"/>
    <mergeCell ref="U134:V134"/>
    <mergeCell ref="W134:X134"/>
    <mergeCell ref="Y134:Z134"/>
    <mergeCell ref="C134:D134"/>
    <mergeCell ref="E134:F134"/>
    <mergeCell ref="G134:H134"/>
    <mergeCell ref="I134:J134"/>
    <mergeCell ref="K134:L134"/>
    <mergeCell ref="M134:N134"/>
    <mergeCell ref="AY134:AZ134"/>
    <mergeCell ref="AM134:AN134"/>
    <mergeCell ref="AO134:AP134"/>
    <mergeCell ref="AQ134:AR134"/>
    <mergeCell ref="AS134:AT134"/>
    <mergeCell ref="AU134:AV134"/>
    <mergeCell ref="AW134:AX134"/>
    <mergeCell ref="AA134:AB134"/>
    <mergeCell ref="AC134:AD134"/>
    <mergeCell ref="AE134:AF134"/>
    <mergeCell ref="AG134:AH134"/>
    <mergeCell ref="AI134:AJ134"/>
    <mergeCell ref="AK134:AL134"/>
    <mergeCell ref="S139:T139"/>
    <mergeCell ref="S136:T136"/>
    <mergeCell ref="U136:V136"/>
    <mergeCell ref="W136:X136"/>
    <mergeCell ref="C135:D135"/>
    <mergeCell ref="E135:F135"/>
    <mergeCell ref="G135:H135"/>
    <mergeCell ref="I135:J135"/>
    <mergeCell ref="K135:L135"/>
    <mergeCell ref="M135:N135"/>
    <mergeCell ref="AQ135:AR135"/>
    <mergeCell ref="AS135:AT135"/>
    <mergeCell ref="AU135:AV135"/>
    <mergeCell ref="AW135:AX135"/>
    <mergeCell ref="AY135:AZ135"/>
    <mergeCell ref="O134:P134"/>
    <mergeCell ref="S135:T135"/>
    <mergeCell ref="U135:V135"/>
    <mergeCell ref="W135:X135"/>
    <mergeCell ref="Y135:Z135"/>
    <mergeCell ref="AA135:AB135"/>
    <mergeCell ref="O135:P135"/>
    <mergeCell ref="Q135:R135"/>
    <mergeCell ref="AO135:AP135"/>
    <mergeCell ref="AC135:AD135"/>
    <mergeCell ref="AE135:AF135"/>
    <mergeCell ref="AG135:AH135"/>
    <mergeCell ref="AI135:AJ135"/>
    <mergeCell ref="AK135:AL135"/>
    <mergeCell ref="AM135:AN135"/>
    <mergeCell ref="Q134:R134"/>
    <mergeCell ref="S134:T134"/>
    <mergeCell ref="G138:H138"/>
    <mergeCell ref="I138:J138"/>
    <mergeCell ref="K138:L138"/>
    <mergeCell ref="M138:N138"/>
    <mergeCell ref="M136:N136"/>
    <mergeCell ref="O136:P136"/>
    <mergeCell ref="Q136:R136"/>
    <mergeCell ref="C138:D138"/>
    <mergeCell ref="E138:F138"/>
    <mergeCell ref="C136:D136"/>
    <mergeCell ref="E136:F136"/>
    <mergeCell ref="G136:H136"/>
    <mergeCell ref="I136:J136"/>
    <mergeCell ref="K136:L136"/>
    <mergeCell ref="O138:P138"/>
    <mergeCell ref="Q138:R138"/>
    <mergeCell ref="C139:D139"/>
    <mergeCell ref="E139:F139"/>
    <mergeCell ref="G139:H139"/>
    <mergeCell ref="I139:J139"/>
    <mergeCell ref="K139:L139"/>
    <mergeCell ref="M139:N139"/>
    <mergeCell ref="O139:P139"/>
    <mergeCell ref="Q139:R139"/>
    <mergeCell ref="AW136:AX136"/>
    <mergeCell ref="AY136:AZ136"/>
    <mergeCell ref="AE136:AF136"/>
    <mergeCell ref="AG136:AH136"/>
    <mergeCell ref="AC136:AD136"/>
    <mergeCell ref="AI136:AJ136"/>
    <mergeCell ref="AK136:AL136"/>
    <mergeCell ref="AQ136:AR136"/>
    <mergeCell ref="AS136:AT136"/>
    <mergeCell ref="AU136:AV136"/>
    <mergeCell ref="AM136:AN136"/>
    <mergeCell ref="AO136:AP136"/>
    <mergeCell ref="S138:T138"/>
    <mergeCell ref="U138:V138"/>
    <mergeCell ref="W138:X138"/>
    <mergeCell ref="Y138:Z138"/>
    <mergeCell ref="Y136:Z136"/>
    <mergeCell ref="AA136:AB136"/>
    <mergeCell ref="AA138:AB138"/>
    <mergeCell ref="AC138:AD138"/>
    <mergeCell ref="AS139:AT139"/>
    <mergeCell ref="AU139:AV139"/>
    <mergeCell ref="AW139:AX139"/>
    <mergeCell ref="AY139:AZ139"/>
    <mergeCell ref="AG139:AH139"/>
    <mergeCell ref="AI139:AJ139"/>
    <mergeCell ref="AK139:AL139"/>
    <mergeCell ref="AM139:AN139"/>
    <mergeCell ref="AO139:AP139"/>
    <mergeCell ref="AQ139:AR139"/>
    <mergeCell ref="U139:V139"/>
    <mergeCell ref="W139:X139"/>
    <mergeCell ref="Y139:Z139"/>
    <mergeCell ref="AA139:AB139"/>
    <mergeCell ref="AC139:AD139"/>
    <mergeCell ref="AE139:AF139"/>
    <mergeCell ref="AQ138:AR138"/>
    <mergeCell ref="AS138:AT138"/>
    <mergeCell ref="AU138:AV138"/>
    <mergeCell ref="AW138:AX138"/>
    <mergeCell ref="AY138:AZ138"/>
    <mergeCell ref="AE138:AF138"/>
    <mergeCell ref="AG138:AH138"/>
    <mergeCell ref="AI138:AJ138"/>
    <mergeCell ref="AK138:AL138"/>
    <mergeCell ref="AM138:AN138"/>
    <mergeCell ref="AO138:AP138"/>
    <mergeCell ref="AY144:AZ144"/>
    <mergeCell ref="W144:X144"/>
    <mergeCell ref="Y144:Z144"/>
    <mergeCell ref="AA144:AB144"/>
    <mergeCell ref="AC144:AD144"/>
    <mergeCell ref="AE144:AF144"/>
    <mergeCell ref="C143:D143"/>
    <mergeCell ref="E143:F143"/>
    <mergeCell ref="G143:H143"/>
    <mergeCell ref="I143:J143"/>
    <mergeCell ref="K143:L143"/>
    <mergeCell ref="M143:N143"/>
    <mergeCell ref="O143:P143"/>
    <mergeCell ref="Q143:R143"/>
    <mergeCell ref="AQ143:AR143"/>
    <mergeCell ref="AS143:AT143"/>
    <mergeCell ref="AU143:AV143"/>
    <mergeCell ref="AW143:AX143"/>
    <mergeCell ref="AY143:AZ143"/>
    <mergeCell ref="AE143:AF143"/>
    <mergeCell ref="AG143:AH143"/>
    <mergeCell ref="AI143:AJ143"/>
    <mergeCell ref="AK143:AL143"/>
    <mergeCell ref="AM143:AN143"/>
    <mergeCell ref="AO143:AP143"/>
    <mergeCell ref="S143:T143"/>
    <mergeCell ref="U143:V143"/>
    <mergeCell ref="W143:X143"/>
    <mergeCell ref="Y143:Z143"/>
    <mergeCell ref="AA143:AB143"/>
    <mergeCell ref="AC143:AD143"/>
    <mergeCell ref="C144:D144"/>
    <mergeCell ref="E144:F144"/>
    <mergeCell ref="G144:H144"/>
    <mergeCell ref="I144:J144"/>
    <mergeCell ref="K144:L144"/>
    <mergeCell ref="M144:N144"/>
    <mergeCell ref="O144:P144"/>
    <mergeCell ref="Q144:R144"/>
    <mergeCell ref="AU144:AV144"/>
    <mergeCell ref="AW144:AX144"/>
    <mergeCell ref="S144:T144"/>
    <mergeCell ref="U144:V144"/>
    <mergeCell ref="AS144:AT144"/>
    <mergeCell ref="AG144:AH144"/>
    <mergeCell ref="AI144:AJ144"/>
    <mergeCell ref="AK144:AL144"/>
    <mergeCell ref="AM144:AN144"/>
    <mergeCell ref="AO144:AP144"/>
    <mergeCell ref="AQ144:AR144"/>
    <mergeCell ref="O145:P145"/>
    <mergeCell ref="Q145:R145"/>
    <mergeCell ref="S145:T145"/>
    <mergeCell ref="U145:V145"/>
    <mergeCell ref="W145:X145"/>
    <mergeCell ref="Y145:Z145"/>
    <mergeCell ref="C145:D145"/>
    <mergeCell ref="E145:F145"/>
    <mergeCell ref="G145:H145"/>
    <mergeCell ref="I145:J145"/>
    <mergeCell ref="K145:L145"/>
    <mergeCell ref="M145:N145"/>
    <mergeCell ref="AY145:AZ145"/>
    <mergeCell ref="AM145:AN145"/>
    <mergeCell ref="AO145:AP145"/>
    <mergeCell ref="AQ145:AR145"/>
    <mergeCell ref="AS145:AT145"/>
    <mergeCell ref="AU145:AV145"/>
    <mergeCell ref="AW145:AX145"/>
    <mergeCell ref="AA145:AB145"/>
    <mergeCell ref="AC145:AD145"/>
    <mergeCell ref="AE145:AF145"/>
    <mergeCell ref="AG145:AH145"/>
    <mergeCell ref="AI145:AJ145"/>
    <mergeCell ref="AK145:AL145"/>
    <mergeCell ref="E146:F146"/>
    <mergeCell ref="G147:H147"/>
    <mergeCell ref="I147:J147"/>
    <mergeCell ref="G146:H146"/>
    <mergeCell ref="I146:J146"/>
    <mergeCell ref="K146:L146"/>
    <mergeCell ref="M146:N146"/>
    <mergeCell ref="O146:P146"/>
    <mergeCell ref="K147:L147"/>
    <mergeCell ref="M147:N147"/>
    <mergeCell ref="O147:P147"/>
    <mergeCell ref="Q147:R147"/>
    <mergeCell ref="AQ147:AR147"/>
    <mergeCell ref="AS147:AT147"/>
    <mergeCell ref="AU147:AV147"/>
    <mergeCell ref="AW147:AX147"/>
    <mergeCell ref="AY147:AZ147"/>
    <mergeCell ref="AE147:AF147"/>
    <mergeCell ref="AG147:AH147"/>
    <mergeCell ref="AI147:AJ147"/>
    <mergeCell ref="AK147:AL147"/>
    <mergeCell ref="AM147:AN147"/>
    <mergeCell ref="Q146:R146"/>
    <mergeCell ref="S146:T146"/>
    <mergeCell ref="U146:V146"/>
    <mergeCell ref="W146:X146"/>
    <mergeCell ref="A1:BA1"/>
    <mergeCell ref="A2:BA2"/>
    <mergeCell ref="A3:B3"/>
    <mergeCell ref="C3:BA3"/>
    <mergeCell ref="C4:BA4"/>
    <mergeCell ref="U8:V8"/>
    <mergeCell ref="C5:BA5"/>
    <mergeCell ref="AO147:AP147"/>
    <mergeCell ref="S148:T148"/>
    <mergeCell ref="S147:T147"/>
    <mergeCell ref="U147:V147"/>
    <mergeCell ref="W147:X147"/>
    <mergeCell ref="Y147:Z147"/>
    <mergeCell ref="AA147:AB147"/>
    <mergeCell ref="AC147:AD147"/>
    <mergeCell ref="AW146:AX146"/>
    <mergeCell ref="AY146:AZ146"/>
    <mergeCell ref="AC146:AD146"/>
    <mergeCell ref="AE146:AF146"/>
    <mergeCell ref="Y146:Z146"/>
    <mergeCell ref="AA146:AB146"/>
    <mergeCell ref="AG146:AH146"/>
    <mergeCell ref="AI146:AJ146"/>
    <mergeCell ref="AK146:AL146"/>
    <mergeCell ref="AM146:AN146"/>
    <mergeCell ref="AO146:AP146"/>
    <mergeCell ref="AQ146:AR146"/>
    <mergeCell ref="AS146:AT146"/>
    <mergeCell ref="AU146:AV146"/>
    <mergeCell ref="C147:D147"/>
    <mergeCell ref="E147:F147"/>
    <mergeCell ref="C146:D146"/>
    <mergeCell ref="AW8:AX8"/>
    <mergeCell ref="AY8:AZ8"/>
    <mergeCell ref="W8:X8"/>
    <mergeCell ref="Y8:Z8"/>
    <mergeCell ref="AI8:AJ8"/>
    <mergeCell ref="AA8:AB8"/>
    <mergeCell ref="AG8:AH8"/>
    <mergeCell ref="AA16:AB16"/>
    <mergeCell ref="AU8:AV8"/>
    <mergeCell ref="AK8:AL8"/>
    <mergeCell ref="AM8:AN8"/>
    <mergeCell ref="AO8:AP8"/>
    <mergeCell ref="AQ8:AR8"/>
    <mergeCell ref="AS8:AT8"/>
    <mergeCell ref="AC8:AD8"/>
    <mergeCell ref="AE8:AF8"/>
    <mergeCell ref="A4:B4"/>
    <mergeCell ref="A5:B5"/>
    <mergeCell ref="Y16:Z16"/>
    <mergeCell ref="C27:D27"/>
    <mergeCell ref="E27:F27"/>
    <mergeCell ref="G27:H27"/>
    <mergeCell ref="I27:J27"/>
    <mergeCell ref="K27:L27"/>
    <mergeCell ref="M27:N27"/>
    <mergeCell ref="W25:X25"/>
    <mergeCell ref="W24:X24"/>
    <mergeCell ref="W27:X27"/>
    <mergeCell ref="W26:X26"/>
    <mergeCell ref="Y26:Z26"/>
    <mergeCell ref="AA26:AB26"/>
    <mergeCell ref="Y25:Z25"/>
    <mergeCell ref="AA25:AB25"/>
    <mergeCell ref="AA24:AB24"/>
    <mergeCell ref="W20:X20"/>
    <mergeCell ref="Y20:Z20"/>
    <mergeCell ref="AA20:AB20"/>
    <mergeCell ref="U21:V21"/>
    <mergeCell ref="U20:V20"/>
    <mergeCell ref="U18:V18"/>
    <mergeCell ref="U16:V16"/>
    <mergeCell ref="U34:V34"/>
    <mergeCell ref="U33:V33"/>
    <mergeCell ref="U32:V32"/>
    <mergeCell ref="U31:V31"/>
    <mergeCell ref="U30:V30"/>
    <mergeCell ref="U29:V29"/>
    <mergeCell ref="U27:V27"/>
    <mergeCell ref="W34:X34"/>
    <mergeCell ref="Y34:Z34"/>
    <mergeCell ref="AA34:AB34"/>
    <mergeCell ref="W33:X33"/>
    <mergeCell ref="Y33:Z33"/>
    <mergeCell ref="AA33:AB33"/>
    <mergeCell ref="W32:X32"/>
    <mergeCell ref="Y32:Z32"/>
    <mergeCell ref="AA32:AB32"/>
    <mergeCell ref="U28:V28"/>
    <mergeCell ref="W18:X18"/>
    <mergeCell ref="Y18:Z18"/>
    <mergeCell ref="AA18:AB18"/>
    <mergeCell ref="W16:X16"/>
    <mergeCell ref="AC44:AD44"/>
    <mergeCell ref="AE44:AF44"/>
    <mergeCell ref="AC35:AD35"/>
    <mergeCell ref="AE35:AF35"/>
    <mergeCell ref="AG35:AH35"/>
    <mergeCell ref="AI35:AJ35"/>
    <mergeCell ref="AK35:AL35"/>
    <mergeCell ref="AG44:AH44"/>
    <mergeCell ref="AI44:AJ44"/>
    <mergeCell ref="W45:X45"/>
    <mergeCell ref="Y45:Z45"/>
    <mergeCell ref="U44:V44"/>
    <mergeCell ref="W44:X44"/>
    <mergeCell ref="AY44:AZ44"/>
    <mergeCell ref="AM44:AN44"/>
    <mergeCell ref="AW44:AX44"/>
    <mergeCell ref="AK44:AL44"/>
    <mergeCell ref="W41:X41"/>
    <mergeCell ref="Y41:Z41"/>
    <mergeCell ref="U41:V41"/>
    <mergeCell ref="U42:V42"/>
    <mergeCell ref="U43:V43"/>
    <mergeCell ref="U40:V40"/>
    <mergeCell ref="U39:V39"/>
    <mergeCell ref="U38:V38"/>
    <mergeCell ref="U37:V37"/>
    <mergeCell ref="U36:V36"/>
    <mergeCell ref="U35:V35"/>
    <mergeCell ref="C49:D49"/>
    <mergeCell ref="E49:F49"/>
    <mergeCell ref="G49:H49"/>
    <mergeCell ref="I49:J49"/>
    <mergeCell ref="K49:L49"/>
    <mergeCell ref="M49:N49"/>
    <mergeCell ref="S47:T47"/>
    <mergeCell ref="U47:V47"/>
    <mergeCell ref="W47:X47"/>
    <mergeCell ref="Y47:Z47"/>
    <mergeCell ref="AA47:AB47"/>
    <mergeCell ref="A47:A49"/>
    <mergeCell ref="Q47:R47"/>
    <mergeCell ref="Y48:Z48"/>
    <mergeCell ref="AA48:AB48"/>
    <mergeCell ref="Y50:Z50"/>
    <mergeCell ref="AA50:AB50"/>
    <mergeCell ref="U50:V50"/>
    <mergeCell ref="W50:X50"/>
    <mergeCell ref="AA49:AB49"/>
    <mergeCell ref="U48:V48"/>
    <mergeCell ref="W48:X48"/>
    <mergeCell ref="E47:F47"/>
    <mergeCell ref="G47:H47"/>
    <mergeCell ref="I47:J47"/>
    <mergeCell ref="K47:L47"/>
    <mergeCell ref="C47:D47"/>
    <mergeCell ref="C48:D48"/>
    <mergeCell ref="E48:F48"/>
    <mergeCell ref="G48:H48"/>
    <mergeCell ref="M47:N47"/>
    <mergeCell ref="O47:P47"/>
    <mergeCell ref="Y35:Z35"/>
    <mergeCell ref="AA35:AB35"/>
    <mergeCell ref="W37:X37"/>
    <mergeCell ref="Y37:Z37"/>
    <mergeCell ref="AA37:AB37"/>
    <mergeCell ref="W36:X36"/>
    <mergeCell ref="Y36:Z36"/>
    <mergeCell ref="AA36:AB36"/>
    <mergeCell ref="W35:X35"/>
    <mergeCell ref="Y24:Z24"/>
    <mergeCell ref="Y23:Z23"/>
    <mergeCell ref="AA23:AB23"/>
    <mergeCell ref="W23:X23"/>
    <mergeCell ref="W21:X21"/>
    <mergeCell ref="Y21:Z21"/>
    <mergeCell ref="AA21:AB21"/>
    <mergeCell ref="I48:J48"/>
    <mergeCell ref="K48:L48"/>
    <mergeCell ref="M48:N48"/>
    <mergeCell ref="O48:P48"/>
    <mergeCell ref="Q48:R48"/>
    <mergeCell ref="S48:T48"/>
    <mergeCell ref="U46:V46"/>
    <mergeCell ref="W46:X46"/>
    <mergeCell ref="Y46:Z46"/>
    <mergeCell ref="AA46:AB46"/>
    <mergeCell ref="U45:V45"/>
    <mergeCell ref="AA45:AB45"/>
    <mergeCell ref="U26:V26"/>
    <mergeCell ref="U25:V25"/>
    <mergeCell ref="U24:V24"/>
    <mergeCell ref="U23:V23"/>
    <mergeCell ref="W42:X42"/>
    <mergeCell ref="Y42:Z42"/>
    <mergeCell ref="Y44:Z44"/>
    <mergeCell ref="AA44:AB44"/>
    <mergeCell ref="W43:X43"/>
    <mergeCell ref="Y43:Z43"/>
    <mergeCell ref="AA43:AB43"/>
    <mergeCell ref="AA41:AB41"/>
    <mergeCell ref="AA42:AB42"/>
    <mergeCell ref="Y38:Z38"/>
    <mergeCell ref="AA38:AB38"/>
    <mergeCell ref="W40:X40"/>
    <mergeCell ref="Y40:Z40"/>
    <mergeCell ref="AA40:AB40"/>
    <mergeCell ref="AA39:AB39"/>
    <mergeCell ref="W39:X39"/>
    <mergeCell ref="Y39:Z39"/>
    <mergeCell ref="W38:X38"/>
    <mergeCell ref="AW21:AX21"/>
    <mergeCell ref="AY21:AZ21"/>
    <mergeCell ref="AS20:AT20"/>
    <mergeCell ref="AY20:AZ20"/>
    <mergeCell ref="AU16:AV16"/>
    <mergeCell ref="AW16:AX16"/>
    <mergeCell ref="AQ20:AR20"/>
    <mergeCell ref="AQ18:AR18"/>
    <mergeCell ref="AS18:AT18"/>
    <mergeCell ref="AU18:AV18"/>
    <mergeCell ref="AW18:AX18"/>
    <mergeCell ref="AY18:AZ18"/>
    <mergeCell ref="AS16:AT16"/>
    <mergeCell ref="AY16:AZ16"/>
    <mergeCell ref="W31:X31"/>
    <mergeCell ref="Y31:Z31"/>
    <mergeCell ref="AA31:AB31"/>
    <mergeCell ref="AA30:AB30"/>
    <mergeCell ref="W30:X30"/>
    <mergeCell ref="Y30:Z30"/>
    <mergeCell ref="AA29:AB29"/>
    <mergeCell ref="Y29:Z29"/>
    <mergeCell ref="W29:X29"/>
    <mergeCell ref="W28:X28"/>
    <mergeCell ref="Y28:Z28"/>
    <mergeCell ref="AA28:AB28"/>
    <mergeCell ref="Y27:Z27"/>
    <mergeCell ref="AA27:AB27"/>
    <mergeCell ref="AQ9:AR9"/>
    <mergeCell ref="AS9:AT9"/>
    <mergeCell ref="AU9:AV9"/>
    <mergeCell ref="AW9:AX9"/>
    <mergeCell ref="AY9:AZ9"/>
    <mergeCell ref="AO30:AP30"/>
    <mergeCell ref="AQ30:AR30"/>
    <mergeCell ref="AO29:AP29"/>
    <mergeCell ref="AQ29:AR29"/>
    <mergeCell ref="AO28:AP28"/>
    <mergeCell ref="AQ28:AR28"/>
    <mergeCell ref="AO27:AP27"/>
    <mergeCell ref="AS28:AT28"/>
    <mergeCell ref="AS27:AT27"/>
    <mergeCell ref="AU27:AV27"/>
    <mergeCell ref="AW27:AX27"/>
    <mergeCell ref="AY27:AZ27"/>
    <mergeCell ref="AW23:AX23"/>
    <mergeCell ref="AY23:AZ23"/>
    <mergeCell ref="AQ27:AR27"/>
    <mergeCell ref="AQ26:AR26"/>
    <mergeCell ref="AS26:AT26"/>
    <mergeCell ref="AU26:AV26"/>
    <mergeCell ref="AW26:AX26"/>
    <mergeCell ref="AY26:AZ26"/>
    <mergeCell ref="AY24:AZ24"/>
    <mergeCell ref="AW24:AX24"/>
    <mergeCell ref="AU20:AV20"/>
    <mergeCell ref="AW20:AX20"/>
    <mergeCell ref="AS24:AT24"/>
    <mergeCell ref="AU24:AV24"/>
    <mergeCell ref="AU21:AV21"/>
    <mergeCell ref="AY30:AZ30"/>
    <mergeCell ref="AW30:AX30"/>
    <mergeCell ref="AW28:AX28"/>
    <mergeCell ref="AY28:AZ28"/>
    <mergeCell ref="AS30:AT30"/>
    <mergeCell ref="AU30:AV30"/>
    <mergeCell ref="AW29:AX29"/>
    <mergeCell ref="AY29:AZ29"/>
    <mergeCell ref="AS29:AT29"/>
    <mergeCell ref="AU29:AV29"/>
    <mergeCell ref="AU28:AV28"/>
    <mergeCell ref="AO26:AP26"/>
    <mergeCell ref="AO25:AP25"/>
    <mergeCell ref="AQ25:AR25"/>
    <mergeCell ref="AM24:AN24"/>
    <mergeCell ref="AO24:AP24"/>
    <mergeCell ref="AQ24:AR24"/>
    <mergeCell ref="AW43:AX43"/>
    <mergeCell ref="AY43:AZ43"/>
    <mergeCell ref="AW41:AX41"/>
    <mergeCell ref="AY41:AZ41"/>
    <mergeCell ref="AW42:AX42"/>
    <mergeCell ref="AY42:AZ42"/>
    <mergeCell ref="AM45:AN45"/>
    <mergeCell ref="AO45:AP45"/>
    <mergeCell ref="AQ45:AR45"/>
    <mergeCell ref="AS45:AT45"/>
    <mergeCell ref="AU45:AV45"/>
    <mergeCell ref="AS43:AT43"/>
    <mergeCell ref="AU43:AV43"/>
    <mergeCell ref="AQ43:AR43"/>
    <mergeCell ref="AS41:AT41"/>
    <mergeCell ref="AU41:AV41"/>
    <mergeCell ref="AM33:AN33"/>
    <mergeCell ref="AO33:AP33"/>
    <mergeCell ref="AO44:AP44"/>
    <mergeCell ref="AQ44:AR44"/>
    <mergeCell ref="AM35:AN35"/>
    <mergeCell ref="AO35:AP35"/>
    <mergeCell ref="AQ35:AR35"/>
    <mergeCell ref="AS44:AT44"/>
    <mergeCell ref="AU44:AV44"/>
    <mergeCell ref="AY35:AZ35"/>
    <mergeCell ref="AS35:AT35"/>
    <mergeCell ref="AU35:AV35"/>
    <mergeCell ref="AW35:AX35"/>
    <mergeCell ref="AW48:AX48"/>
    <mergeCell ref="AY48:AZ48"/>
    <mergeCell ref="AW47:AX47"/>
    <mergeCell ref="AY47:AZ47"/>
    <mergeCell ref="AW45:AX45"/>
    <mergeCell ref="AY45:AZ45"/>
    <mergeCell ref="AW46:AX46"/>
    <mergeCell ref="AY46:AZ46"/>
    <mergeCell ref="AS48:AT48"/>
    <mergeCell ref="AM48:AN48"/>
    <mergeCell ref="AO48:AP48"/>
    <mergeCell ref="AQ48:AR48"/>
    <mergeCell ref="AQ47:AR47"/>
    <mergeCell ref="AS47:AT47"/>
    <mergeCell ref="AU47:AV47"/>
    <mergeCell ref="AM47:AN47"/>
    <mergeCell ref="AO47:AP47"/>
    <mergeCell ref="AO46:AP46"/>
    <mergeCell ref="AQ46:AR46"/>
    <mergeCell ref="AS46:AT46"/>
    <mergeCell ref="AU46:AV46"/>
    <mergeCell ref="AM46:AN46"/>
    <mergeCell ref="AQ49:AR49"/>
    <mergeCell ref="AM65:AN65"/>
    <mergeCell ref="AO65:AP65"/>
    <mergeCell ref="AM64:AN64"/>
    <mergeCell ref="AO64:AP64"/>
    <mergeCell ref="AS63:AT63"/>
    <mergeCell ref="AM63:AN63"/>
    <mergeCell ref="AM62:AN62"/>
    <mergeCell ref="AW54:AX54"/>
    <mergeCell ref="AY54:AZ54"/>
    <mergeCell ref="AY53:AZ53"/>
    <mergeCell ref="AW53:AX53"/>
    <mergeCell ref="AW52:AX52"/>
    <mergeCell ref="AY52:AZ52"/>
    <mergeCell ref="AY50:AZ50"/>
    <mergeCell ref="AY49:AZ49"/>
    <mergeCell ref="AS49:AT49"/>
    <mergeCell ref="AU49:AV49"/>
    <mergeCell ref="AW49:AX49"/>
    <mergeCell ref="AQ65:AR65"/>
    <mergeCell ref="AQ64:AR64"/>
    <mergeCell ref="AS64:AT64"/>
    <mergeCell ref="AU64:AV64"/>
    <mergeCell ref="AW64:AX64"/>
    <mergeCell ref="AY64:AZ64"/>
    <mergeCell ref="AO69:AP69"/>
    <mergeCell ref="AO68:AP68"/>
    <mergeCell ref="AM66:AN66"/>
    <mergeCell ref="AO66:AP66"/>
    <mergeCell ref="AQ66:AR66"/>
    <mergeCell ref="AS66:AT66"/>
    <mergeCell ref="AS65:AT65"/>
    <mergeCell ref="AU63:AV63"/>
    <mergeCell ref="AW63:AX63"/>
    <mergeCell ref="AY63:AZ63"/>
    <mergeCell ref="AY62:AZ62"/>
    <mergeCell ref="AU62:AV62"/>
    <mergeCell ref="AW62:AX62"/>
    <mergeCell ref="AO63:AP63"/>
    <mergeCell ref="AO62:AP62"/>
    <mergeCell ref="AQ63:AR63"/>
    <mergeCell ref="AQ62:AR62"/>
    <mergeCell ref="AW25:AX25"/>
    <mergeCell ref="AY25:AZ25"/>
    <mergeCell ref="AS60:AT60"/>
    <mergeCell ref="AU60:AV60"/>
    <mergeCell ref="AW60:AX60"/>
    <mergeCell ref="AY60:AZ60"/>
    <mergeCell ref="AS59:AT59"/>
    <mergeCell ref="AU59:AV59"/>
    <mergeCell ref="AS62:AT62"/>
    <mergeCell ref="AS61:AT61"/>
    <mergeCell ref="AU61:AV61"/>
    <mergeCell ref="AW61:AX61"/>
    <mergeCell ref="AY61:AZ61"/>
    <mergeCell ref="AW59:AX59"/>
    <mergeCell ref="AY59:AZ59"/>
    <mergeCell ref="AW57:AX57"/>
    <mergeCell ref="AW55:AX55"/>
    <mergeCell ref="AY55:AZ55"/>
    <mergeCell ref="AW56:AX56"/>
    <mergeCell ref="AY56:AZ56"/>
    <mergeCell ref="AS56:AT56"/>
    <mergeCell ref="AU56:AV56"/>
    <mergeCell ref="AS55:AT55"/>
    <mergeCell ref="AU55:AV55"/>
    <mergeCell ref="AY58:AZ58"/>
    <mergeCell ref="AS58:AT58"/>
    <mergeCell ref="AU58:AV58"/>
    <mergeCell ref="AW58:AX58"/>
    <mergeCell ref="AS57:AT57"/>
    <mergeCell ref="AU57:AV57"/>
    <mergeCell ref="AY57:AZ57"/>
    <mergeCell ref="AU48:AV48"/>
    <mergeCell ref="AQ38:AR38"/>
    <mergeCell ref="AO36:AP36"/>
    <mergeCell ref="AQ36:AR36"/>
    <mergeCell ref="AS36:AT36"/>
    <mergeCell ref="AS34:AT34"/>
    <mergeCell ref="AU34:AV34"/>
    <mergeCell ref="AW34:AX34"/>
    <mergeCell ref="AY34:AZ34"/>
    <mergeCell ref="AQ34:AR34"/>
    <mergeCell ref="AM34:AN34"/>
    <mergeCell ref="AO34:AP34"/>
    <mergeCell ref="AQ33:AR33"/>
    <mergeCell ref="AS33:AT33"/>
    <mergeCell ref="AU33:AV33"/>
    <mergeCell ref="AW33:AX33"/>
    <mergeCell ref="AY33:AZ33"/>
    <mergeCell ref="AO31:AP31"/>
    <mergeCell ref="AM31:AN31"/>
    <mergeCell ref="AM32:AN32"/>
    <mergeCell ref="AQ32:AR32"/>
    <mergeCell ref="AS32:AT32"/>
    <mergeCell ref="AU32:AV32"/>
    <mergeCell ref="AW32:AX32"/>
    <mergeCell ref="AY32:AZ32"/>
    <mergeCell ref="AO32:AP32"/>
    <mergeCell ref="AQ31:AR31"/>
    <mergeCell ref="AS31:AT31"/>
    <mergeCell ref="AU31:AV31"/>
    <mergeCell ref="AW31:AX31"/>
    <mergeCell ref="AY31:AZ31"/>
    <mergeCell ref="AS40:AT40"/>
    <mergeCell ref="AU40:AV40"/>
    <mergeCell ref="AO41:AP41"/>
    <mergeCell ref="AQ41:AR41"/>
    <mergeCell ref="AM40:AN40"/>
    <mergeCell ref="AM38:AN38"/>
    <mergeCell ref="AO38:AP38"/>
    <mergeCell ref="AW38:AX38"/>
    <mergeCell ref="AW36:AX36"/>
    <mergeCell ref="AY36:AZ36"/>
    <mergeCell ref="AW37:AX37"/>
    <mergeCell ref="AY37:AZ37"/>
    <mergeCell ref="AW40:AX40"/>
    <mergeCell ref="AY40:AZ40"/>
    <mergeCell ref="AY39:AZ39"/>
    <mergeCell ref="AU39:AV39"/>
    <mergeCell ref="AW39:AX39"/>
    <mergeCell ref="AU38:AV38"/>
    <mergeCell ref="AY38:AZ38"/>
    <mergeCell ref="AM39:AN39"/>
    <mergeCell ref="AM36:AN36"/>
    <mergeCell ref="AM37:AN37"/>
    <mergeCell ref="AQ37:AR37"/>
    <mergeCell ref="AS37:AT37"/>
    <mergeCell ref="AU37:AV37"/>
    <mergeCell ref="AU36:AV36"/>
    <mergeCell ref="AO40:AP40"/>
    <mergeCell ref="AO37:AP37"/>
    <mergeCell ref="AO39:AP39"/>
    <mergeCell ref="AQ39:AR39"/>
    <mergeCell ref="AS39:AT39"/>
    <mergeCell ref="AS38:AT38"/>
    <mergeCell ref="AM52:AN52"/>
    <mergeCell ref="AO52:AP52"/>
    <mergeCell ref="AQ52:AR52"/>
    <mergeCell ref="AS52:AT52"/>
    <mergeCell ref="AU52:AV52"/>
    <mergeCell ref="AG50:AH50"/>
    <mergeCell ref="AI50:AJ50"/>
    <mergeCell ref="AK52:AL52"/>
    <mergeCell ref="AC52:AD52"/>
    <mergeCell ref="AE52:AF52"/>
    <mergeCell ref="AG52:AH52"/>
    <mergeCell ref="AI52:AJ52"/>
    <mergeCell ref="AC50:AD50"/>
    <mergeCell ref="AE50:AF50"/>
    <mergeCell ref="AG40:AH40"/>
    <mergeCell ref="AI40:AJ40"/>
    <mergeCell ref="AC41:AD41"/>
    <mergeCell ref="AE41:AF41"/>
    <mergeCell ref="AG41:AH41"/>
    <mergeCell ref="AI41:AJ41"/>
    <mergeCell ref="AK41:AL41"/>
    <mergeCell ref="AE40:AF40"/>
    <mergeCell ref="AK40:AL40"/>
    <mergeCell ref="AM43:AN43"/>
    <mergeCell ref="AO43:AP43"/>
    <mergeCell ref="AM41:AN41"/>
    <mergeCell ref="AQ42:AR42"/>
    <mergeCell ref="AS42:AT42"/>
    <mergeCell ref="AU42:AV42"/>
    <mergeCell ref="AM42:AN42"/>
    <mergeCell ref="AO42:AP42"/>
    <mergeCell ref="AQ40:AR40"/>
    <mergeCell ref="AQ56:AR56"/>
    <mergeCell ref="AO56:AP56"/>
    <mergeCell ref="AO54:AP54"/>
    <mergeCell ref="AQ54:AR54"/>
    <mergeCell ref="AS54:AT54"/>
    <mergeCell ref="AU54:AV54"/>
    <mergeCell ref="AO55:AP55"/>
    <mergeCell ref="AQ55:AR55"/>
    <mergeCell ref="AM53:AN53"/>
    <mergeCell ref="AO53:AP53"/>
    <mergeCell ref="AQ53:AR53"/>
    <mergeCell ref="AS53:AT53"/>
    <mergeCell ref="AU53:AV53"/>
    <mergeCell ref="AC53:AD53"/>
    <mergeCell ref="AE53:AF53"/>
    <mergeCell ref="AK53:AL53"/>
    <mergeCell ref="AG53:AH53"/>
    <mergeCell ref="AI53:AJ53"/>
    <mergeCell ref="AE64:AF64"/>
    <mergeCell ref="AG64:AH64"/>
    <mergeCell ref="AI64:AJ64"/>
    <mergeCell ref="AK64:AL64"/>
    <mergeCell ref="AC64:AD64"/>
    <mergeCell ref="AM61:AN61"/>
    <mergeCell ref="AQ61:AR61"/>
    <mergeCell ref="AM59:AN59"/>
    <mergeCell ref="AQ60:AR60"/>
    <mergeCell ref="AM60:AN60"/>
    <mergeCell ref="AO59:AP59"/>
    <mergeCell ref="AQ59:AR59"/>
    <mergeCell ref="AM58:AN58"/>
    <mergeCell ref="AO58:AP58"/>
    <mergeCell ref="AQ58:AR58"/>
    <mergeCell ref="AM57:AN57"/>
    <mergeCell ref="AO57:AP57"/>
    <mergeCell ref="AQ57:AR57"/>
    <mergeCell ref="AO60:AP60"/>
    <mergeCell ref="AO61:AP61"/>
    <mergeCell ref="AI70:AJ70"/>
    <mergeCell ref="AK70:AL70"/>
    <mergeCell ref="AE69:AF69"/>
    <mergeCell ref="AG69:AH69"/>
    <mergeCell ref="AI69:AJ69"/>
    <mergeCell ref="AK69:AL69"/>
    <mergeCell ref="AM69:AN69"/>
    <mergeCell ref="AQ68:AR68"/>
    <mergeCell ref="AS68:AT68"/>
    <mergeCell ref="AU68:AV68"/>
    <mergeCell ref="AW68:AX68"/>
    <mergeCell ref="AY68:AZ68"/>
    <mergeCell ref="AU70:AV70"/>
    <mergeCell ref="AW70:AX70"/>
    <mergeCell ref="AQ70:AR70"/>
    <mergeCell ref="AQ69:AR69"/>
    <mergeCell ref="AS69:AT69"/>
    <mergeCell ref="AU69:AV69"/>
    <mergeCell ref="AY69:AZ69"/>
    <mergeCell ref="AG68:AH68"/>
    <mergeCell ref="AI68:AJ68"/>
    <mergeCell ref="AK68:AL68"/>
    <mergeCell ref="AM68:AN68"/>
    <mergeCell ref="AO70:AP70"/>
    <mergeCell ref="AW65:AX65"/>
    <mergeCell ref="AY65:AZ65"/>
    <mergeCell ref="AG65:AH65"/>
    <mergeCell ref="AI65:AJ65"/>
    <mergeCell ref="AK65:AL65"/>
    <mergeCell ref="AW69:AX69"/>
    <mergeCell ref="AW67:AX67"/>
    <mergeCell ref="AY67:AZ67"/>
    <mergeCell ref="AY66:AZ66"/>
    <mergeCell ref="AU66:AV66"/>
    <mergeCell ref="AW66:AX66"/>
    <mergeCell ref="AU65:AV65"/>
    <mergeCell ref="AC69:AD69"/>
    <mergeCell ref="AC67:AD67"/>
    <mergeCell ref="AE67:AF67"/>
    <mergeCell ref="AG67:AH67"/>
    <mergeCell ref="AI67:AJ67"/>
    <mergeCell ref="AK67:AL67"/>
    <mergeCell ref="AM67:AN67"/>
    <mergeCell ref="AC68:AD68"/>
    <mergeCell ref="AE68:AF68"/>
    <mergeCell ref="AC66:AD66"/>
    <mergeCell ref="AE66:AF66"/>
    <mergeCell ref="AG66:AH66"/>
    <mergeCell ref="AI66:AJ66"/>
    <mergeCell ref="AK66:AL66"/>
    <mergeCell ref="AO67:AP67"/>
    <mergeCell ref="AQ67:AR67"/>
    <mergeCell ref="AS67:AT67"/>
    <mergeCell ref="AU67:AV67"/>
    <mergeCell ref="AC65:AD65"/>
    <mergeCell ref="AE65:AF65"/>
    <mergeCell ref="AY75:AZ75"/>
    <mergeCell ref="AK75:AL75"/>
    <mergeCell ref="AM75:AN75"/>
    <mergeCell ref="AO75:AP75"/>
    <mergeCell ref="AQ75:AR75"/>
    <mergeCell ref="AG75:AH75"/>
    <mergeCell ref="AI75:AJ75"/>
    <mergeCell ref="AK74:AL74"/>
    <mergeCell ref="AM74:AN74"/>
    <mergeCell ref="AO74:AP74"/>
    <mergeCell ref="AQ74:AR74"/>
    <mergeCell ref="AG74:AH74"/>
    <mergeCell ref="AI74:AJ74"/>
    <mergeCell ref="AI73:AJ73"/>
    <mergeCell ref="AK73:AL73"/>
    <mergeCell ref="AM73:AN73"/>
    <mergeCell ref="AO73:AP73"/>
    <mergeCell ref="AQ73:AR73"/>
    <mergeCell ref="AG73:AH73"/>
    <mergeCell ref="AS75:AT75"/>
    <mergeCell ref="AU75:AV75"/>
    <mergeCell ref="AY74:AZ74"/>
    <mergeCell ref="AS74:AT74"/>
    <mergeCell ref="AU74:AV74"/>
    <mergeCell ref="AW73:AX73"/>
    <mergeCell ref="AY73:AZ73"/>
    <mergeCell ref="AW74:AX74"/>
    <mergeCell ref="AU73:AV73"/>
    <mergeCell ref="AS73:AT73"/>
    <mergeCell ref="AU71:AV71"/>
    <mergeCell ref="AW71:AX71"/>
    <mergeCell ref="AY71:AZ71"/>
    <mergeCell ref="AS71:AT71"/>
    <mergeCell ref="AS70:AT70"/>
    <mergeCell ref="AY70:AZ70"/>
    <mergeCell ref="AM79:AN79"/>
    <mergeCell ref="AO79:AP79"/>
    <mergeCell ref="AQ78:AR78"/>
    <mergeCell ref="AS78:AT78"/>
    <mergeCell ref="AU78:AV78"/>
    <mergeCell ref="AW78:AX78"/>
    <mergeCell ref="AY78:AZ78"/>
    <mergeCell ref="AO78:AP78"/>
    <mergeCell ref="AQ77:AR77"/>
    <mergeCell ref="AS77:AT77"/>
    <mergeCell ref="AU77:AV77"/>
    <mergeCell ref="AW77:AX77"/>
    <mergeCell ref="AY77:AZ77"/>
    <mergeCell ref="AY76:AZ76"/>
    <mergeCell ref="AW76:AX76"/>
    <mergeCell ref="AW75:AX75"/>
    <mergeCell ref="AC33:AD33"/>
    <mergeCell ref="AE32:AF32"/>
    <mergeCell ref="AI27:AJ27"/>
    <mergeCell ref="AK27:AL27"/>
    <mergeCell ref="AK23:AL23"/>
    <mergeCell ref="AG21:AH21"/>
    <mergeCell ref="AI21:AJ21"/>
    <mergeCell ref="AK21:AL21"/>
    <mergeCell ref="AM21:AN21"/>
    <mergeCell ref="AI16:AJ16"/>
    <mergeCell ref="AK16:AL16"/>
    <mergeCell ref="AE20:AF20"/>
    <mergeCell ref="AE18:AF18"/>
    <mergeCell ref="AG18:AH18"/>
    <mergeCell ref="AI18:AJ18"/>
    <mergeCell ref="AK18:AL18"/>
    <mergeCell ref="AM18:AN18"/>
    <mergeCell ref="AG16:AH16"/>
    <mergeCell ref="AM16:AN16"/>
    <mergeCell ref="AM30:AN30"/>
    <mergeCell ref="AM29:AN29"/>
    <mergeCell ref="AM28:AN28"/>
    <mergeCell ref="AM27:AN27"/>
    <mergeCell ref="AM26:AN26"/>
    <mergeCell ref="AQ16:AR16"/>
    <mergeCell ref="AC16:AD16"/>
    <mergeCell ref="AE16:AF16"/>
    <mergeCell ref="AO21:AP21"/>
    <mergeCell ref="AQ21:AR21"/>
    <mergeCell ref="AE21:AF21"/>
    <mergeCell ref="AG20:AH20"/>
    <mergeCell ref="AI20:AJ20"/>
    <mergeCell ref="AK20:AL20"/>
    <mergeCell ref="AC20:AD20"/>
    <mergeCell ref="AS21:AT21"/>
    <mergeCell ref="AC40:AD40"/>
    <mergeCell ref="AC39:AD39"/>
    <mergeCell ref="AE39:AF39"/>
    <mergeCell ref="AG39:AH39"/>
    <mergeCell ref="AI39:AJ39"/>
    <mergeCell ref="AK39:AL39"/>
    <mergeCell ref="AG38:AH38"/>
    <mergeCell ref="AC38:AD38"/>
    <mergeCell ref="AE38:AF38"/>
    <mergeCell ref="AC36:AD36"/>
    <mergeCell ref="AE36:AF36"/>
    <mergeCell ref="AG36:AH36"/>
    <mergeCell ref="AI36:AJ36"/>
    <mergeCell ref="AK36:AL36"/>
    <mergeCell ref="AK37:AL37"/>
    <mergeCell ref="AG33:AH33"/>
    <mergeCell ref="AG32:AH32"/>
    <mergeCell ref="AI32:AJ32"/>
    <mergeCell ref="AK32:AL32"/>
    <mergeCell ref="AG31:AH31"/>
    <mergeCell ref="AI31:AJ31"/>
    <mergeCell ref="AC30:AD30"/>
    <mergeCell ref="AC29:AD29"/>
    <mergeCell ref="AC28:AD28"/>
    <mergeCell ref="AC27:AD27"/>
    <mergeCell ref="AC26:AD26"/>
    <mergeCell ref="AC9:AD9"/>
    <mergeCell ref="Y9:Z9"/>
    <mergeCell ref="AA9:AB9"/>
    <mergeCell ref="AC24:AD24"/>
    <mergeCell ref="AC21:AD21"/>
    <mergeCell ref="AE9:AF9"/>
    <mergeCell ref="AG9:AH9"/>
    <mergeCell ref="AI9:AJ9"/>
    <mergeCell ref="AK9:AL9"/>
    <mergeCell ref="AM9:AN9"/>
    <mergeCell ref="AM20:AN20"/>
    <mergeCell ref="AO20:AP20"/>
    <mergeCell ref="AO18:AP18"/>
    <mergeCell ref="AC18:AD18"/>
    <mergeCell ref="AO16:AP16"/>
    <mergeCell ref="AO9:AP9"/>
    <mergeCell ref="AI24:AJ24"/>
    <mergeCell ref="AK24:AL24"/>
    <mergeCell ref="AM23:AN23"/>
    <mergeCell ref="AO23:AP23"/>
    <mergeCell ref="AQ23:AR23"/>
    <mergeCell ref="AS23:AT23"/>
    <mergeCell ref="AU23:AV23"/>
    <mergeCell ref="AI23:AJ23"/>
    <mergeCell ref="AC23:AD23"/>
    <mergeCell ref="AE23:AF23"/>
    <mergeCell ref="AG23:AH23"/>
    <mergeCell ref="AC25:AD25"/>
    <mergeCell ref="AE25:AF25"/>
    <mergeCell ref="AG25:AH25"/>
    <mergeCell ref="AI25:AJ25"/>
    <mergeCell ref="AK25:AL25"/>
    <mergeCell ref="AE24:AF24"/>
    <mergeCell ref="AG24:AH24"/>
    <mergeCell ref="AS25:AT25"/>
    <mergeCell ref="AU25:AV25"/>
    <mergeCell ref="AE30:AF30"/>
    <mergeCell ref="AG30:AH30"/>
    <mergeCell ref="AI30:AJ30"/>
    <mergeCell ref="AK30:AL30"/>
    <mergeCell ref="AK29:AL29"/>
    <mergeCell ref="AE29:AF29"/>
    <mergeCell ref="AE27:AF27"/>
    <mergeCell ref="AE26:AF26"/>
    <mergeCell ref="AG26:AH26"/>
    <mergeCell ref="AI26:AJ26"/>
    <mergeCell ref="AK26:AL26"/>
    <mergeCell ref="AM25:AN25"/>
    <mergeCell ref="AG29:AH29"/>
    <mergeCell ref="AI29:AJ29"/>
    <mergeCell ref="AI28:AJ28"/>
    <mergeCell ref="AK28:AL28"/>
    <mergeCell ref="AE28:AF28"/>
    <mergeCell ref="AG28:AH28"/>
    <mergeCell ref="AG27:AH27"/>
    <mergeCell ref="AG48:AH48"/>
    <mergeCell ref="AI48:AJ48"/>
    <mergeCell ref="AK48:AL48"/>
    <mergeCell ref="AC48:AD48"/>
    <mergeCell ref="AE48:AF48"/>
    <mergeCell ref="AE47:AF47"/>
    <mergeCell ref="AG47:AH47"/>
    <mergeCell ref="AI46:AJ46"/>
    <mergeCell ref="AK46:AL46"/>
    <mergeCell ref="AE42:AF42"/>
    <mergeCell ref="AG42:AH42"/>
    <mergeCell ref="AI42:AJ42"/>
    <mergeCell ref="AK42:AL42"/>
    <mergeCell ref="AC42:AD42"/>
    <mergeCell ref="AI38:AJ38"/>
    <mergeCell ref="AK38:AL38"/>
    <mergeCell ref="AE31:AF31"/>
    <mergeCell ref="AC32:AD32"/>
    <mergeCell ref="AC31:AD31"/>
    <mergeCell ref="AK31:AL31"/>
    <mergeCell ref="AG37:AH37"/>
    <mergeCell ref="AI37:AJ37"/>
    <mergeCell ref="AG34:AH34"/>
    <mergeCell ref="AI34:AJ34"/>
    <mergeCell ref="AK34:AL34"/>
    <mergeCell ref="AI33:AJ33"/>
    <mergeCell ref="AK33:AL33"/>
    <mergeCell ref="AC37:AD37"/>
    <mergeCell ref="AE37:AF37"/>
    <mergeCell ref="AC34:AD34"/>
    <mergeCell ref="AE34:AF34"/>
    <mergeCell ref="AE33:AF33"/>
    <mergeCell ref="AE54:AF54"/>
    <mergeCell ref="AG54:AH54"/>
    <mergeCell ref="AC47:AD47"/>
    <mergeCell ref="AC45:AD45"/>
    <mergeCell ref="AE45:AF45"/>
    <mergeCell ref="AG45:AH45"/>
    <mergeCell ref="AI45:AJ45"/>
    <mergeCell ref="AK45:AL45"/>
    <mergeCell ref="AC46:AD46"/>
    <mergeCell ref="AE46:AF46"/>
    <mergeCell ref="AG46:AH46"/>
    <mergeCell ref="AG43:AH43"/>
    <mergeCell ref="AI43:AJ43"/>
    <mergeCell ref="AK43:AL43"/>
    <mergeCell ref="AC43:AD43"/>
    <mergeCell ref="AE43:AF43"/>
    <mergeCell ref="AW50:AX50"/>
    <mergeCell ref="AK50:AL50"/>
    <mergeCell ref="AM50:AN50"/>
    <mergeCell ref="AO50:AP50"/>
    <mergeCell ref="AQ50:AR50"/>
    <mergeCell ref="AS50:AT50"/>
    <mergeCell ref="AU50:AV50"/>
    <mergeCell ref="AM49:AN49"/>
    <mergeCell ref="AO49:AP49"/>
    <mergeCell ref="AC49:AD49"/>
    <mergeCell ref="AE49:AF49"/>
    <mergeCell ref="AG49:AH49"/>
    <mergeCell ref="AI49:AJ49"/>
    <mergeCell ref="AK49:AL49"/>
    <mergeCell ref="AI47:AJ47"/>
    <mergeCell ref="AK47:AL47"/>
    <mergeCell ref="AG59:AH59"/>
    <mergeCell ref="AI59:AJ59"/>
    <mergeCell ref="AK59:AL59"/>
    <mergeCell ref="AC58:AD58"/>
    <mergeCell ref="AE58:AF58"/>
    <mergeCell ref="AK58:AL58"/>
    <mergeCell ref="AE56:AF56"/>
    <mergeCell ref="AG56:AH56"/>
    <mergeCell ref="AI56:AJ56"/>
    <mergeCell ref="AK56:AL56"/>
    <mergeCell ref="AM56:AN56"/>
    <mergeCell ref="AC56:AD56"/>
    <mergeCell ref="AG58:AH58"/>
    <mergeCell ref="AI58:AJ58"/>
    <mergeCell ref="AG57:AH57"/>
    <mergeCell ref="AI57:AJ57"/>
    <mergeCell ref="AK57:AL57"/>
    <mergeCell ref="AC57:AD57"/>
    <mergeCell ref="AE57:AF57"/>
    <mergeCell ref="AI54:AJ54"/>
    <mergeCell ref="AK54:AL54"/>
    <mergeCell ref="AC55:AD55"/>
    <mergeCell ref="AE55:AF55"/>
    <mergeCell ref="AG55:AH55"/>
    <mergeCell ref="AI55:AJ55"/>
    <mergeCell ref="AK55:AL55"/>
    <mergeCell ref="AM55:AN55"/>
    <mergeCell ref="AC54:AD54"/>
    <mergeCell ref="AM54:AN54"/>
    <mergeCell ref="AC63:AD63"/>
    <mergeCell ref="AE63:AF63"/>
    <mergeCell ref="AG63:AH63"/>
    <mergeCell ref="AI63:AJ63"/>
    <mergeCell ref="AK63:AL63"/>
    <mergeCell ref="AC62:AD62"/>
    <mergeCell ref="AE62:AF62"/>
    <mergeCell ref="AK62:AL62"/>
    <mergeCell ref="AC60:AD60"/>
    <mergeCell ref="AE60:AF60"/>
    <mergeCell ref="AG60:AH60"/>
    <mergeCell ref="AI60:AJ60"/>
    <mergeCell ref="AK60:AL60"/>
    <mergeCell ref="AG62:AH62"/>
    <mergeCell ref="AI62:AJ62"/>
    <mergeCell ref="AG61:AH61"/>
    <mergeCell ref="AI61:AJ61"/>
    <mergeCell ref="AK61:AL61"/>
    <mergeCell ref="AC61:AD61"/>
    <mergeCell ref="AE61:AF61"/>
    <mergeCell ref="AC59:AD59"/>
    <mergeCell ref="AE59:AF59"/>
    <mergeCell ref="C43:D43"/>
    <mergeCell ref="C42:D42"/>
    <mergeCell ref="A50:A51"/>
    <mergeCell ref="B50:B51"/>
    <mergeCell ref="C50:D50"/>
    <mergeCell ref="A41:A46"/>
    <mergeCell ref="C46:D46"/>
    <mergeCell ref="C45:D45"/>
    <mergeCell ref="C44:D44"/>
    <mergeCell ref="G54:H54"/>
    <mergeCell ref="I54:J54"/>
    <mergeCell ref="K54:L54"/>
    <mergeCell ref="M54:N54"/>
    <mergeCell ref="O54:P54"/>
    <mergeCell ref="Q54:R54"/>
    <mergeCell ref="S54:T54"/>
    <mergeCell ref="I53:J53"/>
    <mergeCell ref="K53:L53"/>
    <mergeCell ref="E54:F54"/>
    <mergeCell ref="E52:F52"/>
    <mergeCell ref="G52:H52"/>
    <mergeCell ref="I52:J52"/>
    <mergeCell ref="K52:L52"/>
    <mergeCell ref="M52:N52"/>
    <mergeCell ref="O52:P52"/>
    <mergeCell ref="M53:N53"/>
    <mergeCell ref="E53:F53"/>
    <mergeCell ref="G53:H53"/>
    <mergeCell ref="E50:F50"/>
    <mergeCell ref="G50:H50"/>
    <mergeCell ref="I50:J50"/>
    <mergeCell ref="K50:L50"/>
    <mergeCell ref="K43:L43"/>
    <mergeCell ref="M43:N43"/>
    <mergeCell ref="E45:F45"/>
    <mergeCell ref="E44:F44"/>
    <mergeCell ref="G44:H44"/>
    <mergeCell ref="I44:J44"/>
    <mergeCell ref="K44:L44"/>
    <mergeCell ref="M44:N44"/>
    <mergeCell ref="E43:F43"/>
    <mergeCell ref="G43:H43"/>
    <mergeCell ref="I43:J43"/>
    <mergeCell ref="O43:P43"/>
    <mergeCell ref="Q43:R43"/>
    <mergeCell ref="S43:T43"/>
    <mergeCell ref="O42:P42"/>
    <mergeCell ref="Q42:R42"/>
    <mergeCell ref="E42:F42"/>
    <mergeCell ref="G42:H42"/>
    <mergeCell ref="I42:J42"/>
    <mergeCell ref="K42:L42"/>
    <mergeCell ref="M42:N42"/>
    <mergeCell ref="S45:T45"/>
    <mergeCell ref="Q45:R45"/>
    <mergeCell ref="O45:P45"/>
    <mergeCell ref="O44:P44"/>
    <mergeCell ref="Q44:R44"/>
    <mergeCell ref="S44:T44"/>
    <mergeCell ref="S42:T42"/>
    <mergeCell ref="A82:A83"/>
    <mergeCell ref="E81:F81"/>
    <mergeCell ref="G81:H81"/>
    <mergeCell ref="E68:F68"/>
    <mergeCell ref="G68:H68"/>
    <mergeCell ref="I68:J68"/>
    <mergeCell ref="K68:L68"/>
    <mergeCell ref="K66:L66"/>
    <mergeCell ref="O57:P57"/>
    <mergeCell ref="Q57:R57"/>
    <mergeCell ref="S57:T57"/>
    <mergeCell ref="O56:P56"/>
    <mergeCell ref="Q56:R56"/>
    <mergeCell ref="S56:T56"/>
    <mergeCell ref="Q52:R52"/>
    <mergeCell ref="S52:T52"/>
    <mergeCell ref="I45:J45"/>
    <mergeCell ref="K45:L45"/>
    <mergeCell ref="E46:F46"/>
    <mergeCell ref="G46:H46"/>
    <mergeCell ref="I46:J46"/>
    <mergeCell ref="K46:L46"/>
    <mergeCell ref="M46:N46"/>
    <mergeCell ref="G45:H45"/>
    <mergeCell ref="M45:N45"/>
    <mergeCell ref="M50:N50"/>
    <mergeCell ref="O50:P50"/>
    <mergeCell ref="Q50:R50"/>
    <mergeCell ref="S50:T50"/>
    <mergeCell ref="S46:T46"/>
    <mergeCell ref="O46:P46"/>
    <mergeCell ref="Q46:R46"/>
    <mergeCell ref="Q55:R55"/>
    <mergeCell ref="S55:T55"/>
    <mergeCell ref="O55:P55"/>
    <mergeCell ref="O82:P82"/>
    <mergeCell ref="Q82:R82"/>
    <mergeCell ref="S82:T82"/>
    <mergeCell ref="O81:P81"/>
    <mergeCell ref="Q81:R81"/>
    <mergeCell ref="S81:T81"/>
    <mergeCell ref="I82:J82"/>
    <mergeCell ref="K82:L82"/>
    <mergeCell ref="O83:P83"/>
    <mergeCell ref="Q83:R83"/>
    <mergeCell ref="S83:T83"/>
    <mergeCell ref="E83:F83"/>
    <mergeCell ref="G83:H83"/>
    <mergeCell ref="I83:J83"/>
    <mergeCell ref="K83:L83"/>
    <mergeCell ref="M83:N83"/>
    <mergeCell ref="M82:N82"/>
    <mergeCell ref="S76:T76"/>
    <mergeCell ref="I74:J74"/>
    <mergeCell ref="K74:L74"/>
    <mergeCell ref="I75:J75"/>
    <mergeCell ref="K75:L75"/>
    <mergeCell ref="M75:N75"/>
    <mergeCell ref="M74:N74"/>
    <mergeCell ref="O74:P74"/>
    <mergeCell ref="Q74:R74"/>
    <mergeCell ref="S74:T74"/>
    <mergeCell ref="E76:F76"/>
    <mergeCell ref="E73:F73"/>
    <mergeCell ref="I24:J24"/>
    <mergeCell ref="K24:L24"/>
    <mergeCell ref="K23:L23"/>
    <mergeCell ref="E24:F24"/>
    <mergeCell ref="K16:L16"/>
    <mergeCell ref="M16:N16"/>
    <mergeCell ref="O16:P16"/>
    <mergeCell ref="Q16:R16"/>
    <mergeCell ref="S16:T16"/>
    <mergeCell ref="E8:F8"/>
    <mergeCell ref="G8:H8"/>
    <mergeCell ref="I8:J8"/>
    <mergeCell ref="K8:L8"/>
    <mergeCell ref="M8:N8"/>
    <mergeCell ref="O8:P8"/>
    <mergeCell ref="Q8:R8"/>
    <mergeCell ref="S8:T8"/>
    <mergeCell ref="K18:L18"/>
    <mergeCell ref="M18:N18"/>
    <mergeCell ref="O18:P18"/>
    <mergeCell ref="Q18:R18"/>
    <mergeCell ref="S18:T18"/>
    <mergeCell ref="I18:J18"/>
    <mergeCell ref="E20:F20"/>
    <mergeCell ref="E21:F21"/>
    <mergeCell ref="E16:F16"/>
    <mergeCell ref="G16:H16"/>
    <mergeCell ref="E18:F18"/>
    <mergeCell ref="G18:H18"/>
    <mergeCell ref="I16:J16"/>
    <mergeCell ref="M26:N26"/>
    <mergeCell ref="O26:P26"/>
    <mergeCell ref="Q26:R26"/>
    <mergeCell ref="Q25:R25"/>
    <mergeCell ref="E25:F25"/>
    <mergeCell ref="G25:H25"/>
    <mergeCell ref="I25:J25"/>
    <mergeCell ref="K25:L25"/>
    <mergeCell ref="M25:N25"/>
    <mergeCell ref="O25:P25"/>
    <mergeCell ref="S26:T26"/>
    <mergeCell ref="S25:T25"/>
    <mergeCell ref="M24:N24"/>
    <mergeCell ref="O24:P24"/>
    <mergeCell ref="Q24:R24"/>
    <mergeCell ref="S24:T24"/>
    <mergeCell ref="I26:J26"/>
    <mergeCell ref="K26:L26"/>
    <mergeCell ref="G24:H24"/>
    <mergeCell ref="G23:H23"/>
    <mergeCell ref="I23:J23"/>
    <mergeCell ref="M23:N23"/>
    <mergeCell ref="O23:P23"/>
    <mergeCell ref="Q23:R23"/>
    <mergeCell ref="S23:T23"/>
    <mergeCell ref="K21:L21"/>
    <mergeCell ref="M21:N21"/>
    <mergeCell ref="O21:P21"/>
    <mergeCell ref="Q21:R21"/>
    <mergeCell ref="S21:T21"/>
    <mergeCell ref="S20:T20"/>
    <mergeCell ref="E23:F23"/>
    <mergeCell ref="G20:H20"/>
    <mergeCell ref="I20:J20"/>
    <mergeCell ref="K20:L20"/>
    <mergeCell ref="M20:N20"/>
    <mergeCell ref="O20:P20"/>
    <mergeCell ref="Q20:R20"/>
    <mergeCell ref="G21:H21"/>
    <mergeCell ref="I21:J21"/>
    <mergeCell ref="E30:F30"/>
    <mergeCell ref="G30:H30"/>
    <mergeCell ref="I30:J30"/>
    <mergeCell ref="K30:L30"/>
    <mergeCell ref="M30:N30"/>
    <mergeCell ref="O30:P30"/>
    <mergeCell ref="Q30:R30"/>
    <mergeCell ref="S30:T30"/>
    <mergeCell ref="E29:F29"/>
    <mergeCell ref="G29:H29"/>
    <mergeCell ref="I29:J29"/>
    <mergeCell ref="K29:L29"/>
    <mergeCell ref="M29:N29"/>
    <mergeCell ref="O29:P29"/>
    <mergeCell ref="Q29:R29"/>
    <mergeCell ref="S29:T29"/>
    <mergeCell ref="E26:F26"/>
    <mergeCell ref="G26:H26"/>
    <mergeCell ref="E28:F28"/>
    <mergeCell ref="G28:H28"/>
    <mergeCell ref="I28:J28"/>
    <mergeCell ref="M28:N28"/>
    <mergeCell ref="O28:P28"/>
    <mergeCell ref="Q28:R28"/>
    <mergeCell ref="S28:T28"/>
    <mergeCell ref="O27:P27"/>
    <mergeCell ref="Q27:R27"/>
    <mergeCell ref="S27:T27"/>
    <mergeCell ref="K28:L28"/>
    <mergeCell ref="E33:F33"/>
    <mergeCell ref="M34:N34"/>
    <mergeCell ref="E34:F34"/>
    <mergeCell ref="G34:H34"/>
    <mergeCell ref="E32:F32"/>
    <mergeCell ref="G32:H32"/>
    <mergeCell ref="E31:F31"/>
    <mergeCell ref="G31:H31"/>
    <mergeCell ref="I31:J31"/>
    <mergeCell ref="G33:H33"/>
    <mergeCell ref="I33:J33"/>
    <mergeCell ref="I32:J32"/>
    <mergeCell ref="K32:L32"/>
    <mergeCell ref="M32:N32"/>
    <mergeCell ref="O32:P32"/>
    <mergeCell ref="Q32:R32"/>
    <mergeCell ref="S32:T32"/>
    <mergeCell ref="K33:L33"/>
    <mergeCell ref="M33:N33"/>
    <mergeCell ref="O33:P33"/>
    <mergeCell ref="Q33:R33"/>
    <mergeCell ref="S33:T33"/>
    <mergeCell ref="I34:J34"/>
    <mergeCell ref="K34:L34"/>
    <mergeCell ref="K31:L31"/>
    <mergeCell ref="M31:N31"/>
    <mergeCell ref="O31:P31"/>
    <mergeCell ref="Q31:R31"/>
    <mergeCell ref="S31:T31"/>
    <mergeCell ref="G37:H37"/>
    <mergeCell ref="I37:J37"/>
    <mergeCell ref="K37:L37"/>
    <mergeCell ref="M37:N37"/>
    <mergeCell ref="O37:P37"/>
    <mergeCell ref="C36:D36"/>
    <mergeCell ref="E36:F36"/>
    <mergeCell ref="G36:H36"/>
    <mergeCell ref="I36:J36"/>
    <mergeCell ref="K36:L36"/>
    <mergeCell ref="M36:N36"/>
    <mergeCell ref="O36:P36"/>
    <mergeCell ref="C35:D35"/>
    <mergeCell ref="E35:F35"/>
    <mergeCell ref="G35:H35"/>
    <mergeCell ref="I35:J35"/>
    <mergeCell ref="K35:L35"/>
    <mergeCell ref="M35:N35"/>
    <mergeCell ref="K41:L41"/>
    <mergeCell ref="M41:N41"/>
    <mergeCell ref="O40:P40"/>
    <mergeCell ref="Q40:R40"/>
    <mergeCell ref="S40:T40"/>
    <mergeCell ref="E40:F40"/>
    <mergeCell ref="G40:H40"/>
    <mergeCell ref="I40:J40"/>
    <mergeCell ref="K40:L40"/>
    <mergeCell ref="M40:N40"/>
    <mergeCell ref="E41:F41"/>
    <mergeCell ref="O41:P41"/>
    <mergeCell ref="G39:H39"/>
    <mergeCell ref="I39:J39"/>
    <mergeCell ref="K39:L39"/>
    <mergeCell ref="M39:N39"/>
    <mergeCell ref="O39:P39"/>
    <mergeCell ref="Q39:R39"/>
    <mergeCell ref="S39:T39"/>
    <mergeCell ref="E39:F39"/>
    <mergeCell ref="Q41:R41"/>
    <mergeCell ref="S41:T41"/>
    <mergeCell ref="G41:H41"/>
    <mergeCell ref="I41:J41"/>
    <mergeCell ref="A33:A40"/>
    <mergeCell ref="C33:D33"/>
    <mergeCell ref="C34:D34"/>
    <mergeCell ref="C32:D32"/>
    <mergeCell ref="C31:D31"/>
    <mergeCell ref="C30:D30"/>
    <mergeCell ref="A23:A31"/>
    <mergeCell ref="A16:A17"/>
    <mergeCell ref="A18:A19"/>
    <mergeCell ref="B6:B7"/>
    <mergeCell ref="C6:D6"/>
    <mergeCell ref="A6:A7"/>
    <mergeCell ref="Q35:R35"/>
    <mergeCell ref="S35:T35"/>
    <mergeCell ref="O34:P34"/>
    <mergeCell ref="Q34:R34"/>
    <mergeCell ref="S34:T34"/>
    <mergeCell ref="Q38:R38"/>
    <mergeCell ref="S38:T38"/>
    <mergeCell ref="S37:T37"/>
    <mergeCell ref="Q37:R37"/>
    <mergeCell ref="Q36:R36"/>
    <mergeCell ref="S36:T36"/>
    <mergeCell ref="O35:P35"/>
    <mergeCell ref="E38:F38"/>
    <mergeCell ref="G38:H38"/>
    <mergeCell ref="I38:J38"/>
    <mergeCell ref="K38:L38"/>
    <mergeCell ref="M38:N38"/>
    <mergeCell ref="O38:P38"/>
    <mergeCell ref="C37:D37"/>
    <mergeCell ref="E37:F37"/>
    <mergeCell ref="C40:D40"/>
    <mergeCell ref="C41:D41"/>
    <mergeCell ref="C39:D39"/>
    <mergeCell ref="C38:D38"/>
    <mergeCell ref="C10:D10"/>
    <mergeCell ref="C8:D8"/>
    <mergeCell ref="A14:A15"/>
    <mergeCell ref="C14:D14"/>
    <mergeCell ref="C16:D16"/>
    <mergeCell ref="A10:A11"/>
    <mergeCell ref="A12:A13"/>
    <mergeCell ref="C12:D12"/>
    <mergeCell ref="A8:A9"/>
    <mergeCell ref="C56:D56"/>
    <mergeCell ref="C52:D52"/>
    <mergeCell ref="C53:D53"/>
    <mergeCell ref="C83:D83"/>
    <mergeCell ref="C82:D82"/>
    <mergeCell ref="A80:A81"/>
    <mergeCell ref="C80:D80"/>
    <mergeCell ref="C81:D81"/>
    <mergeCell ref="A55:A68"/>
    <mergeCell ref="A52:A54"/>
    <mergeCell ref="C25:D25"/>
    <mergeCell ref="C26:D26"/>
    <mergeCell ref="C29:D29"/>
    <mergeCell ref="C23:D23"/>
    <mergeCell ref="C28:D28"/>
    <mergeCell ref="C24:D24"/>
    <mergeCell ref="C20:D20"/>
    <mergeCell ref="C21:D21"/>
    <mergeCell ref="C18:D18"/>
    <mergeCell ref="E57:F57"/>
    <mergeCell ref="G57:H57"/>
    <mergeCell ref="I57:J57"/>
    <mergeCell ref="K57:L57"/>
    <mergeCell ref="M57:N57"/>
    <mergeCell ref="C66:D66"/>
    <mergeCell ref="C65:D65"/>
    <mergeCell ref="C64:D64"/>
    <mergeCell ref="C63:D63"/>
    <mergeCell ref="C62:D62"/>
    <mergeCell ref="C61:D61"/>
    <mergeCell ref="C60:D60"/>
    <mergeCell ref="C59:D59"/>
    <mergeCell ref="C58:D58"/>
    <mergeCell ref="C57:D57"/>
    <mergeCell ref="C55:D55"/>
    <mergeCell ref="C54:D54"/>
    <mergeCell ref="E56:F56"/>
    <mergeCell ref="G56:H56"/>
    <mergeCell ref="I56:J56"/>
    <mergeCell ref="K56:L56"/>
    <mergeCell ref="M56:N56"/>
    <mergeCell ref="E55:F55"/>
    <mergeCell ref="G55:H55"/>
    <mergeCell ref="I55:J55"/>
    <mergeCell ref="K55:L55"/>
    <mergeCell ref="M55:N55"/>
    <mergeCell ref="M59:N59"/>
    <mergeCell ref="O59:P59"/>
    <mergeCell ref="M60:N60"/>
    <mergeCell ref="O60:P60"/>
    <mergeCell ref="Q59:R59"/>
    <mergeCell ref="S59:T59"/>
    <mergeCell ref="G59:H59"/>
    <mergeCell ref="I59:J59"/>
    <mergeCell ref="K59:L59"/>
    <mergeCell ref="E60:F60"/>
    <mergeCell ref="E59:F59"/>
    <mergeCell ref="O58:P58"/>
    <mergeCell ref="Q58:R58"/>
    <mergeCell ref="S58:T58"/>
    <mergeCell ref="E58:F58"/>
    <mergeCell ref="G58:H58"/>
    <mergeCell ref="M58:N58"/>
    <mergeCell ref="I58:J58"/>
    <mergeCell ref="K58:L58"/>
    <mergeCell ref="G62:H62"/>
    <mergeCell ref="I62:J62"/>
    <mergeCell ref="K62:L62"/>
    <mergeCell ref="M62:N62"/>
    <mergeCell ref="O62:P62"/>
    <mergeCell ref="Q62:R62"/>
    <mergeCell ref="S62:T62"/>
    <mergeCell ref="E62:F62"/>
    <mergeCell ref="E61:F61"/>
    <mergeCell ref="G61:H61"/>
    <mergeCell ref="I61:J61"/>
    <mergeCell ref="K61:L61"/>
    <mergeCell ref="M61:N61"/>
    <mergeCell ref="O61:P61"/>
    <mergeCell ref="Q61:R61"/>
    <mergeCell ref="S61:T61"/>
    <mergeCell ref="S60:T60"/>
    <mergeCell ref="G60:H60"/>
    <mergeCell ref="I60:J60"/>
    <mergeCell ref="K60:L60"/>
    <mergeCell ref="Q60:R60"/>
    <mergeCell ref="E65:F65"/>
    <mergeCell ref="G65:H65"/>
    <mergeCell ref="I65:J65"/>
    <mergeCell ref="K65:L65"/>
    <mergeCell ref="M65:N65"/>
    <mergeCell ref="O65:P65"/>
    <mergeCell ref="Q65:R65"/>
    <mergeCell ref="S65:T65"/>
    <mergeCell ref="G64:H64"/>
    <mergeCell ref="I64:J64"/>
    <mergeCell ref="K64:L64"/>
    <mergeCell ref="M64:N64"/>
    <mergeCell ref="O64:P64"/>
    <mergeCell ref="Q64:R64"/>
    <mergeCell ref="S64:T64"/>
    <mergeCell ref="Q63:R63"/>
    <mergeCell ref="S63:T63"/>
    <mergeCell ref="E64:F64"/>
    <mergeCell ref="E63:F63"/>
    <mergeCell ref="G63:H63"/>
    <mergeCell ref="I63:J63"/>
    <mergeCell ref="K63:L63"/>
    <mergeCell ref="M63:N63"/>
    <mergeCell ref="O63:P63"/>
    <mergeCell ref="C68:D68"/>
    <mergeCell ref="C67:D67"/>
    <mergeCell ref="E67:F67"/>
    <mergeCell ref="G67:H67"/>
    <mergeCell ref="I67:J67"/>
    <mergeCell ref="K67:L67"/>
    <mergeCell ref="O66:P66"/>
    <mergeCell ref="Q67:R67"/>
    <mergeCell ref="S67:T67"/>
    <mergeCell ref="M67:N67"/>
    <mergeCell ref="O67:P67"/>
    <mergeCell ref="O80:P80"/>
    <mergeCell ref="Q80:R80"/>
    <mergeCell ref="S80:T80"/>
    <mergeCell ref="S68:T68"/>
    <mergeCell ref="M68:N68"/>
    <mergeCell ref="O68:P68"/>
    <mergeCell ref="Q68:R68"/>
    <mergeCell ref="G66:H66"/>
    <mergeCell ref="I66:J66"/>
    <mergeCell ref="M66:N66"/>
    <mergeCell ref="E66:F66"/>
    <mergeCell ref="C77:D77"/>
    <mergeCell ref="C75:D75"/>
    <mergeCell ref="C76:D76"/>
    <mergeCell ref="C73:D73"/>
    <mergeCell ref="G73:H73"/>
    <mergeCell ref="I73:J73"/>
    <mergeCell ref="G74:H74"/>
    <mergeCell ref="O73:P73"/>
    <mergeCell ref="Q73:R73"/>
    <mergeCell ref="S73:T73"/>
    <mergeCell ref="K90:L90"/>
    <mergeCell ref="M90:N90"/>
    <mergeCell ref="O90:P90"/>
    <mergeCell ref="Q90:R90"/>
    <mergeCell ref="S90:T90"/>
    <mergeCell ref="K92:L92"/>
    <mergeCell ref="K91:L91"/>
    <mergeCell ref="M92:N92"/>
    <mergeCell ref="O92:P92"/>
    <mergeCell ref="Q92:R92"/>
    <mergeCell ref="S92:T92"/>
    <mergeCell ref="O91:P91"/>
    <mergeCell ref="Q91:R91"/>
    <mergeCell ref="S91:T91"/>
    <mergeCell ref="M91:N91"/>
    <mergeCell ref="Q66:R66"/>
    <mergeCell ref="S66:T66"/>
    <mergeCell ref="K71:L71"/>
    <mergeCell ref="M71:N71"/>
    <mergeCell ref="O71:P71"/>
    <mergeCell ref="Q71:R71"/>
    <mergeCell ref="S71:T71"/>
    <mergeCell ref="S69:T69"/>
    <mergeCell ref="O95:P95"/>
    <mergeCell ref="O94:P94"/>
    <mergeCell ref="O93:P93"/>
    <mergeCell ref="Q93:R93"/>
    <mergeCell ref="S93:T93"/>
    <mergeCell ref="E94:F94"/>
    <mergeCell ref="G94:H94"/>
    <mergeCell ref="I94:J94"/>
    <mergeCell ref="K94:L94"/>
    <mergeCell ref="M94:N94"/>
    <mergeCell ref="Q94:R94"/>
    <mergeCell ref="S94:T94"/>
    <mergeCell ref="C93:D93"/>
    <mergeCell ref="E93:F93"/>
    <mergeCell ref="G93:H93"/>
    <mergeCell ref="I93:J93"/>
    <mergeCell ref="K93:L93"/>
    <mergeCell ref="M93:N93"/>
    <mergeCell ref="K95:L95"/>
    <mergeCell ref="Q96:R96"/>
    <mergeCell ref="S96:T96"/>
    <mergeCell ref="Q95:R95"/>
    <mergeCell ref="S95:T95"/>
    <mergeCell ref="M95:N95"/>
    <mergeCell ref="O100:P100"/>
    <mergeCell ref="Q100:R100"/>
    <mergeCell ref="O99:P99"/>
    <mergeCell ref="Q99:R99"/>
    <mergeCell ref="S99:T99"/>
    <mergeCell ref="Q98:R98"/>
    <mergeCell ref="S98:T98"/>
    <mergeCell ref="C102:D102"/>
    <mergeCell ref="E102:F102"/>
    <mergeCell ref="G102:H102"/>
    <mergeCell ref="I102:J102"/>
    <mergeCell ref="K102:L102"/>
    <mergeCell ref="M102:N102"/>
    <mergeCell ref="O102:P102"/>
    <mergeCell ref="I98:J98"/>
    <mergeCell ref="K98:L98"/>
    <mergeCell ref="M98:N98"/>
    <mergeCell ref="O98:P98"/>
    <mergeCell ref="G99:H99"/>
    <mergeCell ref="I99:J99"/>
    <mergeCell ref="K99:L99"/>
    <mergeCell ref="M99:N99"/>
    <mergeCell ref="I96:J96"/>
    <mergeCell ref="K96:L96"/>
    <mergeCell ref="M96:N96"/>
    <mergeCell ref="O96:P96"/>
    <mergeCell ref="C100:D100"/>
    <mergeCell ref="E100:F100"/>
    <mergeCell ref="G100:H100"/>
    <mergeCell ref="I100:J100"/>
    <mergeCell ref="K100:L100"/>
    <mergeCell ref="M100:N100"/>
    <mergeCell ref="S100:T100"/>
    <mergeCell ref="Q105:R105"/>
    <mergeCell ref="S105:T105"/>
    <mergeCell ref="C105:D105"/>
    <mergeCell ref="E105:F105"/>
    <mergeCell ref="G105:H105"/>
    <mergeCell ref="I105:J105"/>
    <mergeCell ref="K105:L105"/>
    <mergeCell ref="M105:N105"/>
    <mergeCell ref="O105:P105"/>
    <mergeCell ref="C104:D104"/>
    <mergeCell ref="E104:F104"/>
    <mergeCell ref="G104:H104"/>
    <mergeCell ref="I104:J104"/>
    <mergeCell ref="K104:L104"/>
    <mergeCell ref="M104:N104"/>
    <mergeCell ref="O104:P104"/>
    <mergeCell ref="Q104:R104"/>
    <mergeCell ref="S104:T104"/>
    <mergeCell ref="S103:T103"/>
    <mergeCell ref="Q103:R103"/>
    <mergeCell ref="Q102:R102"/>
    <mergeCell ref="S102:T102"/>
    <mergeCell ref="O101:P101"/>
    <mergeCell ref="C103:D103"/>
    <mergeCell ref="E103:F103"/>
    <mergeCell ref="Q106:R106"/>
    <mergeCell ref="S106:T106"/>
    <mergeCell ref="C106:D106"/>
    <mergeCell ref="E106:F106"/>
    <mergeCell ref="G106:H106"/>
    <mergeCell ref="I106:J106"/>
    <mergeCell ref="K106:L106"/>
    <mergeCell ref="M106:N106"/>
    <mergeCell ref="O106:P106"/>
    <mergeCell ref="Q101:R101"/>
    <mergeCell ref="S101:T101"/>
    <mergeCell ref="E101:F101"/>
    <mergeCell ref="G101:H101"/>
    <mergeCell ref="I101:J101"/>
    <mergeCell ref="K101:L101"/>
    <mergeCell ref="M101:N101"/>
    <mergeCell ref="C101:D101"/>
    <mergeCell ref="G103:H103"/>
    <mergeCell ref="I103:J103"/>
    <mergeCell ref="K103:L103"/>
    <mergeCell ref="M103:N103"/>
    <mergeCell ref="O103:P103"/>
    <mergeCell ref="G109:H109"/>
    <mergeCell ref="M109:N109"/>
    <mergeCell ref="Q108:R108"/>
    <mergeCell ref="S108:T108"/>
    <mergeCell ref="I109:J109"/>
    <mergeCell ref="K109:L109"/>
    <mergeCell ref="C108:D108"/>
    <mergeCell ref="E108:F108"/>
    <mergeCell ref="G108:H108"/>
    <mergeCell ref="I108:J108"/>
    <mergeCell ref="K108:L108"/>
    <mergeCell ref="Q107:R107"/>
    <mergeCell ref="S107:T107"/>
    <mergeCell ref="C107:D107"/>
    <mergeCell ref="E107:F107"/>
    <mergeCell ref="G107:H107"/>
    <mergeCell ref="I107:J107"/>
    <mergeCell ref="K107:L107"/>
    <mergeCell ref="M107:N107"/>
    <mergeCell ref="O107:P107"/>
    <mergeCell ref="G85:H85"/>
    <mergeCell ref="A84:A85"/>
    <mergeCell ref="C84:D84"/>
    <mergeCell ref="M114:N114"/>
    <mergeCell ref="O114:P114"/>
    <mergeCell ref="Q114:R114"/>
    <mergeCell ref="S114:T114"/>
    <mergeCell ref="A116:A117"/>
    <mergeCell ref="A114:A115"/>
    <mergeCell ref="C114:D114"/>
    <mergeCell ref="E114:F114"/>
    <mergeCell ref="G114:H114"/>
    <mergeCell ref="I114:J114"/>
    <mergeCell ref="K114:L114"/>
    <mergeCell ref="Q113:R113"/>
    <mergeCell ref="S113:T113"/>
    <mergeCell ref="C113:D113"/>
    <mergeCell ref="E113:F113"/>
    <mergeCell ref="G113:H113"/>
    <mergeCell ref="I113:J113"/>
    <mergeCell ref="K113:L113"/>
    <mergeCell ref="M113:N113"/>
    <mergeCell ref="O113:P113"/>
    <mergeCell ref="Q112:R112"/>
    <mergeCell ref="S112:T112"/>
    <mergeCell ref="C112:D112"/>
    <mergeCell ref="E112:F112"/>
    <mergeCell ref="G112:H112"/>
    <mergeCell ref="I112:J112"/>
    <mergeCell ref="K112:L112"/>
    <mergeCell ref="M112:N112"/>
    <mergeCell ref="O112:P112"/>
    <mergeCell ref="A88:A89"/>
    <mergeCell ref="C88:D88"/>
    <mergeCell ref="E88:F88"/>
    <mergeCell ref="G88:H88"/>
    <mergeCell ref="I88:J88"/>
    <mergeCell ref="C89:D89"/>
    <mergeCell ref="E89:F89"/>
    <mergeCell ref="E87:F87"/>
    <mergeCell ref="G87:H87"/>
    <mergeCell ref="I87:J87"/>
    <mergeCell ref="K87:L87"/>
    <mergeCell ref="A86:A87"/>
    <mergeCell ref="Q84:R84"/>
    <mergeCell ref="S84:T84"/>
    <mergeCell ref="Q85:R85"/>
    <mergeCell ref="S85:T85"/>
    <mergeCell ref="E84:F84"/>
    <mergeCell ref="G84:H84"/>
    <mergeCell ref="I84:J84"/>
    <mergeCell ref="K84:L84"/>
    <mergeCell ref="I86:J86"/>
    <mergeCell ref="K86:L86"/>
    <mergeCell ref="I85:J85"/>
    <mergeCell ref="K85:L85"/>
    <mergeCell ref="M85:N85"/>
    <mergeCell ref="O85:P85"/>
    <mergeCell ref="O84:P84"/>
    <mergeCell ref="M84:N84"/>
    <mergeCell ref="E86:F86"/>
    <mergeCell ref="G86:H86"/>
    <mergeCell ref="C85:D85"/>
    <mergeCell ref="E85:F85"/>
    <mergeCell ref="K88:L88"/>
    <mergeCell ref="M88:N88"/>
    <mergeCell ref="O88:P88"/>
    <mergeCell ref="Q88:R88"/>
    <mergeCell ref="G89:H89"/>
    <mergeCell ref="I89:J89"/>
    <mergeCell ref="K89:L89"/>
    <mergeCell ref="M89:N89"/>
    <mergeCell ref="O89:P89"/>
    <mergeCell ref="Q89:R89"/>
    <mergeCell ref="M87:N87"/>
    <mergeCell ref="O87:P87"/>
    <mergeCell ref="Q87:R87"/>
    <mergeCell ref="Q86:R86"/>
    <mergeCell ref="M86:N86"/>
    <mergeCell ref="O86:P86"/>
    <mergeCell ref="C87:D87"/>
    <mergeCell ref="C86:D86"/>
    <mergeCell ref="C99:D99"/>
    <mergeCell ref="E99:F99"/>
    <mergeCell ref="A96:A97"/>
    <mergeCell ref="B96:B97"/>
    <mergeCell ref="E96:F96"/>
    <mergeCell ref="G96:H96"/>
    <mergeCell ref="A94:A95"/>
    <mergeCell ref="E91:F91"/>
    <mergeCell ref="G91:H91"/>
    <mergeCell ref="C96:D96"/>
    <mergeCell ref="C94:D94"/>
    <mergeCell ref="A92:A93"/>
    <mergeCell ref="E92:F92"/>
    <mergeCell ref="G92:H92"/>
    <mergeCell ref="I92:J92"/>
    <mergeCell ref="I90:J90"/>
    <mergeCell ref="I91:J91"/>
    <mergeCell ref="A90:A91"/>
    <mergeCell ref="C91:D91"/>
    <mergeCell ref="C98:D98"/>
    <mergeCell ref="C95:D95"/>
    <mergeCell ref="E98:F98"/>
    <mergeCell ref="G98:H98"/>
    <mergeCell ref="E95:F95"/>
    <mergeCell ref="G95:H95"/>
    <mergeCell ref="I95:J95"/>
    <mergeCell ref="A98:A113"/>
    <mergeCell ref="C92:D92"/>
    <mergeCell ref="C90:D90"/>
    <mergeCell ref="E90:F90"/>
    <mergeCell ref="G90:H90"/>
    <mergeCell ref="W91:X91"/>
    <mergeCell ref="Y91:Z91"/>
    <mergeCell ref="Y90:Z90"/>
    <mergeCell ref="AE90:AF90"/>
    <mergeCell ref="W90:X90"/>
    <mergeCell ref="U89:V89"/>
    <mergeCell ref="W89:X89"/>
    <mergeCell ref="Y89:Z89"/>
    <mergeCell ref="AA89:AB89"/>
    <mergeCell ref="AC89:AD89"/>
    <mergeCell ref="AE89:AF89"/>
    <mergeCell ref="S89:T89"/>
    <mergeCell ref="U87:V87"/>
    <mergeCell ref="W87:X87"/>
    <mergeCell ref="S86:T86"/>
    <mergeCell ref="U86:V86"/>
    <mergeCell ref="W86:X86"/>
    <mergeCell ref="Y87:Z87"/>
    <mergeCell ref="AA87:AB87"/>
    <mergeCell ref="Y86:Z86"/>
    <mergeCell ref="AA86:AB86"/>
    <mergeCell ref="S88:T88"/>
    <mergeCell ref="U88:V88"/>
    <mergeCell ref="W88:X88"/>
    <mergeCell ref="Y88:Z88"/>
    <mergeCell ref="AA88:AB88"/>
    <mergeCell ref="AC88:AD88"/>
    <mergeCell ref="S87:T87"/>
    <mergeCell ref="AE98:AF98"/>
    <mergeCell ref="AG98:AH98"/>
    <mergeCell ref="AC96:AD96"/>
    <mergeCell ref="AE96:AF96"/>
    <mergeCell ref="AG96:AH96"/>
    <mergeCell ref="AE99:AF99"/>
    <mergeCell ref="AG99:AH99"/>
    <mergeCell ref="AI99:AJ99"/>
    <mergeCell ref="AK99:AL99"/>
    <mergeCell ref="AM99:AN99"/>
    <mergeCell ref="AO99:AP99"/>
    <mergeCell ref="AO98:AP98"/>
    <mergeCell ref="AM98:AN98"/>
    <mergeCell ref="AI98:AJ98"/>
    <mergeCell ref="AI96:AJ96"/>
    <mergeCell ref="AA90:AB90"/>
    <mergeCell ref="AC90:AD90"/>
    <mergeCell ref="AA91:AB91"/>
    <mergeCell ref="AC91:AD91"/>
    <mergeCell ref="AE91:AF91"/>
    <mergeCell ref="AA99:AB99"/>
    <mergeCell ref="AC99:AD99"/>
    <mergeCell ref="AC98:AD98"/>
    <mergeCell ref="AA98:AB98"/>
    <mergeCell ref="AA96:AB96"/>
    <mergeCell ref="AE95:AF95"/>
    <mergeCell ref="AA95:AB95"/>
    <mergeCell ref="AC95:AD95"/>
    <mergeCell ref="AC94:AD94"/>
    <mergeCell ref="AE94:AF94"/>
    <mergeCell ref="AA94:AB94"/>
    <mergeCell ref="AC93:AD93"/>
    <mergeCell ref="AU101:AV101"/>
    <mergeCell ref="AW101:AX101"/>
    <mergeCell ref="AU100:AV100"/>
    <mergeCell ref="AW100:AX100"/>
    <mergeCell ref="AY100:AZ100"/>
    <mergeCell ref="AU99:AV99"/>
    <mergeCell ref="AW99:AX99"/>
    <mergeCell ref="AY99:AZ99"/>
    <mergeCell ref="AI103:AJ103"/>
    <mergeCell ref="AK103:AL103"/>
    <mergeCell ref="AO102:AP102"/>
    <mergeCell ref="AQ102:AR102"/>
    <mergeCell ref="AS102:AT102"/>
    <mergeCell ref="AU102:AV102"/>
    <mergeCell ref="AY101:AZ101"/>
    <mergeCell ref="AI101:AJ101"/>
    <mergeCell ref="AK101:AL101"/>
    <mergeCell ref="AI100:AJ100"/>
    <mergeCell ref="AK100:AL100"/>
    <mergeCell ref="AM100:AN100"/>
    <mergeCell ref="AO100:AP100"/>
    <mergeCell ref="W104:X104"/>
    <mergeCell ref="Y104:Z104"/>
    <mergeCell ref="AA104:AB104"/>
    <mergeCell ref="AC104:AD104"/>
    <mergeCell ref="U103:V103"/>
    <mergeCell ref="W103:X103"/>
    <mergeCell ref="AM101:AN101"/>
    <mergeCell ref="AO101:AP101"/>
    <mergeCell ref="AA101:AB101"/>
    <mergeCell ref="AC101:AD101"/>
    <mergeCell ref="AE101:AF101"/>
    <mergeCell ref="AG101:AH101"/>
    <mergeCell ref="AQ101:AR101"/>
    <mergeCell ref="AS101:AT101"/>
    <mergeCell ref="AS100:AT100"/>
    <mergeCell ref="AQ100:AR100"/>
    <mergeCell ref="AQ99:AR99"/>
    <mergeCell ref="AS99:AT99"/>
    <mergeCell ref="AG100:AH100"/>
    <mergeCell ref="U102:V102"/>
    <mergeCell ref="W102:X102"/>
    <mergeCell ref="Y102:Z102"/>
    <mergeCell ref="AA102:AB102"/>
    <mergeCell ref="U101:V101"/>
    <mergeCell ref="W101:X101"/>
    <mergeCell ref="Y101:Z101"/>
    <mergeCell ref="U100:V100"/>
    <mergeCell ref="W100:X100"/>
    <mergeCell ref="Y100:Z100"/>
    <mergeCell ref="AA100:AB100"/>
    <mergeCell ref="AC100:AD100"/>
    <mergeCell ref="AE100:AF100"/>
    <mergeCell ref="AW102:AX102"/>
    <mergeCell ref="AY102:AZ102"/>
    <mergeCell ref="AC102:AD102"/>
    <mergeCell ref="AE102:AF102"/>
    <mergeCell ref="AG102:AH102"/>
    <mergeCell ref="AI102:AJ102"/>
    <mergeCell ref="AK102:AL102"/>
    <mergeCell ref="AM102:AN102"/>
    <mergeCell ref="AO105:AP105"/>
    <mergeCell ref="AS104:AT104"/>
    <mergeCell ref="AU104:AV104"/>
    <mergeCell ref="AW104:AX104"/>
    <mergeCell ref="AY104:AZ104"/>
    <mergeCell ref="AO104:AP104"/>
    <mergeCell ref="AQ104:AR104"/>
    <mergeCell ref="AE104:AF104"/>
    <mergeCell ref="AC103:AD103"/>
    <mergeCell ref="AQ103:AR103"/>
    <mergeCell ref="AS103:AT103"/>
    <mergeCell ref="AQ105:AR105"/>
    <mergeCell ref="AY105:AZ105"/>
    <mergeCell ref="AW105:AX105"/>
    <mergeCell ref="AS105:AT105"/>
    <mergeCell ref="AU105:AV105"/>
    <mergeCell ref="AC105:AD105"/>
    <mergeCell ref="AU103:AV103"/>
    <mergeCell ref="AW103:AX103"/>
    <mergeCell ref="AY103:AZ103"/>
    <mergeCell ref="AE103:AF103"/>
    <mergeCell ref="AG103:AH103"/>
    <mergeCell ref="AM103:AN103"/>
    <mergeCell ref="U106:V106"/>
    <mergeCell ref="W106:X106"/>
    <mergeCell ref="Y106:Z106"/>
    <mergeCell ref="AK104:AL104"/>
    <mergeCell ref="AM104:AN104"/>
    <mergeCell ref="AE106:AF106"/>
    <mergeCell ref="AG106:AH106"/>
    <mergeCell ref="AI106:AJ106"/>
    <mergeCell ref="AO103:AP103"/>
    <mergeCell ref="AM105:AN105"/>
    <mergeCell ref="AE105:AF105"/>
    <mergeCell ref="AK105:AL105"/>
    <mergeCell ref="AE109:AF109"/>
    <mergeCell ref="AG109:AH109"/>
    <mergeCell ref="AG108:AH108"/>
    <mergeCell ref="AE108:AF108"/>
    <mergeCell ref="AE107:AF107"/>
    <mergeCell ref="AG107:AH107"/>
    <mergeCell ref="AI107:AJ107"/>
    <mergeCell ref="AG105:AH105"/>
    <mergeCell ref="AI105:AJ105"/>
    <mergeCell ref="AG104:AH104"/>
    <mergeCell ref="AI104:AJ104"/>
    <mergeCell ref="AO106:AP106"/>
    <mergeCell ref="AM106:AN106"/>
    <mergeCell ref="AA105:AB105"/>
    <mergeCell ref="U105:V105"/>
    <mergeCell ref="W105:X105"/>
    <mergeCell ref="Y105:Z105"/>
    <mergeCell ref="Y103:Z103"/>
    <mergeCell ref="AA103:AB103"/>
    <mergeCell ref="U104:V104"/>
    <mergeCell ref="AC106:AD106"/>
    <mergeCell ref="AA106:AB106"/>
    <mergeCell ref="W109:X109"/>
    <mergeCell ref="Y109:Z109"/>
    <mergeCell ref="AY109:AZ109"/>
    <mergeCell ref="AM109:AN109"/>
    <mergeCell ref="AO109:AP109"/>
    <mergeCell ref="AQ109:AR109"/>
    <mergeCell ref="AS109:AT109"/>
    <mergeCell ref="AI109:AJ109"/>
    <mergeCell ref="AK109:AL109"/>
    <mergeCell ref="AI108:AJ108"/>
    <mergeCell ref="AK108:AL108"/>
    <mergeCell ref="AM108:AN108"/>
    <mergeCell ref="AO108:AP108"/>
    <mergeCell ref="AQ108:AR108"/>
    <mergeCell ref="AK106:AL106"/>
    <mergeCell ref="AQ106:AR106"/>
    <mergeCell ref="AS106:AT106"/>
    <mergeCell ref="AU106:AV106"/>
    <mergeCell ref="AW106:AX106"/>
    <mergeCell ref="AY106:AZ106"/>
    <mergeCell ref="AA113:AB113"/>
    <mergeCell ref="U113:V113"/>
    <mergeCell ref="W113:X113"/>
    <mergeCell ref="Y113:Z113"/>
    <mergeCell ref="U112:V112"/>
    <mergeCell ref="W112:X112"/>
    <mergeCell ref="Y112:Z112"/>
    <mergeCell ref="AU109:AV109"/>
    <mergeCell ref="AW109:AX109"/>
    <mergeCell ref="AS108:AT108"/>
    <mergeCell ref="AU108:AV108"/>
    <mergeCell ref="AW108:AX108"/>
    <mergeCell ref="AY108:AZ108"/>
    <mergeCell ref="AA109:AB109"/>
    <mergeCell ref="AC109:AD109"/>
    <mergeCell ref="AA108:AB108"/>
    <mergeCell ref="AC108:AD108"/>
    <mergeCell ref="AY112:AZ112"/>
    <mergeCell ref="AY110:AZ110"/>
    <mergeCell ref="AY111:AZ111"/>
    <mergeCell ref="U110:V110"/>
    <mergeCell ref="W110:X110"/>
    <mergeCell ref="Y110:Z110"/>
    <mergeCell ref="AA110:AB110"/>
    <mergeCell ref="AK107:AL107"/>
    <mergeCell ref="U107:V107"/>
    <mergeCell ref="W107:X107"/>
    <mergeCell ref="Y107:Z107"/>
    <mergeCell ref="AA107:AB107"/>
    <mergeCell ref="AC107:AD107"/>
    <mergeCell ref="AQ107:AR107"/>
    <mergeCell ref="AS107:AT107"/>
    <mergeCell ref="AU107:AV107"/>
    <mergeCell ref="AW107:AX107"/>
    <mergeCell ref="AY107:AZ107"/>
    <mergeCell ref="AM107:AN107"/>
    <mergeCell ref="AO107:AP107"/>
    <mergeCell ref="AA112:AB112"/>
    <mergeCell ref="AC110:AD110"/>
    <mergeCell ref="AA111:AB111"/>
    <mergeCell ref="AC111:AD111"/>
    <mergeCell ref="AC86:AD86"/>
    <mergeCell ref="AE86:AF86"/>
    <mergeCell ref="AM92:AN92"/>
    <mergeCell ref="AM91:AN91"/>
    <mergeCell ref="AO91:AP91"/>
    <mergeCell ref="AQ91:AR91"/>
    <mergeCell ref="AS91:AT91"/>
    <mergeCell ref="AK91:AL91"/>
    <mergeCell ref="AK90:AL90"/>
    <mergeCell ref="AO89:AP89"/>
    <mergeCell ref="AQ89:AR89"/>
    <mergeCell ref="AQ88:AR88"/>
    <mergeCell ref="AS88:AT88"/>
    <mergeCell ref="AO88:AP88"/>
    <mergeCell ref="AQ87:AR87"/>
    <mergeCell ref="AS87:AT87"/>
    <mergeCell ref="AO87:AP87"/>
    <mergeCell ref="AQ90:AR90"/>
    <mergeCell ref="AS90:AT90"/>
    <mergeCell ref="AS89:AT89"/>
    <mergeCell ref="AG89:AH89"/>
    <mergeCell ref="AI89:AJ89"/>
    <mergeCell ref="AK89:AL89"/>
    <mergeCell ref="AM89:AN89"/>
    <mergeCell ref="AG86:AH86"/>
    <mergeCell ref="AI86:AJ86"/>
    <mergeCell ref="AK86:AL86"/>
    <mergeCell ref="AM86:AN86"/>
    <mergeCell ref="AO86:AP86"/>
    <mergeCell ref="AQ86:AR86"/>
    <mergeCell ref="AS86:AT86"/>
    <mergeCell ref="AC87:AD87"/>
    <mergeCell ref="AG92:AH92"/>
    <mergeCell ref="AG91:AH91"/>
    <mergeCell ref="AG90:AH90"/>
    <mergeCell ref="AG95:AH95"/>
    <mergeCell ref="AI95:AJ95"/>
    <mergeCell ref="AG94:AH94"/>
    <mergeCell ref="AI94:AJ94"/>
    <mergeCell ref="AG93:AH93"/>
    <mergeCell ref="AI93:AJ93"/>
    <mergeCell ref="AI92:AJ92"/>
    <mergeCell ref="AI91:AJ91"/>
    <mergeCell ref="AM90:AN90"/>
    <mergeCell ref="AO90:AP90"/>
    <mergeCell ref="AI90:AJ90"/>
    <mergeCell ref="AK87:AL87"/>
    <mergeCell ref="AM87:AN87"/>
    <mergeCell ref="AE88:AF88"/>
    <mergeCell ref="AG88:AH88"/>
    <mergeCell ref="AI88:AJ88"/>
    <mergeCell ref="AK88:AL88"/>
    <mergeCell ref="AM88:AN88"/>
    <mergeCell ref="AE87:AF87"/>
    <mergeCell ref="AG87:AH87"/>
    <mergeCell ref="AI87:AJ87"/>
    <mergeCell ref="AE93:AF93"/>
    <mergeCell ref="AQ98:AR98"/>
    <mergeCell ref="AS98:AT98"/>
    <mergeCell ref="AU98:AV98"/>
    <mergeCell ref="AW98:AX98"/>
    <mergeCell ref="AY98:AZ98"/>
    <mergeCell ref="AK98:AL98"/>
    <mergeCell ref="AO96:AP96"/>
    <mergeCell ref="AQ96:AR96"/>
    <mergeCell ref="AS96:AT96"/>
    <mergeCell ref="AU96:AV96"/>
    <mergeCell ref="AW96:AX96"/>
    <mergeCell ref="AY96:AZ96"/>
    <mergeCell ref="AK96:AL96"/>
    <mergeCell ref="AM96:AN96"/>
    <mergeCell ref="AQ95:AR95"/>
    <mergeCell ref="AS95:AT95"/>
    <mergeCell ref="AU95:AV95"/>
    <mergeCell ref="AW95:AX95"/>
    <mergeCell ref="AY95:AZ95"/>
    <mergeCell ref="AO95:AP95"/>
    <mergeCell ref="AM95:AN95"/>
    <mergeCell ref="AY91:AZ91"/>
    <mergeCell ref="AU91:AV91"/>
    <mergeCell ref="AW91:AX91"/>
    <mergeCell ref="AW88:AX88"/>
    <mergeCell ref="AY88:AZ88"/>
    <mergeCell ref="AU86:AV86"/>
    <mergeCell ref="AW86:AX86"/>
    <mergeCell ref="AY86:AZ86"/>
    <mergeCell ref="AU87:AV87"/>
    <mergeCell ref="AW87:AX87"/>
    <mergeCell ref="AY87:AZ87"/>
    <mergeCell ref="AW90:AX90"/>
    <mergeCell ref="AY90:AZ90"/>
    <mergeCell ref="AU90:AV90"/>
    <mergeCell ref="AU89:AV89"/>
    <mergeCell ref="AW89:AX89"/>
    <mergeCell ref="AY89:AZ89"/>
    <mergeCell ref="AU88:AV88"/>
    <mergeCell ref="AO94:AP94"/>
    <mergeCell ref="AO93:AP93"/>
    <mergeCell ref="AQ93:AR93"/>
    <mergeCell ref="AS93:AT93"/>
    <mergeCell ref="AU93:AV93"/>
    <mergeCell ref="AW93:AX93"/>
    <mergeCell ref="AM93:AN93"/>
    <mergeCell ref="AK95:AL95"/>
    <mergeCell ref="AK94:AL94"/>
    <mergeCell ref="AK93:AL93"/>
    <mergeCell ref="AO92:AP92"/>
    <mergeCell ref="AQ92:AR92"/>
    <mergeCell ref="AS92:AT92"/>
    <mergeCell ref="AK92:AL92"/>
    <mergeCell ref="AY93:AZ93"/>
    <mergeCell ref="AY92:AZ92"/>
    <mergeCell ref="AU92:AV92"/>
    <mergeCell ref="AW92:AX92"/>
    <mergeCell ref="AQ94:AR94"/>
    <mergeCell ref="AS94:AT94"/>
    <mergeCell ref="AU94:AV94"/>
    <mergeCell ref="AW94:AX94"/>
    <mergeCell ref="AY94:AZ94"/>
    <mergeCell ref="AM94:AN94"/>
    <mergeCell ref="E111:F111"/>
    <mergeCell ref="G111:H111"/>
    <mergeCell ref="I111:J111"/>
    <mergeCell ref="K111:L111"/>
    <mergeCell ref="M111:N111"/>
    <mergeCell ref="O111:P111"/>
    <mergeCell ref="Q111:R111"/>
    <mergeCell ref="C111:D111"/>
    <mergeCell ref="C110:D110"/>
    <mergeCell ref="E110:F110"/>
    <mergeCell ref="G110:H110"/>
    <mergeCell ref="I110:J110"/>
    <mergeCell ref="K110:L110"/>
    <mergeCell ref="M110:N110"/>
    <mergeCell ref="U108:V108"/>
    <mergeCell ref="W108:X108"/>
    <mergeCell ref="Y108:Z108"/>
    <mergeCell ref="S111:T111"/>
    <mergeCell ref="U111:V111"/>
    <mergeCell ref="W111:X111"/>
    <mergeCell ref="Y111:Z111"/>
    <mergeCell ref="Q110:R110"/>
    <mergeCell ref="S110:T110"/>
    <mergeCell ref="U109:V109"/>
    <mergeCell ref="M108:N108"/>
    <mergeCell ref="O108:P108"/>
    <mergeCell ref="O110:P110"/>
    <mergeCell ref="O109:P109"/>
    <mergeCell ref="Q109:R109"/>
    <mergeCell ref="S109:T109"/>
    <mergeCell ref="C109:D109"/>
    <mergeCell ref="E109:F109"/>
    <mergeCell ref="C122:D122"/>
    <mergeCell ref="E122:F122"/>
    <mergeCell ref="G122:H122"/>
    <mergeCell ref="I122:J122"/>
    <mergeCell ref="G120:H120"/>
    <mergeCell ref="I120:J120"/>
    <mergeCell ref="K120:L120"/>
    <mergeCell ref="M120:N120"/>
    <mergeCell ref="AA120:AB120"/>
    <mergeCell ref="AC120:AD120"/>
    <mergeCell ref="AE120:AF120"/>
    <mergeCell ref="AG120:AH120"/>
    <mergeCell ref="AI120:AJ120"/>
    <mergeCell ref="AK120:AL120"/>
    <mergeCell ref="O119:P119"/>
    <mergeCell ref="Q119:R119"/>
    <mergeCell ref="AY120:AZ120"/>
    <mergeCell ref="AM120:AN120"/>
    <mergeCell ref="AO120:AP120"/>
    <mergeCell ref="AQ120:AR120"/>
    <mergeCell ref="AS120:AT120"/>
    <mergeCell ref="AU120:AV120"/>
    <mergeCell ref="AW120:AX120"/>
    <mergeCell ref="S120:T120"/>
    <mergeCell ref="U120:V120"/>
    <mergeCell ref="W120:X120"/>
    <mergeCell ref="Y120:Z120"/>
    <mergeCell ref="C120:D120"/>
    <mergeCell ref="E120:F120"/>
    <mergeCell ref="AY121:AZ121"/>
    <mergeCell ref="AC121:AD121"/>
    <mergeCell ref="S121:T121"/>
    <mergeCell ref="U121:V121"/>
    <mergeCell ref="W121:X121"/>
    <mergeCell ref="Y121:Z121"/>
    <mergeCell ref="AA121:AB121"/>
    <mergeCell ref="AO121:AP121"/>
    <mergeCell ref="AS121:AT121"/>
    <mergeCell ref="AU121:AV121"/>
    <mergeCell ref="AQ123:AR123"/>
    <mergeCell ref="AW121:AX121"/>
    <mergeCell ref="AQ122:AR122"/>
    <mergeCell ref="AS122:AT122"/>
    <mergeCell ref="AU122:AV122"/>
    <mergeCell ref="AW122:AX122"/>
    <mergeCell ref="AQ121:AR121"/>
    <mergeCell ref="AE121:AF121"/>
    <mergeCell ref="AG121:AH121"/>
    <mergeCell ref="AI121:AJ121"/>
    <mergeCell ref="AK121:AL121"/>
    <mergeCell ref="S122:T122"/>
    <mergeCell ref="U122:V122"/>
    <mergeCell ref="AM121:AN121"/>
    <mergeCell ref="W122:X122"/>
    <mergeCell ref="AC122:AD122"/>
    <mergeCell ref="Y122:Z122"/>
    <mergeCell ref="AA122:AB122"/>
    <mergeCell ref="AY122:AZ122"/>
    <mergeCell ref="S123:T123"/>
    <mergeCell ref="AG123:AH123"/>
    <mergeCell ref="U123:V123"/>
    <mergeCell ref="W123:X123"/>
    <mergeCell ref="Y123:Z123"/>
    <mergeCell ref="AA123:AB123"/>
    <mergeCell ref="AC123:AD123"/>
    <mergeCell ref="AE123:AF123"/>
    <mergeCell ref="AI123:AJ123"/>
    <mergeCell ref="AK123:AL123"/>
    <mergeCell ref="AE122:AF122"/>
    <mergeCell ref="AG122:AH122"/>
    <mergeCell ref="AI122:AJ122"/>
    <mergeCell ref="AK122:AL122"/>
    <mergeCell ref="AM123:AN123"/>
    <mergeCell ref="AO123:AP123"/>
    <mergeCell ref="AM122:AN122"/>
    <mergeCell ref="AM124:AN124"/>
    <mergeCell ref="AO124:AP124"/>
    <mergeCell ref="AY124:AZ124"/>
    <mergeCell ref="AQ124:AR124"/>
    <mergeCell ref="AS124:AT124"/>
    <mergeCell ref="AU124:AV124"/>
    <mergeCell ref="AW124:AX124"/>
    <mergeCell ref="AA124:AB124"/>
    <mergeCell ref="AC124:AD124"/>
    <mergeCell ref="AE124:AF124"/>
    <mergeCell ref="AG124:AH124"/>
    <mergeCell ref="AI124:AJ124"/>
    <mergeCell ref="AK124:AL124"/>
    <mergeCell ref="AS123:AT123"/>
    <mergeCell ref="AU123:AV123"/>
    <mergeCell ref="AW123:AX123"/>
    <mergeCell ref="AY123:AZ123"/>
    <mergeCell ref="AY128:AZ128"/>
    <mergeCell ref="W128:X128"/>
    <mergeCell ref="Y128:Z128"/>
    <mergeCell ref="AA128:AB128"/>
    <mergeCell ref="AC128:AD128"/>
    <mergeCell ref="AE128:AF128"/>
    <mergeCell ref="C125:D125"/>
    <mergeCell ref="E125:F125"/>
    <mergeCell ref="G125:H125"/>
    <mergeCell ref="I125:J125"/>
    <mergeCell ref="K125:L125"/>
    <mergeCell ref="M125:N125"/>
    <mergeCell ref="AQ125:AR125"/>
    <mergeCell ref="AS125:AT125"/>
    <mergeCell ref="AU125:AV125"/>
    <mergeCell ref="AW125:AX125"/>
    <mergeCell ref="O125:P125"/>
    <mergeCell ref="Q125:R125"/>
    <mergeCell ref="AO125:AP125"/>
    <mergeCell ref="AC125:AD125"/>
    <mergeCell ref="AE125:AF125"/>
    <mergeCell ref="AG125:AH125"/>
    <mergeCell ref="AI125:AJ125"/>
    <mergeCell ref="AK125:AL125"/>
    <mergeCell ref="AM125:AN125"/>
    <mergeCell ref="AY125:AZ125"/>
    <mergeCell ref="S125:T125"/>
    <mergeCell ref="U125:V125"/>
    <mergeCell ref="W125:X125"/>
    <mergeCell ref="Y125:Z125"/>
    <mergeCell ref="AA125:AB125"/>
    <mergeCell ref="O128:P128"/>
    <mergeCell ref="C116:D116"/>
    <mergeCell ref="E116:F116"/>
    <mergeCell ref="AO122:AP122"/>
    <mergeCell ref="C124:D124"/>
    <mergeCell ref="E124:F124"/>
    <mergeCell ref="G124:H124"/>
    <mergeCell ref="I124:J124"/>
    <mergeCell ref="K124:L124"/>
    <mergeCell ref="M124:N124"/>
    <mergeCell ref="C115:AZ115"/>
    <mergeCell ref="AY306:AZ306"/>
    <mergeCell ref="AK306:AL306"/>
    <mergeCell ref="AM306:AN306"/>
    <mergeCell ref="AO306:AP306"/>
    <mergeCell ref="AU306:AV306"/>
    <mergeCell ref="C204:D204"/>
    <mergeCell ref="G116:H116"/>
    <mergeCell ref="I116:J116"/>
    <mergeCell ref="K116:L116"/>
    <mergeCell ref="M116:N116"/>
    <mergeCell ref="AQ116:AR116"/>
    <mergeCell ref="AS116:AT116"/>
    <mergeCell ref="AU116:AV116"/>
    <mergeCell ref="AW116:AX116"/>
    <mergeCell ref="O116:P116"/>
    <mergeCell ref="Q116:R116"/>
    <mergeCell ref="AO116:AP116"/>
    <mergeCell ref="AC116:AD116"/>
    <mergeCell ref="AE116:AF116"/>
    <mergeCell ref="AG116:AH116"/>
    <mergeCell ref="AI116:AJ116"/>
    <mergeCell ref="AK116:AL116"/>
    <mergeCell ref="AW117:AX117"/>
    <mergeCell ref="AY117:AZ117"/>
    <mergeCell ref="AE117:AF117"/>
    <mergeCell ref="AG117:AH117"/>
    <mergeCell ref="AI117:AJ117"/>
    <mergeCell ref="AK117:AL117"/>
    <mergeCell ref="AM117:AN117"/>
    <mergeCell ref="AO117:AP117"/>
    <mergeCell ref="S117:T117"/>
    <mergeCell ref="U117:V117"/>
    <mergeCell ref="U116:V116"/>
    <mergeCell ref="W117:X117"/>
    <mergeCell ref="Y117:Z117"/>
    <mergeCell ref="W116:X116"/>
    <mergeCell ref="Y116:Z116"/>
    <mergeCell ref="AA117:AB117"/>
    <mergeCell ref="AC117:AD117"/>
    <mergeCell ref="AA116:AB116"/>
    <mergeCell ref="AM116:AN116"/>
    <mergeCell ref="AY116:AZ116"/>
    <mergeCell ref="S116:T116"/>
    <mergeCell ref="C119:D119"/>
    <mergeCell ref="E119:F119"/>
    <mergeCell ref="C117:D117"/>
    <mergeCell ref="E117:F117"/>
    <mergeCell ref="G117:H117"/>
    <mergeCell ref="G119:H119"/>
    <mergeCell ref="I119:J119"/>
    <mergeCell ref="K119:L119"/>
    <mergeCell ref="M119:N119"/>
    <mergeCell ref="O117:P117"/>
    <mergeCell ref="Q117:R117"/>
    <mergeCell ref="I117:J117"/>
    <mergeCell ref="K117:L117"/>
    <mergeCell ref="M117:N117"/>
    <mergeCell ref="AQ117:AR117"/>
    <mergeCell ref="AS117:AT117"/>
    <mergeCell ref="AU117:AV117"/>
    <mergeCell ref="AQ118:AR118"/>
    <mergeCell ref="AS118:AT118"/>
    <mergeCell ref="AU118:AV118"/>
    <mergeCell ref="AW118:AX118"/>
    <mergeCell ref="AY118:AZ118"/>
    <mergeCell ref="AE118:AF118"/>
    <mergeCell ref="AG118:AH118"/>
    <mergeCell ref="AI118:AJ118"/>
    <mergeCell ref="AK118:AL118"/>
    <mergeCell ref="AM118:AN118"/>
    <mergeCell ref="AO118:AP118"/>
    <mergeCell ref="S118:T118"/>
    <mergeCell ref="U118:V118"/>
    <mergeCell ref="W118:X118"/>
    <mergeCell ref="Y118:Z118"/>
    <mergeCell ref="AA118:AB118"/>
    <mergeCell ref="AC118:AD118"/>
    <mergeCell ref="AU119:AV119"/>
    <mergeCell ref="AW119:AX119"/>
    <mergeCell ref="S119:T119"/>
    <mergeCell ref="U119:V119"/>
    <mergeCell ref="AS119:AT119"/>
    <mergeCell ref="AG119:AH119"/>
    <mergeCell ref="AI119:AJ119"/>
    <mergeCell ref="AK119:AL119"/>
    <mergeCell ref="AM119:AN119"/>
    <mergeCell ref="AO119:AP119"/>
    <mergeCell ref="AQ119:AR119"/>
    <mergeCell ref="AY119:AZ119"/>
    <mergeCell ref="W119:X119"/>
    <mergeCell ref="Y119:Z119"/>
    <mergeCell ref="AA119:AB119"/>
    <mergeCell ref="AC119:AD119"/>
    <mergeCell ref="AE119:AF119"/>
    <mergeCell ref="AY140:AZ140"/>
    <mergeCell ref="AM140:AN140"/>
    <mergeCell ref="AO140:AP140"/>
    <mergeCell ref="AQ140:AR140"/>
    <mergeCell ref="AS140:AT140"/>
    <mergeCell ref="AU140:AV140"/>
    <mergeCell ref="AW140:AX140"/>
    <mergeCell ref="AA140:AB140"/>
    <mergeCell ref="AG140:AH140"/>
    <mergeCell ref="AI140:AJ140"/>
    <mergeCell ref="AK140:AL140"/>
    <mergeCell ref="AC140:AD140"/>
    <mergeCell ref="AE140:AF140"/>
    <mergeCell ref="O140:P140"/>
    <mergeCell ref="Q140:R140"/>
    <mergeCell ref="S140:T140"/>
    <mergeCell ref="U140:V140"/>
    <mergeCell ref="W140:X140"/>
    <mergeCell ref="Y140:Z140"/>
    <mergeCell ref="AQ142:AR142"/>
    <mergeCell ref="AS142:AT142"/>
    <mergeCell ref="AU142:AV142"/>
    <mergeCell ref="AW142:AX142"/>
    <mergeCell ref="O142:P142"/>
    <mergeCell ref="Q142:R142"/>
    <mergeCell ref="AO142:AP142"/>
    <mergeCell ref="AC142:AD142"/>
    <mergeCell ref="AE142:AF142"/>
    <mergeCell ref="AG142:AH142"/>
    <mergeCell ref="AI142:AJ142"/>
    <mergeCell ref="AK142:AL142"/>
    <mergeCell ref="AM142:AN142"/>
    <mergeCell ref="AY142:AZ142"/>
    <mergeCell ref="S142:T142"/>
    <mergeCell ref="U142:V142"/>
    <mergeCell ref="W142:X142"/>
    <mergeCell ref="Y142:Z142"/>
    <mergeCell ref="AA142:AB142"/>
    <mergeCell ref="C149:D149"/>
    <mergeCell ref="E149:F149"/>
    <mergeCell ref="G149:H149"/>
    <mergeCell ref="I149:J149"/>
    <mergeCell ref="K149:L149"/>
    <mergeCell ref="M149:N149"/>
    <mergeCell ref="O149:P149"/>
    <mergeCell ref="Q149:R149"/>
    <mergeCell ref="S149:T149"/>
    <mergeCell ref="AS149:AT149"/>
    <mergeCell ref="AU149:AV149"/>
    <mergeCell ref="AW149:AX149"/>
    <mergeCell ref="O153:P153"/>
    <mergeCell ref="AO151:AP151"/>
    <mergeCell ref="AE152:AF152"/>
    <mergeCell ref="S152:T152"/>
    <mergeCell ref="U152:V152"/>
    <mergeCell ref="W152:X152"/>
    <mergeCell ref="Y152:Z152"/>
    <mergeCell ref="AS148:AT148"/>
    <mergeCell ref="AU148:AV148"/>
    <mergeCell ref="AW148:AX148"/>
    <mergeCell ref="AY148:AZ148"/>
    <mergeCell ref="AY149:AZ149"/>
    <mergeCell ref="AE148:AF148"/>
    <mergeCell ref="AG148:AH148"/>
    <mergeCell ref="AG149:AH149"/>
    <mergeCell ref="AI148:AJ148"/>
    <mergeCell ref="AK148:AL148"/>
    <mergeCell ref="AI149:AJ149"/>
    <mergeCell ref="AK149:AL149"/>
    <mergeCell ref="AM148:AN148"/>
    <mergeCell ref="AO148:AP148"/>
    <mergeCell ref="U149:V149"/>
    <mergeCell ref="W149:X149"/>
    <mergeCell ref="U148:V148"/>
    <mergeCell ref="W148:X148"/>
    <mergeCell ref="Y149:Z149"/>
    <mergeCell ref="AA149:AB149"/>
    <mergeCell ref="Y148:Z148"/>
    <mergeCell ref="AA148:AB148"/>
    <mergeCell ref="AC148:AD148"/>
    <mergeCell ref="AC149:AD149"/>
    <mergeCell ref="AE149:AF149"/>
    <mergeCell ref="AY150:AZ150"/>
    <mergeCell ref="AM150:AN150"/>
    <mergeCell ref="AS150:AT150"/>
    <mergeCell ref="AU150:AV150"/>
    <mergeCell ref="AW150:AX150"/>
    <mergeCell ref="AO150:AP150"/>
    <mergeCell ref="AQ150:AR150"/>
    <mergeCell ref="AC151:AD151"/>
    <mergeCell ref="AE151:AF151"/>
    <mergeCell ref="AG151:AH151"/>
    <mergeCell ref="AI151:AJ151"/>
    <mergeCell ref="AY151:AZ151"/>
    <mergeCell ref="C150:D150"/>
    <mergeCell ref="E150:F150"/>
    <mergeCell ref="G150:H150"/>
    <mergeCell ref="I150:J150"/>
    <mergeCell ref="K150:L150"/>
    <mergeCell ref="M150:N150"/>
    <mergeCell ref="AK151:AL151"/>
    <mergeCell ref="AM151:AN151"/>
    <mergeCell ref="Q151:R151"/>
    <mergeCell ref="S151:T151"/>
    <mergeCell ref="AQ151:AR151"/>
    <mergeCell ref="AS151:AT151"/>
    <mergeCell ref="AU151:AV151"/>
    <mergeCell ref="AW151:AX151"/>
    <mergeCell ref="AA152:AB152"/>
    <mergeCell ref="AC152:AD152"/>
    <mergeCell ref="U151:V151"/>
    <mergeCell ref="W151:X151"/>
    <mergeCell ref="Y151:Z151"/>
    <mergeCell ref="AA151:AB151"/>
    <mergeCell ref="M151:N151"/>
    <mergeCell ref="O151:P151"/>
    <mergeCell ref="C153:D153"/>
    <mergeCell ref="E153:F153"/>
    <mergeCell ref="C151:D151"/>
    <mergeCell ref="E151:F151"/>
    <mergeCell ref="G151:H151"/>
    <mergeCell ref="I151:J151"/>
    <mergeCell ref="K151:L151"/>
    <mergeCell ref="C152:D152"/>
    <mergeCell ref="E152:F152"/>
    <mergeCell ref="G152:H152"/>
    <mergeCell ref="I152:J152"/>
    <mergeCell ref="K152:L152"/>
    <mergeCell ref="M152:N152"/>
    <mergeCell ref="O152:P152"/>
    <mergeCell ref="Q152:R152"/>
    <mergeCell ref="AQ152:AR152"/>
    <mergeCell ref="AS152:AT152"/>
    <mergeCell ref="AU152:AV152"/>
    <mergeCell ref="AW152:AX152"/>
    <mergeCell ref="AY152:AZ152"/>
    <mergeCell ref="AG153:AH153"/>
    <mergeCell ref="AG152:AH152"/>
    <mergeCell ref="AI152:AJ152"/>
    <mergeCell ref="AK152:AL152"/>
    <mergeCell ref="AM152:AN152"/>
    <mergeCell ref="AO152:AP152"/>
    <mergeCell ref="G153:H153"/>
    <mergeCell ref="I153:J153"/>
    <mergeCell ref="K153:L153"/>
    <mergeCell ref="M153:N153"/>
    <mergeCell ref="AS153:AT153"/>
    <mergeCell ref="AU153:AV153"/>
    <mergeCell ref="AI153:AJ153"/>
    <mergeCell ref="AK153:AL153"/>
    <mergeCell ref="AM153:AN153"/>
    <mergeCell ref="AO153:AP153"/>
    <mergeCell ref="AQ153:AR153"/>
    <mergeCell ref="AW153:AX153"/>
    <mergeCell ref="AY153:AZ153"/>
    <mergeCell ref="AM154:AN154"/>
    <mergeCell ref="AO154:AP154"/>
    <mergeCell ref="AQ154:AR154"/>
    <mergeCell ref="AS154:AT154"/>
    <mergeCell ref="AU154:AV154"/>
    <mergeCell ref="AW154:AX154"/>
    <mergeCell ref="AA154:AB154"/>
    <mergeCell ref="AC154:AD154"/>
    <mergeCell ref="O154:P154"/>
    <mergeCell ref="Q154:R154"/>
    <mergeCell ref="S154:T154"/>
    <mergeCell ref="U154:V154"/>
    <mergeCell ref="W154:X154"/>
    <mergeCell ref="Y154:Z154"/>
    <mergeCell ref="AE154:AF154"/>
    <mergeCell ref="AG154:AH154"/>
    <mergeCell ref="AI154:AJ154"/>
    <mergeCell ref="AK154:AL154"/>
    <mergeCell ref="C154:D154"/>
    <mergeCell ref="E154:F154"/>
    <mergeCell ref="G154:H154"/>
    <mergeCell ref="I154:J154"/>
    <mergeCell ref="K154:L154"/>
    <mergeCell ref="M154:N154"/>
    <mergeCell ref="AY154:AZ154"/>
    <mergeCell ref="C155:D155"/>
    <mergeCell ref="E155:F155"/>
    <mergeCell ref="G155:H155"/>
    <mergeCell ref="I155:J155"/>
    <mergeCell ref="K155:L155"/>
    <mergeCell ref="M155:N155"/>
    <mergeCell ref="AY155:AZ155"/>
    <mergeCell ref="AO156:AP156"/>
    <mergeCell ref="AQ156:AR156"/>
    <mergeCell ref="AS156:AT156"/>
    <mergeCell ref="AU156:AV156"/>
    <mergeCell ref="AW156:AX156"/>
    <mergeCell ref="AY156:AZ156"/>
    <mergeCell ref="AC156:AD156"/>
    <mergeCell ref="AE156:AF156"/>
    <mergeCell ref="AG156:AH156"/>
    <mergeCell ref="AI156:AJ156"/>
    <mergeCell ref="AK156:AL156"/>
    <mergeCell ref="AM156:AN156"/>
    <mergeCell ref="AM155:AN155"/>
    <mergeCell ref="K156:L156"/>
    <mergeCell ref="G158:H158"/>
    <mergeCell ref="I158:J158"/>
    <mergeCell ref="AQ157:AR157"/>
    <mergeCell ref="AS157:AT157"/>
    <mergeCell ref="AU157:AV157"/>
    <mergeCell ref="AW157:AX157"/>
    <mergeCell ref="AO157:AP157"/>
    <mergeCell ref="AC157:AD157"/>
    <mergeCell ref="AE157:AF157"/>
    <mergeCell ref="AG157:AH157"/>
    <mergeCell ref="AI157:AJ157"/>
    <mergeCell ref="AK157:AL157"/>
    <mergeCell ref="AM157:AN157"/>
    <mergeCell ref="O156:P156"/>
    <mergeCell ref="M156:N156"/>
    <mergeCell ref="Q157:R157"/>
    <mergeCell ref="Q156:R156"/>
    <mergeCell ref="S156:T156"/>
    <mergeCell ref="U156:V156"/>
    <mergeCell ref="W156:X156"/>
    <mergeCell ref="Y156:Z156"/>
    <mergeCell ref="AA156:AB156"/>
    <mergeCell ref="S157:T157"/>
    <mergeCell ref="AY162:AZ162"/>
    <mergeCell ref="AO162:AP162"/>
    <mergeCell ref="AQ162:AR162"/>
    <mergeCell ref="AS162:AT162"/>
    <mergeCell ref="AU162:AV162"/>
    <mergeCell ref="AW162:AX162"/>
    <mergeCell ref="C157:D157"/>
    <mergeCell ref="E157:F157"/>
    <mergeCell ref="G157:H157"/>
    <mergeCell ref="I157:J157"/>
    <mergeCell ref="K157:L157"/>
    <mergeCell ref="M157:N157"/>
    <mergeCell ref="AS158:AT158"/>
    <mergeCell ref="AU158:AV158"/>
    <mergeCell ref="AW158:AX158"/>
    <mergeCell ref="AY158:AZ158"/>
    <mergeCell ref="O157:P157"/>
    <mergeCell ref="S158:T158"/>
    <mergeCell ref="U157:V157"/>
    <mergeCell ref="W157:X157"/>
    <mergeCell ref="Y157:Z157"/>
    <mergeCell ref="AA157:AB157"/>
    <mergeCell ref="AQ158:AR158"/>
    <mergeCell ref="AE158:AF158"/>
    <mergeCell ref="AG158:AH158"/>
    <mergeCell ref="AI158:AJ158"/>
    <mergeCell ref="AK158:AL158"/>
    <mergeCell ref="AM158:AN158"/>
    <mergeCell ref="AO158:AP158"/>
    <mergeCell ref="C158:D158"/>
    <mergeCell ref="E158:F158"/>
    <mergeCell ref="AY157:AZ157"/>
    <mergeCell ref="AW159:AX159"/>
    <mergeCell ref="AY159:AZ159"/>
    <mergeCell ref="Q158:R158"/>
    <mergeCell ref="S159:T159"/>
    <mergeCell ref="O158:P158"/>
    <mergeCell ref="AQ159:AR159"/>
    <mergeCell ref="AE159:AF159"/>
    <mergeCell ref="AG159:AH159"/>
    <mergeCell ref="AI159:AJ159"/>
    <mergeCell ref="AK159:AL159"/>
    <mergeCell ref="AM159:AN159"/>
    <mergeCell ref="AO159:AP159"/>
    <mergeCell ref="U159:V159"/>
    <mergeCell ref="W159:X159"/>
    <mergeCell ref="U158:V158"/>
    <mergeCell ref="W158:X158"/>
    <mergeCell ref="Y158:Z158"/>
    <mergeCell ref="AA158:AB158"/>
    <mergeCell ref="AC158:AD158"/>
    <mergeCell ref="AS161:AT161"/>
    <mergeCell ref="AU161:AV161"/>
    <mergeCell ref="M161:N161"/>
    <mergeCell ref="O161:P161"/>
    <mergeCell ref="Q161:R161"/>
    <mergeCell ref="U161:V161"/>
    <mergeCell ref="W161:X161"/>
    <mergeCell ref="S160:T160"/>
    <mergeCell ref="S161:T161"/>
    <mergeCell ref="AK161:AL161"/>
    <mergeCell ref="Y161:Z161"/>
    <mergeCell ref="AA161:AB161"/>
    <mergeCell ref="AC161:AD161"/>
    <mergeCell ref="AE161:AF161"/>
    <mergeCell ref="AG161:AH161"/>
    <mergeCell ref="AI161:AJ161"/>
    <mergeCell ref="C159:D159"/>
    <mergeCell ref="E159:F159"/>
    <mergeCell ref="G159:H159"/>
    <mergeCell ref="I159:J159"/>
    <mergeCell ref="Y159:Z159"/>
    <mergeCell ref="AA159:AB159"/>
    <mergeCell ref="AC159:AD159"/>
    <mergeCell ref="K159:L159"/>
    <mergeCell ref="M159:N159"/>
    <mergeCell ref="O159:P159"/>
    <mergeCell ref="Q159:R159"/>
    <mergeCell ref="AS159:AT159"/>
    <mergeCell ref="AU159:AV159"/>
    <mergeCell ref="AS160:AT160"/>
    <mergeCell ref="AW161:AX161"/>
    <mergeCell ref="AU160:AV160"/>
    <mergeCell ref="AW160:AX160"/>
    <mergeCell ref="AY160:AZ160"/>
    <mergeCell ref="AM162:AN162"/>
    <mergeCell ref="AA162:AB162"/>
    <mergeCell ref="AE162:AF162"/>
    <mergeCell ref="AG162:AH162"/>
    <mergeCell ref="AI162:AJ162"/>
    <mergeCell ref="AK162:AL162"/>
    <mergeCell ref="O162:P162"/>
    <mergeCell ref="Q162:R162"/>
    <mergeCell ref="U160:V160"/>
    <mergeCell ref="W160:X160"/>
    <mergeCell ref="Y160:Z160"/>
    <mergeCell ref="AA160:AB160"/>
    <mergeCell ref="O160:P160"/>
    <mergeCell ref="Q160:R160"/>
    <mergeCell ref="AG160:AH160"/>
    <mergeCell ref="AC160:AD160"/>
    <mergeCell ref="AE160:AF160"/>
    <mergeCell ref="AY161:AZ161"/>
    <mergeCell ref="AC162:AD162"/>
    <mergeCell ref="AI160:AJ160"/>
    <mergeCell ref="AK160:AL160"/>
    <mergeCell ref="AM160:AN160"/>
    <mergeCell ref="AO160:AP160"/>
    <mergeCell ref="AQ160:AR160"/>
    <mergeCell ref="AM161:AN161"/>
    <mergeCell ref="AO161:AP161"/>
    <mergeCell ref="AQ161:AR161"/>
    <mergeCell ref="AC164:AD164"/>
    <mergeCell ref="C164:D164"/>
    <mergeCell ref="E164:F164"/>
    <mergeCell ref="G164:H164"/>
    <mergeCell ref="I164:J164"/>
    <mergeCell ref="K164:L164"/>
    <mergeCell ref="M164:N164"/>
    <mergeCell ref="E162:F162"/>
    <mergeCell ref="G162:H162"/>
    <mergeCell ref="C162:D162"/>
    <mergeCell ref="I162:J162"/>
    <mergeCell ref="K162:L162"/>
    <mergeCell ref="S162:T162"/>
    <mergeCell ref="U162:V162"/>
    <mergeCell ref="W162:X162"/>
    <mergeCell ref="Y162:Z162"/>
    <mergeCell ref="C161:D161"/>
    <mergeCell ref="E161:F161"/>
    <mergeCell ref="G161:H161"/>
    <mergeCell ref="I161:J161"/>
    <mergeCell ref="K161:L161"/>
    <mergeCell ref="M162:N162"/>
    <mergeCell ref="AQ155:AR155"/>
    <mergeCell ref="AS155:AT155"/>
    <mergeCell ref="AU155:AV155"/>
    <mergeCell ref="AW155:AX155"/>
    <mergeCell ref="AE155:AF155"/>
    <mergeCell ref="AG155:AH155"/>
    <mergeCell ref="AA150:AB150"/>
    <mergeCell ref="AC150:AD150"/>
    <mergeCell ref="AE150:AF150"/>
    <mergeCell ref="AG150:AH150"/>
    <mergeCell ref="S150:T150"/>
    <mergeCell ref="Y150:Z150"/>
    <mergeCell ref="AM149:AN149"/>
    <mergeCell ref="AM141:AN141"/>
    <mergeCell ref="AO141:AP141"/>
    <mergeCell ref="AQ141:AR141"/>
    <mergeCell ref="AS141:AT141"/>
    <mergeCell ref="AU141:AV141"/>
    <mergeCell ref="AW141:AX141"/>
    <mergeCell ref="AK141:AL141"/>
    <mergeCell ref="AI155:AJ155"/>
    <mergeCell ref="AK155:AL155"/>
    <mergeCell ref="AQ148:AR148"/>
    <mergeCell ref="AO149:AP149"/>
    <mergeCell ref="AQ149:AR149"/>
    <mergeCell ref="AI150:AJ150"/>
    <mergeCell ref="AK150:AL150"/>
    <mergeCell ref="S141:T141"/>
    <mergeCell ref="U141:V141"/>
    <mergeCell ref="S153:T153"/>
    <mergeCell ref="U153:V153"/>
    <mergeCell ref="W153:X153"/>
    <mergeCell ref="Y141:Z141"/>
    <mergeCell ref="U150:V150"/>
    <mergeCell ref="W150:X150"/>
    <mergeCell ref="AA141:AB141"/>
    <mergeCell ref="AC141:AD141"/>
    <mergeCell ref="AE141:AF141"/>
    <mergeCell ref="AG141:AH141"/>
    <mergeCell ref="AI141:AJ141"/>
    <mergeCell ref="AO163:AP163"/>
    <mergeCell ref="AK163:AL163"/>
    <mergeCell ref="AM163:AN163"/>
    <mergeCell ref="Q163:R163"/>
    <mergeCell ref="S163:T163"/>
    <mergeCell ref="U163:V163"/>
    <mergeCell ref="W163:X163"/>
    <mergeCell ref="AA155:AB155"/>
    <mergeCell ref="AC155:AD155"/>
    <mergeCell ref="Q155:R155"/>
    <mergeCell ref="S155:T155"/>
    <mergeCell ref="U155:V155"/>
    <mergeCell ref="W155:X155"/>
    <mergeCell ref="Y155:Z155"/>
    <mergeCell ref="Y163:Z163"/>
    <mergeCell ref="AA163:AB163"/>
    <mergeCell ref="AO155:AP155"/>
    <mergeCell ref="Q153:R153"/>
    <mergeCell ref="Y153:Z153"/>
    <mergeCell ref="AA153:AB153"/>
    <mergeCell ref="AC153:AD153"/>
    <mergeCell ref="AE153:AF153"/>
    <mergeCell ref="A287:A288"/>
    <mergeCell ref="A277:A278"/>
    <mergeCell ref="A289:A291"/>
    <mergeCell ref="A223:A224"/>
    <mergeCell ref="A192:A193"/>
    <mergeCell ref="A194:A195"/>
    <mergeCell ref="B194:B195"/>
    <mergeCell ref="A129:A130"/>
    <mergeCell ref="A127:A128"/>
    <mergeCell ref="A168:A169"/>
    <mergeCell ref="B168:B169"/>
    <mergeCell ref="A141:A147"/>
    <mergeCell ref="A138:A139"/>
    <mergeCell ref="A134:A135"/>
    <mergeCell ref="A131:A133"/>
    <mergeCell ref="B129:B130"/>
    <mergeCell ref="W141:X141"/>
    <mergeCell ref="O155:P155"/>
    <mergeCell ref="U164:V164"/>
    <mergeCell ref="W164:X164"/>
    <mergeCell ref="O164:P164"/>
    <mergeCell ref="Q164:R164"/>
    <mergeCell ref="C160:D160"/>
    <mergeCell ref="E160:F160"/>
    <mergeCell ref="G160:H160"/>
    <mergeCell ref="I160:J160"/>
    <mergeCell ref="K160:L160"/>
    <mergeCell ref="M160:N160"/>
    <mergeCell ref="C166:D166"/>
    <mergeCell ref="E166:F166"/>
    <mergeCell ref="G166:H166"/>
    <mergeCell ref="I166:J166"/>
    <mergeCell ref="C141:D141"/>
    <mergeCell ref="C142:D142"/>
    <mergeCell ref="E142:F142"/>
    <mergeCell ref="G142:H142"/>
    <mergeCell ref="I142:J142"/>
    <mergeCell ref="K142:L142"/>
    <mergeCell ref="M142:N142"/>
    <mergeCell ref="E141:F141"/>
    <mergeCell ref="G141:H141"/>
    <mergeCell ref="I141:J141"/>
    <mergeCell ref="K141:L141"/>
    <mergeCell ref="M141:N141"/>
    <mergeCell ref="O141:P141"/>
    <mergeCell ref="Q141:R141"/>
    <mergeCell ref="A279:A280"/>
    <mergeCell ref="A281:A282"/>
    <mergeCell ref="A264:A270"/>
    <mergeCell ref="A244:A245"/>
    <mergeCell ref="A246:A247"/>
    <mergeCell ref="A248:A249"/>
    <mergeCell ref="A250:A251"/>
    <mergeCell ref="A252:A253"/>
    <mergeCell ref="A238:A239"/>
    <mergeCell ref="A240:A241"/>
    <mergeCell ref="A242:A243"/>
    <mergeCell ref="A236:A237"/>
    <mergeCell ref="A225:B225"/>
    <mergeCell ref="A227:A235"/>
    <mergeCell ref="B221:B222"/>
    <mergeCell ref="B215:B216"/>
    <mergeCell ref="A217:A218"/>
    <mergeCell ref="A219:A220"/>
    <mergeCell ref="A196:A200"/>
    <mergeCell ref="A186:A191"/>
    <mergeCell ref="A176:A177"/>
    <mergeCell ref="A178:A185"/>
    <mergeCell ref="A221:A222"/>
    <mergeCell ref="A170:A171"/>
    <mergeCell ref="A172:A173"/>
    <mergeCell ref="A174:A175"/>
    <mergeCell ref="A215:A216"/>
    <mergeCell ref="A208:A212"/>
    <mergeCell ref="A213:A214"/>
    <mergeCell ref="G148:H148"/>
    <mergeCell ref="I148:J148"/>
    <mergeCell ref="K148:L148"/>
    <mergeCell ref="M148:N148"/>
    <mergeCell ref="O148:P148"/>
    <mergeCell ref="Q148:R148"/>
    <mergeCell ref="O150:P150"/>
    <mergeCell ref="Q150:R150"/>
    <mergeCell ref="A161:A167"/>
    <mergeCell ref="A159:A160"/>
    <mergeCell ref="A157:A158"/>
    <mergeCell ref="A155:A156"/>
    <mergeCell ref="A148:A154"/>
    <mergeCell ref="C148:D148"/>
    <mergeCell ref="E148:F148"/>
    <mergeCell ref="K158:L158"/>
    <mergeCell ref="M158:N158"/>
    <mergeCell ref="C156:D156"/>
    <mergeCell ref="E156:F156"/>
    <mergeCell ref="G156:H156"/>
    <mergeCell ref="I156:J156"/>
    <mergeCell ref="C246:D246"/>
    <mergeCell ref="C248:D248"/>
    <mergeCell ref="O224:P224"/>
    <mergeCell ref="E224:F224"/>
    <mergeCell ref="G224:H224"/>
    <mergeCell ref="I224:J224"/>
    <mergeCell ref="K224:L224"/>
    <mergeCell ref="M224:N224"/>
    <mergeCell ref="AA224:AB224"/>
    <mergeCell ref="AC224:AD224"/>
    <mergeCell ref="Q224:R224"/>
    <mergeCell ref="S224:T224"/>
    <mergeCell ref="U224:V224"/>
    <mergeCell ref="W224:X224"/>
    <mergeCell ref="Y224:Z224"/>
    <mergeCell ref="A201:A202"/>
    <mergeCell ref="A203:A207"/>
    <mergeCell ref="U223:V223"/>
    <mergeCell ref="W223:X223"/>
    <mergeCell ref="C223:D223"/>
    <mergeCell ref="E223:F223"/>
    <mergeCell ref="K223:L223"/>
    <mergeCell ref="M223:N223"/>
    <mergeCell ref="O223:P223"/>
    <mergeCell ref="Q223:R223"/>
    <mergeCell ref="S223:T223"/>
    <mergeCell ref="I304:J304"/>
    <mergeCell ref="Q292:T292"/>
    <mergeCell ref="L293:P293"/>
    <mergeCell ref="Q293:T293"/>
    <mergeCell ref="Q294:T294"/>
    <mergeCell ref="Q295:T295"/>
    <mergeCell ref="AU223:AV223"/>
    <mergeCell ref="AW223:AX223"/>
    <mergeCell ref="AE224:AF224"/>
    <mergeCell ref="AG224:AH224"/>
    <mergeCell ref="AK224:AL224"/>
    <mergeCell ref="AM224:AN224"/>
    <mergeCell ref="AO224:AP224"/>
    <mergeCell ref="AQ224:AR224"/>
    <mergeCell ref="AS224:AT224"/>
    <mergeCell ref="AU224:AV224"/>
    <mergeCell ref="C260:D260"/>
    <mergeCell ref="C261:D261"/>
    <mergeCell ref="C281:D281"/>
    <mergeCell ref="C229:D229"/>
    <mergeCell ref="C230:D230"/>
    <mergeCell ref="C231:D231"/>
    <mergeCell ref="C244:D244"/>
    <mergeCell ref="A254:A255"/>
    <mergeCell ref="C254:D254"/>
    <mergeCell ref="A256:A257"/>
    <mergeCell ref="C256:D256"/>
    <mergeCell ref="A258:A259"/>
    <mergeCell ref="C258:D258"/>
    <mergeCell ref="A260:A263"/>
    <mergeCell ref="C265:D265"/>
    <mergeCell ref="C266:D266"/>
    <mergeCell ref="C269:D269"/>
    <mergeCell ref="C264:D264"/>
    <mergeCell ref="C283:D283"/>
    <mergeCell ref="C285:D285"/>
    <mergeCell ref="C277:D277"/>
    <mergeCell ref="B279:B280"/>
    <mergeCell ref="C279:D279"/>
    <mergeCell ref="C267:D267"/>
    <mergeCell ref="C268:D268"/>
    <mergeCell ref="C271:D271"/>
    <mergeCell ref="A273:A274"/>
    <mergeCell ref="C273:D273"/>
    <mergeCell ref="A275:A276"/>
    <mergeCell ref="C275:D275"/>
    <mergeCell ref="A271:A272"/>
    <mergeCell ref="A283:A284"/>
    <mergeCell ref="A285:A286"/>
    <mergeCell ref="I289:J289"/>
    <mergeCell ref="K289:L289"/>
    <mergeCell ref="O289:P289"/>
    <mergeCell ref="Q289:R289"/>
    <mergeCell ref="S289:T289"/>
    <mergeCell ref="U289:V289"/>
    <mergeCell ref="C290:D290"/>
    <mergeCell ref="E290:F290"/>
    <mergeCell ref="G290:H290"/>
    <mergeCell ref="I290:J290"/>
    <mergeCell ref="K290:L290"/>
    <mergeCell ref="M290:N290"/>
    <mergeCell ref="O290:P290"/>
    <mergeCell ref="Q290:R290"/>
    <mergeCell ref="U294:V294"/>
    <mergeCell ref="U295:V295"/>
    <mergeCell ref="S290:T290"/>
    <mergeCell ref="U290:V290"/>
    <mergeCell ref="AY224:AZ224"/>
    <mergeCell ref="AU221:AV221"/>
    <mergeCell ref="AW221:AX221"/>
    <mergeCell ref="AY221:AZ221"/>
    <mergeCell ref="AI221:AJ221"/>
    <mergeCell ref="AK221:AL221"/>
    <mergeCell ref="AQ221:AR221"/>
    <mergeCell ref="AS221:AT221"/>
    <mergeCell ref="Y223:Z223"/>
    <mergeCell ref="AA223:AB223"/>
    <mergeCell ref="AC223:AD223"/>
    <mergeCell ref="AE223:AF223"/>
    <mergeCell ref="AC163:AD163"/>
    <mergeCell ref="AE163:AF163"/>
    <mergeCell ref="AG163:AH163"/>
    <mergeCell ref="AI163:AJ163"/>
    <mergeCell ref="AM221:AN221"/>
    <mergeCell ref="AO221:AP221"/>
    <mergeCell ref="AQ163:AR163"/>
    <mergeCell ref="AS163:AT163"/>
    <mergeCell ref="AU163:AV163"/>
    <mergeCell ref="AW163:AX163"/>
    <mergeCell ref="AY163:AZ163"/>
    <mergeCell ref="AQ164:AR164"/>
    <mergeCell ref="AE164:AF164"/>
    <mergeCell ref="AG164:AH164"/>
    <mergeCell ref="AI164:AJ164"/>
    <mergeCell ref="AK164:AL164"/>
    <mergeCell ref="AM164:AN164"/>
    <mergeCell ref="AO164:AP164"/>
    <mergeCell ref="Y164:Z164"/>
    <mergeCell ref="AA164:AB164"/>
    <mergeCell ref="AS164:AT164"/>
    <mergeCell ref="AU164:AV164"/>
    <mergeCell ref="AW164:AX164"/>
    <mergeCell ref="AY164:AZ164"/>
    <mergeCell ref="O163:P163"/>
    <mergeCell ref="S164:T164"/>
    <mergeCell ref="C232:D232"/>
    <mergeCell ref="C233:D233"/>
    <mergeCell ref="AW224:AX224"/>
    <mergeCell ref="C234:D234"/>
    <mergeCell ref="C225:D225"/>
    <mergeCell ref="C227:D227"/>
    <mergeCell ref="C228:D228"/>
    <mergeCell ref="C238:D238"/>
    <mergeCell ref="C236:D236"/>
    <mergeCell ref="AY223:AZ223"/>
    <mergeCell ref="AI223:AJ223"/>
    <mergeCell ref="AK223:AL223"/>
    <mergeCell ref="AM223:AN223"/>
    <mergeCell ref="AO223:AP223"/>
    <mergeCell ref="AQ223:AR223"/>
    <mergeCell ref="AS223:AT223"/>
    <mergeCell ref="AG223:AH223"/>
    <mergeCell ref="C210:D210"/>
    <mergeCell ref="C211:D211"/>
    <mergeCell ref="C215:D215"/>
    <mergeCell ref="C217:D217"/>
    <mergeCell ref="C219:D219"/>
    <mergeCell ref="C213:D213"/>
    <mergeCell ref="Q221:R221"/>
    <mergeCell ref="S221:T221"/>
    <mergeCell ref="AG221:AH221"/>
    <mergeCell ref="C165:D165"/>
    <mergeCell ref="E165:F165"/>
    <mergeCell ref="G165:H165"/>
    <mergeCell ref="I165:J165"/>
    <mergeCell ref="K165:L165"/>
    <mergeCell ref="M165:N165"/>
    <mergeCell ref="AI224:AJ224"/>
    <mergeCell ref="C262:D262"/>
    <mergeCell ref="C250:D250"/>
    <mergeCell ref="C252:D252"/>
    <mergeCell ref="C240:D240"/>
    <mergeCell ref="C242:D242"/>
    <mergeCell ref="E234:F234"/>
    <mergeCell ref="C163:D163"/>
    <mergeCell ref="E163:F163"/>
    <mergeCell ref="G163:H163"/>
    <mergeCell ref="I163:J163"/>
    <mergeCell ref="K163:L163"/>
    <mergeCell ref="M163:N163"/>
    <mergeCell ref="W221:X221"/>
    <mergeCell ref="Y221:Z221"/>
    <mergeCell ref="AA221:AB221"/>
    <mergeCell ref="AC221:AD221"/>
    <mergeCell ref="AE221:AF221"/>
    <mergeCell ref="G221:H221"/>
    <mergeCell ref="I221:J221"/>
    <mergeCell ref="M221:N221"/>
    <mergeCell ref="O221:P221"/>
    <mergeCell ref="K221:L221"/>
    <mergeCell ref="G223:H223"/>
    <mergeCell ref="I223:J223"/>
    <mergeCell ref="C221:D221"/>
    <mergeCell ref="O165:P165"/>
    <mergeCell ref="Q165:R165"/>
    <mergeCell ref="S166:T166"/>
    <mergeCell ref="U166:V166"/>
    <mergeCell ref="S165:T165"/>
    <mergeCell ref="AS165:AT165"/>
    <mergeCell ref="AU165:AV165"/>
    <mergeCell ref="AW165:AX165"/>
    <mergeCell ref="AY165:AZ165"/>
    <mergeCell ref="AG165:AH165"/>
    <mergeCell ref="AI165:AJ165"/>
    <mergeCell ref="AK165:AL165"/>
    <mergeCell ref="AM165:AN165"/>
    <mergeCell ref="AO165:AP165"/>
    <mergeCell ref="AQ165:AR165"/>
    <mergeCell ref="U165:V165"/>
    <mergeCell ref="W165:X165"/>
    <mergeCell ref="Y165:Z165"/>
    <mergeCell ref="AA165:AB165"/>
    <mergeCell ref="AC165:AD165"/>
    <mergeCell ref="AE165:AF165"/>
    <mergeCell ref="AU166:AV166"/>
    <mergeCell ref="AW166:AX166"/>
    <mergeCell ref="AY166:AZ166"/>
    <mergeCell ref="AI166:AJ166"/>
    <mergeCell ref="AK166:AL166"/>
    <mergeCell ref="AM166:AN166"/>
    <mergeCell ref="AO166:AP166"/>
    <mergeCell ref="AQ166:AR166"/>
    <mergeCell ref="AS166:AT166"/>
    <mergeCell ref="W166:X166"/>
    <mergeCell ref="Y166:Z166"/>
    <mergeCell ref="AA166:AB166"/>
    <mergeCell ref="AC166:AD166"/>
    <mergeCell ref="AE166:AF166"/>
    <mergeCell ref="AG166:AH166"/>
    <mergeCell ref="K166:L166"/>
    <mergeCell ref="M166:N166"/>
    <mergeCell ref="O166:P166"/>
    <mergeCell ref="Q166:R166"/>
    <mergeCell ref="AW167:AX167"/>
    <mergeCell ref="AY167:AZ167"/>
    <mergeCell ref="AK167:AL167"/>
    <mergeCell ref="AM167:AN167"/>
    <mergeCell ref="AO167:AP167"/>
    <mergeCell ref="AQ167:AR167"/>
    <mergeCell ref="AS167:AT167"/>
    <mergeCell ref="AU167:AV167"/>
    <mergeCell ref="Y167:Z167"/>
    <mergeCell ref="AA167:AB167"/>
    <mergeCell ref="K167:L167"/>
    <mergeCell ref="C196:D196"/>
    <mergeCell ref="C197:D197"/>
    <mergeCell ref="C198:D198"/>
    <mergeCell ref="C199:D199"/>
    <mergeCell ref="C188:D188"/>
    <mergeCell ref="C189:D189"/>
    <mergeCell ref="C190:D190"/>
    <mergeCell ref="C176:D176"/>
    <mergeCell ref="C178:D178"/>
    <mergeCell ref="C179:D179"/>
    <mergeCell ref="C180:D180"/>
    <mergeCell ref="C181:D181"/>
    <mergeCell ref="AE167:AF167"/>
    <mergeCell ref="AG167:AH167"/>
    <mergeCell ref="AI167:AJ167"/>
    <mergeCell ref="M167:N167"/>
    <mergeCell ref="O167:P167"/>
    <mergeCell ref="Q167:R167"/>
    <mergeCell ref="S167:T167"/>
    <mergeCell ref="U167:V167"/>
    <mergeCell ref="W167:X167"/>
    <mergeCell ref="C167:D167"/>
    <mergeCell ref="E167:F167"/>
    <mergeCell ref="G167:H167"/>
    <mergeCell ref="I167:J167"/>
    <mergeCell ref="C186:D186"/>
    <mergeCell ref="C187:D187"/>
    <mergeCell ref="C184:D184"/>
    <mergeCell ref="C170:D170"/>
    <mergeCell ref="C172:D172"/>
    <mergeCell ref="C174:D174"/>
    <mergeCell ref="C168:D168"/>
    <mergeCell ref="C182:D182"/>
    <mergeCell ref="C183:D183"/>
    <mergeCell ref="U292:V292"/>
    <mergeCell ref="C293:G293"/>
    <mergeCell ref="H293:K293"/>
    <mergeCell ref="U293:V293"/>
    <mergeCell ref="M291:N291"/>
    <mergeCell ref="O291:P291"/>
    <mergeCell ref="Q291:R291"/>
    <mergeCell ref="S291:T291"/>
    <mergeCell ref="U291:V291"/>
    <mergeCell ref="C291:D291"/>
    <mergeCell ref="E291:F291"/>
    <mergeCell ref="G291:H291"/>
    <mergeCell ref="I291:J291"/>
    <mergeCell ref="K291:L291"/>
    <mergeCell ref="C304:D304"/>
    <mergeCell ref="E304:F304"/>
    <mergeCell ref="AC167:AD167"/>
    <mergeCell ref="C192:D192"/>
    <mergeCell ref="C194:D194"/>
    <mergeCell ref="C208:D208"/>
    <mergeCell ref="C209:D209"/>
    <mergeCell ref="C201:D201"/>
    <mergeCell ref="C203:D203"/>
    <mergeCell ref="E221:F221"/>
    <mergeCell ref="U221:V221"/>
    <mergeCell ref="C205:D205"/>
    <mergeCell ref="C206:D206"/>
    <mergeCell ref="C287:D287"/>
    <mergeCell ref="M289:N289"/>
    <mergeCell ref="C289:D289"/>
    <mergeCell ref="E289:F289"/>
    <mergeCell ref="G289:H289"/>
    <mergeCell ref="C294:G294"/>
    <mergeCell ref="H294:K294"/>
    <mergeCell ref="C292:G292"/>
    <mergeCell ref="C295:G295"/>
    <mergeCell ref="H295:K295"/>
    <mergeCell ref="L295:P295"/>
    <mergeCell ref="C307:D307"/>
    <mergeCell ref="E307:F307"/>
    <mergeCell ref="A292:A295"/>
    <mergeCell ref="B292:B295"/>
    <mergeCell ref="H292:K292"/>
    <mergeCell ref="L292:P292"/>
    <mergeCell ref="L294:P294"/>
    <mergeCell ref="K304:L304"/>
    <mergeCell ref="O308:P308"/>
    <mergeCell ref="Q308:R308"/>
    <mergeCell ref="S308:T308"/>
    <mergeCell ref="O307:P307"/>
    <mergeCell ref="Q307:R307"/>
    <mergeCell ref="S307:T307"/>
    <mergeCell ref="G307:H307"/>
    <mergeCell ref="I307:J307"/>
    <mergeCell ref="M304:N304"/>
    <mergeCell ref="O304:P304"/>
    <mergeCell ref="Q304:R304"/>
    <mergeCell ref="S304:T304"/>
    <mergeCell ref="AS306:AT306"/>
    <mergeCell ref="AS304:AT304"/>
    <mergeCell ref="AU304:AV304"/>
    <mergeCell ref="AW304:AX304"/>
    <mergeCell ref="AY304:AZ304"/>
    <mergeCell ref="AG304:AH304"/>
    <mergeCell ref="AI304:AJ304"/>
    <mergeCell ref="AK304:AL304"/>
    <mergeCell ref="AM304:AN304"/>
    <mergeCell ref="AO304:AP304"/>
    <mergeCell ref="AQ304:AR304"/>
    <mergeCell ref="U304:V304"/>
    <mergeCell ref="W304:X304"/>
    <mergeCell ref="A296:A298"/>
    <mergeCell ref="A304:A305"/>
    <mergeCell ref="B304:B305"/>
    <mergeCell ref="G304:H304"/>
    <mergeCell ref="Y304:Z304"/>
    <mergeCell ref="AA304:AB304"/>
    <mergeCell ref="AC304:AD304"/>
    <mergeCell ref="AE304:AF304"/>
    <mergeCell ref="AW306:AX306"/>
    <mergeCell ref="A310:B310"/>
    <mergeCell ref="AI308:AJ308"/>
    <mergeCell ref="AA308:AB308"/>
    <mergeCell ref="M306:N306"/>
    <mergeCell ref="O306:P306"/>
    <mergeCell ref="Q306:R306"/>
    <mergeCell ref="S306:T306"/>
    <mergeCell ref="U306:V306"/>
    <mergeCell ref="W306:X306"/>
    <mergeCell ref="A309:B309"/>
    <mergeCell ref="A306:A308"/>
    <mergeCell ref="C306:D306"/>
    <mergeCell ref="E306:F306"/>
    <mergeCell ref="G306:H306"/>
    <mergeCell ref="I306:J306"/>
    <mergeCell ref="K306:L306"/>
    <mergeCell ref="AQ306:AR306"/>
    <mergeCell ref="U308:V308"/>
    <mergeCell ref="U307:V307"/>
    <mergeCell ref="W308:X308"/>
    <mergeCell ref="W307:X307"/>
    <mergeCell ref="AO308:AP308"/>
    <mergeCell ref="AQ308:AR308"/>
    <mergeCell ref="AS308:AT308"/>
    <mergeCell ref="AU308:AV308"/>
    <mergeCell ref="AW308:AX308"/>
    <mergeCell ref="AY308:AZ308"/>
    <mergeCell ref="AK308:AL308"/>
    <mergeCell ref="AM308:AN308"/>
    <mergeCell ref="AY307:AZ307"/>
    <mergeCell ref="AM307:AN307"/>
    <mergeCell ref="AO307:AP307"/>
    <mergeCell ref="AQ307:AR307"/>
    <mergeCell ref="AS307:AT307"/>
    <mergeCell ref="AU307:AV307"/>
    <mergeCell ref="AW307:AX307"/>
    <mergeCell ref="AC307:AD307"/>
    <mergeCell ref="AC308:AD308"/>
    <mergeCell ref="AK307:AL307"/>
    <mergeCell ref="AE307:AF307"/>
    <mergeCell ref="AG307:AH307"/>
    <mergeCell ref="AI307:AJ307"/>
    <mergeCell ref="AE308:AF308"/>
    <mergeCell ref="AG308:AH308"/>
    <mergeCell ref="Y308:Z308"/>
    <mergeCell ref="Y306:Z306"/>
    <mergeCell ref="AA306:AB306"/>
    <mergeCell ref="AC306:AD306"/>
    <mergeCell ref="AE306:AF306"/>
    <mergeCell ref="AG306:AH306"/>
    <mergeCell ref="AI306:AJ306"/>
    <mergeCell ref="C308:D308"/>
    <mergeCell ref="E308:F308"/>
    <mergeCell ref="G308:H308"/>
    <mergeCell ref="I308:J308"/>
    <mergeCell ref="K308:L308"/>
    <mergeCell ref="M308:N308"/>
    <mergeCell ref="K307:L307"/>
    <mergeCell ref="M307:N307"/>
    <mergeCell ref="Y307:Z307"/>
    <mergeCell ref="AA307:AB307"/>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8"/>
  <sheetViews>
    <sheetView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14.42578125" defaultRowHeight="15" customHeight="1"/>
  <cols>
    <col min="1" max="1" width="4.28515625" customWidth="1"/>
    <col min="2" max="2" width="28.28515625" customWidth="1"/>
    <col min="3" max="3" width="37.42578125" customWidth="1"/>
    <col min="4" max="6" width="5.7109375" customWidth="1"/>
    <col min="7" max="8" width="5.5703125" customWidth="1"/>
    <col min="9" max="11" width="3.42578125" customWidth="1"/>
    <col min="12" max="14" width="5.5703125" customWidth="1"/>
    <col min="15" max="15" width="7.7109375" customWidth="1"/>
    <col min="16" max="16" width="5.5703125" customWidth="1"/>
    <col min="17" max="17" width="7.7109375" customWidth="1"/>
    <col min="18" max="20" width="3.42578125" customWidth="1"/>
    <col min="21" max="21" width="5.5703125" customWidth="1"/>
    <col min="22" max="23" width="3.42578125" customWidth="1"/>
    <col min="24" max="26" width="5.5703125" customWidth="1"/>
    <col min="27" max="29" width="3.42578125" customWidth="1"/>
    <col min="30" max="31" width="52.28515625" customWidth="1"/>
    <col min="32" max="32" width="41" customWidth="1"/>
    <col min="33" max="33" width="17.28515625" hidden="1" customWidth="1"/>
    <col min="34" max="34" width="15.85546875" hidden="1" customWidth="1"/>
  </cols>
  <sheetData>
    <row r="1" spans="1:34">
      <c r="A1" s="715" t="s">
        <v>1348</v>
      </c>
      <c r="B1" s="632"/>
      <c r="C1" s="632"/>
      <c r="D1" s="632"/>
      <c r="E1" s="632"/>
      <c r="F1" s="632"/>
      <c r="G1" s="632"/>
      <c r="H1" s="632"/>
      <c r="I1" s="632"/>
      <c r="J1" s="632"/>
      <c r="K1" s="632"/>
      <c r="L1" s="632"/>
      <c r="M1" s="632"/>
      <c r="N1" s="632"/>
      <c r="O1" s="632"/>
      <c r="P1" s="632"/>
      <c r="Q1" s="632"/>
      <c r="R1" s="632"/>
      <c r="S1" s="632"/>
      <c r="T1" s="632"/>
      <c r="U1" s="632"/>
      <c r="V1" s="632"/>
      <c r="W1" s="632"/>
      <c r="X1" s="632"/>
      <c r="Y1" s="632"/>
      <c r="Z1" s="632"/>
      <c r="AA1" s="632"/>
      <c r="AB1" s="632"/>
      <c r="AC1" s="632"/>
      <c r="AD1" s="632"/>
      <c r="AE1" s="632"/>
      <c r="AF1" s="633"/>
      <c r="AG1" s="354"/>
      <c r="AH1" s="354"/>
    </row>
    <row r="2" spans="1:34">
      <c r="A2" s="355" t="s">
        <v>1349</v>
      </c>
      <c r="B2" s="356"/>
      <c r="C2" s="357" t="s">
        <v>285</v>
      </c>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9"/>
      <c r="AG2" s="354"/>
      <c r="AH2" s="354"/>
    </row>
    <row r="3" spans="1:34">
      <c r="A3" s="360" t="s">
        <v>1350</v>
      </c>
      <c r="B3" s="360"/>
      <c r="C3" s="361" t="s">
        <v>1351</v>
      </c>
      <c r="D3" s="362"/>
      <c r="E3" s="362"/>
      <c r="F3" s="362"/>
      <c r="G3" s="362"/>
      <c r="H3" s="362"/>
      <c r="I3" s="362"/>
      <c r="J3" s="362"/>
      <c r="K3" s="362"/>
      <c r="L3" s="362"/>
      <c r="M3" s="362"/>
      <c r="N3" s="362"/>
      <c r="O3" s="362"/>
      <c r="P3" s="362"/>
      <c r="Q3" s="362"/>
      <c r="R3" s="362"/>
      <c r="S3" s="362"/>
      <c r="T3" s="362"/>
      <c r="U3" s="362"/>
      <c r="V3" s="362"/>
      <c r="W3" s="362"/>
      <c r="X3" s="362"/>
      <c r="Y3" s="362"/>
      <c r="Z3" s="362"/>
      <c r="AA3" s="362"/>
      <c r="AB3" s="362"/>
      <c r="AC3" s="362"/>
      <c r="AD3" s="362"/>
      <c r="AE3" s="362"/>
      <c r="AF3" s="363"/>
      <c r="AG3" s="354"/>
      <c r="AH3" s="354"/>
    </row>
    <row r="4" spans="1:34">
      <c r="A4" s="360" t="s">
        <v>1352</v>
      </c>
      <c r="B4" s="360"/>
      <c r="C4" s="361" t="s">
        <v>1087</v>
      </c>
      <c r="D4" s="362"/>
      <c r="E4" s="362"/>
      <c r="F4" s="362"/>
      <c r="G4" s="362"/>
      <c r="H4" s="362"/>
      <c r="I4" s="362"/>
      <c r="J4" s="362"/>
      <c r="K4" s="362"/>
      <c r="L4" s="362"/>
      <c r="M4" s="362"/>
      <c r="N4" s="362"/>
      <c r="O4" s="362"/>
      <c r="P4" s="362"/>
      <c r="Q4" s="362"/>
      <c r="R4" s="362"/>
      <c r="S4" s="362"/>
      <c r="T4" s="362"/>
      <c r="U4" s="362"/>
      <c r="V4" s="362"/>
      <c r="W4" s="362"/>
      <c r="X4" s="362"/>
      <c r="Y4" s="362"/>
      <c r="Z4" s="362"/>
      <c r="AA4" s="362"/>
      <c r="AB4" s="362"/>
      <c r="AC4" s="362"/>
      <c r="AD4" s="362"/>
      <c r="AE4" s="362"/>
      <c r="AF4" s="363"/>
      <c r="AG4" s="354"/>
      <c r="AH4" s="354"/>
    </row>
    <row r="5" spans="1:34">
      <c r="A5" s="364" t="s">
        <v>1353</v>
      </c>
      <c r="B5" s="364"/>
      <c r="C5" s="361" t="s">
        <v>1354</v>
      </c>
      <c r="D5" s="362"/>
      <c r="E5" s="362"/>
      <c r="F5" s="362"/>
      <c r="G5" s="362"/>
      <c r="H5" s="362"/>
      <c r="I5" s="362"/>
      <c r="J5" s="362"/>
      <c r="K5" s="362"/>
      <c r="L5" s="362"/>
      <c r="M5" s="362"/>
      <c r="N5" s="362"/>
      <c r="O5" s="362"/>
      <c r="P5" s="362"/>
      <c r="Q5" s="362"/>
      <c r="R5" s="362"/>
      <c r="S5" s="362"/>
      <c r="T5" s="362"/>
      <c r="U5" s="362"/>
      <c r="V5" s="362"/>
      <c r="W5" s="362"/>
      <c r="X5" s="362"/>
      <c r="Y5" s="362"/>
      <c r="Z5" s="362"/>
      <c r="AA5" s="362"/>
      <c r="AB5" s="362"/>
      <c r="AC5" s="362"/>
      <c r="AD5" s="362"/>
      <c r="AE5" s="362"/>
      <c r="AF5" s="363"/>
      <c r="AG5" s="354"/>
      <c r="AH5" s="354"/>
    </row>
    <row r="6" spans="1:34">
      <c r="A6" s="365" t="s">
        <v>1355</v>
      </c>
      <c r="B6" s="366"/>
      <c r="C6" s="367" t="s">
        <v>1356</v>
      </c>
      <c r="D6" s="368"/>
      <c r="E6" s="368"/>
      <c r="F6" s="368"/>
      <c r="G6" s="368"/>
      <c r="H6" s="368"/>
      <c r="I6" s="368"/>
      <c r="J6" s="368"/>
      <c r="K6" s="368"/>
      <c r="L6" s="368"/>
      <c r="M6" s="368"/>
      <c r="N6" s="368"/>
      <c r="O6" s="368"/>
      <c r="P6" s="368"/>
      <c r="Q6" s="368"/>
      <c r="R6" s="368"/>
      <c r="S6" s="368"/>
      <c r="T6" s="368"/>
      <c r="U6" s="368"/>
      <c r="V6" s="368"/>
      <c r="W6" s="368"/>
      <c r="X6" s="368"/>
      <c r="Y6" s="368"/>
      <c r="Z6" s="368"/>
      <c r="AA6" s="368"/>
      <c r="AB6" s="368"/>
      <c r="AC6" s="368"/>
      <c r="AD6" s="368"/>
      <c r="AE6" s="368"/>
      <c r="AF6" s="369"/>
      <c r="AG6" s="354"/>
      <c r="AH6" s="354"/>
    </row>
    <row r="7" spans="1:34" ht="24" customHeight="1">
      <c r="A7" s="370"/>
      <c r="B7" s="716" t="s">
        <v>1357</v>
      </c>
      <c r="C7" s="635"/>
      <c r="D7" s="635"/>
      <c r="E7" s="635"/>
      <c r="F7" s="636"/>
      <c r="G7" s="712" t="s">
        <v>1358</v>
      </c>
      <c r="H7" s="632"/>
      <c r="I7" s="632"/>
      <c r="J7" s="632"/>
      <c r="K7" s="632"/>
      <c r="L7" s="632"/>
      <c r="M7" s="632"/>
      <c r="N7" s="632"/>
      <c r="O7" s="632"/>
      <c r="P7" s="632"/>
      <c r="Q7" s="633"/>
      <c r="R7" s="719" t="s">
        <v>1359</v>
      </c>
      <c r="S7" s="632"/>
      <c r="T7" s="632"/>
      <c r="U7" s="632"/>
      <c r="V7" s="633"/>
      <c r="W7" s="720" t="s">
        <v>1360</v>
      </c>
      <c r="X7" s="632"/>
      <c r="Y7" s="632"/>
      <c r="Z7" s="633"/>
      <c r="AA7" s="721" t="s">
        <v>1361</v>
      </c>
      <c r="AB7" s="632"/>
      <c r="AC7" s="661"/>
      <c r="AD7" s="371" t="s">
        <v>1359</v>
      </c>
      <c r="AE7" s="722" t="s">
        <v>88</v>
      </c>
      <c r="AF7" s="723" t="s">
        <v>1362</v>
      </c>
      <c r="AG7" s="354"/>
      <c r="AH7" s="354"/>
    </row>
    <row r="8" spans="1:34" ht="21.75" customHeight="1">
      <c r="A8" s="372"/>
      <c r="B8" s="717"/>
      <c r="C8" s="530"/>
      <c r="D8" s="530"/>
      <c r="E8" s="530"/>
      <c r="F8" s="718"/>
      <c r="G8" s="713" t="s">
        <v>1363</v>
      </c>
      <c r="H8" s="515"/>
      <c r="I8" s="515"/>
      <c r="J8" s="515"/>
      <c r="K8" s="515"/>
      <c r="L8" s="515"/>
      <c r="M8" s="515"/>
      <c r="N8" s="515"/>
      <c r="O8" s="515"/>
      <c r="P8" s="515"/>
      <c r="Q8" s="515"/>
      <c r="R8" s="515"/>
      <c r="S8" s="515"/>
      <c r="T8" s="515"/>
      <c r="U8" s="515"/>
      <c r="V8" s="515"/>
      <c r="W8" s="515"/>
      <c r="X8" s="515"/>
      <c r="Y8" s="515"/>
      <c r="Z8" s="515"/>
      <c r="AA8" s="515"/>
      <c r="AB8" s="515"/>
      <c r="AC8" s="515"/>
      <c r="AD8" s="714"/>
      <c r="AE8" s="637"/>
      <c r="AF8" s="724"/>
      <c r="AG8" s="354"/>
      <c r="AH8" s="354"/>
    </row>
    <row r="9" spans="1:34" ht="87.75" customHeight="1">
      <c r="A9" s="372" t="s">
        <v>1364</v>
      </c>
      <c r="B9" s="373" t="s">
        <v>1365</v>
      </c>
      <c r="C9" s="374" t="s">
        <v>1366</v>
      </c>
      <c r="D9" s="375" t="s">
        <v>1367</v>
      </c>
      <c r="E9" s="375" t="s">
        <v>1368</v>
      </c>
      <c r="F9" s="376" t="s">
        <v>1369</v>
      </c>
      <c r="G9" s="377" t="s">
        <v>1370</v>
      </c>
      <c r="H9" s="378" t="s">
        <v>1371</v>
      </c>
      <c r="I9" s="379" t="s">
        <v>1372</v>
      </c>
      <c r="J9" s="379" t="s">
        <v>1373</v>
      </c>
      <c r="K9" s="379" t="s">
        <v>1374</v>
      </c>
      <c r="L9" s="379" t="s">
        <v>1375</v>
      </c>
      <c r="M9" s="379" t="s">
        <v>1376</v>
      </c>
      <c r="N9" s="379" t="s">
        <v>1377</v>
      </c>
      <c r="O9" s="379" t="s">
        <v>1378</v>
      </c>
      <c r="P9" s="379" t="s">
        <v>1379</v>
      </c>
      <c r="Q9" s="380" t="s">
        <v>1380</v>
      </c>
      <c r="R9" s="381" t="s">
        <v>1381</v>
      </c>
      <c r="S9" s="382" t="s">
        <v>1382</v>
      </c>
      <c r="T9" s="382" t="s">
        <v>958</v>
      </c>
      <c r="U9" s="383" t="s">
        <v>1383</v>
      </c>
      <c r="V9" s="384" t="s">
        <v>1384</v>
      </c>
      <c r="W9" s="385" t="s">
        <v>1385</v>
      </c>
      <c r="X9" s="386" t="s">
        <v>1386</v>
      </c>
      <c r="Y9" s="386" t="s">
        <v>1387</v>
      </c>
      <c r="Z9" s="387" t="s">
        <v>1388</v>
      </c>
      <c r="AA9" s="388" t="s">
        <v>1389</v>
      </c>
      <c r="AB9" s="389" t="s">
        <v>1390</v>
      </c>
      <c r="AC9" s="390" t="s">
        <v>1391</v>
      </c>
      <c r="AD9" s="391" t="s">
        <v>1392</v>
      </c>
      <c r="AE9" s="717"/>
      <c r="AF9" s="392" t="s">
        <v>1393</v>
      </c>
      <c r="AG9" s="393" t="s">
        <v>1394</v>
      </c>
      <c r="AH9" s="394" t="s">
        <v>1395</v>
      </c>
    </row>
    <row r="10" spans="1:34">
      <c r="A10" s="395">
        <v>1</v>
      </c>
      <c r="B10" s="396" t="s">
        <v>529</v>
      </c>
      <c r="C10" s="397" t="s">
        <v>1396</v>
      </c>
      <c r="D10" s="398"/>
      <c r="E10" s="398">
        <v>1</v>
      </c>
      <c r="F10" s="398" t="s">
        <v>1397</v>
      </c>
      <c r="G10" s="399">
        <v>200</v>
      </c>
      <c r="H10" s="400">
        <v>1</v>
      </c>
      <c r="I10" s="401">
        <v>0</v>
      </c>
      <c r="J10" s="402">
        <v>0</v>
      </c>
      <c r="K10" s="402">
        <v>0</v>
      </c>
      <c r="L10" s="402">
        <v>0</v>
      </c>
      <c r="M10" s="402">
        <v>0</v>
      </c>
      <c r="N10" s="402">
        <v>0</v>
      </c>
      <c r="O10" s="402">
        <v>0</v>
      </c>
      <c r="P10" s="402">
        <v>0</v>
      </c>
      <c r="Q10" s="402">
        <v>0</v>
      </c>
      <c r="R10" s="402">
        <v>0</v>
      </c>
      <c r="S10" s="402">
        <v>0</v>
      </c>
      <c r="T10" s="402">
        <v>0</v>
      </c>
      <c r="U10" s="402">
        <v>0</v>
      </c>
      <c r="V10" s="402">
        <v>0</v>
      </c>
      <c r="W10" s="402">
        <v>0</v>
      </c>
      <c r="X10" s="402">
        <v>0</v>
      </c>
      <c r="Y10" s="402">
        <v>1</v>
      </c>
      <c r="Z10" s="402">
        <v>0</v>
      </c>
      <c r="AA10" s="402">
        <v>0</v>
      </c>
      <c r="AB10" s="402">
        <v>1</v>
      </c>
      <c r="AC10" s="402">
        <v>0</v>
      </c>
      <c r="AD10" s="403"/>
      <c r="AE10" s="403"/>
      <c r="AF10" s="404"/>
      <c r="AG10" s="405">
        <v>42859</v>
      </c>
      <c r="AH10" s="406">
        <v>0.38605324074074071</v>
      </c>
    </row>
    <row r="11" spans="1:34">
      <c r="A11" s="407">
        <v>2</v>
      </c>
      <c r="B11" s="408" t="s">
        <v>529</v>
      </c>
      <c r="C11" s="408" t="s">
        <v>1396</v>
      </c>
      <c r="D11" s="400"/>
      <c r="E11" s="400">
        <v>2</v>
      </c>
      <c r="F11" s="400" t="s">
        <v>1397</v>
      </c>
      <c r="G11" s="409">
        <v>200</v>
      </c>
      <c r="H11" s="400">
        <v>1</v>
      </c>
      <c r="I11" s="410">
        <v>0</v>
      </c>
      <c r="J11" s="410">
        <v>0</v>
      </c>
      <c r="K11" s="410">
        <v>0</v>
      </c>
      <c r="L11" s="410">
        <v>0</v>
      </c>
      <c r="M11" s="410">
        <v>0</v>
      </c>
      <c r="N11" s="410">
        <v>0</v>
      </c>
      <c r="O11" s="410">
        <v>0</v>
      </c>
      <c r="P11" s="410">
        <v>0</v>
      </c>
      <c r="Q11" s="410">
        <v>0</v>
      </c>
      <c r="R11" s="411">
        <v>0</v>
      </c>
      <c r="S11" s="411">
        <v>0</v>
      </c>
      <c r="T11" s="411">
        <v>0</v>
      </c>
      <c r="U11" s="411">
        <v>0</v>
      </c>
      <c r="V11" s="411">
        <v>0</v>
      </c>
      <c r="W11" s="411">
        <v>0</v>
      </c>
      <c r="X11" s="411">
        <v>0</v>
      </c>
      <c r="Y11" s="411">
        <v>1</v>
      </c>
      <c r="Z11" s="411">
        <v>0</v>
      </c>
      <c r="AA11" s="411">
        <v>0</v>
      </c>
      <c r="AB11" s="411">
        <v>1</v>
      </c>
      <c r="AC11" s="400">
        <v>0</v>
      </c>
      <c r="AD11" s="408"/>
      <c r="AE11" s="408"/>
      <c r="AF11" s="412"/>
      <c r="AG11" s="405">
        <v>42859</v>
      </c>
      <c r="AH11" s="406">
        <v>0.38612268518518517</v>
      </c>
    </row>
    <row r="12" spans="1:34">
      <c r="A12" s="407">
        <v>3</v>
      </c>
      <c r="B12" s="408" t="s">
        <v>529</v>
      </c>
      <c r="C12" s="408" t="s">
        <v>1396</v>
      </c>
      <c r="D12" s="400"/>
      <c r="E12" s="400">
        <v>3</v>
      </c>
      <c r="F12" s="400" t="s">
        <v>1397</v>
      </c>
      <c r="G12" s="399">
        <v>200</v>
      </c>
      <c r="H12" s="400">
        <v>1</v>
      </c>
      <c r="I12" s="410">
        <v>0</v>
      </c>
      <c r="J12" s="410">
        <v>0</v>
      </c>
      <c r="K12" s="410">
        <v>0</v>
      </c>
      <c r="L12" s="410">
        <v>0</v>
      </c>
      <c r="M12" s="410">
        <v>0</v>
      </c>
      <c r="N12" s="410">
        <v>0</v>
      </c>
      <c r="O12" s="410">
        <v>0</v>
      </c>
      <c r="P12" s="410">
        <v>0</v>
      </c>
      <c r="Q12" s="410">
        <v>0</v>
      </c>
      <c r="R12" s="411">
        <v>0</v>
      </c>
      <c r="S12" s="411">
        <v>0</v>
      </c>
      <c r="T12" s="411">
        <v>0</v>
      </c>
      <c r="U12" s="411">
        <v>0</v>
      </c>
      <c r="V12" s="411">
        <v>0</v>
      </c>
      <c r="W12" s="411">
        <v>0</v>
      </c>
      <c r="X12" s="411">
        <v>0</v>
      </c>
      <c r="Y12" s="411">
        <v>1</v>
      </c>
      <c r="Z12" s="411">
        <v>0</v>
      </c>
      <c r="AA12" s="411">
        <v>0</v>
      </c>
      <c r="AB12" s="411">
        <v>1</v>
      </c>
      <c r="AC12" s="400">
        <v>0</v>
      </c>
      <c r="AD12" s="408"/>
      <c r="AE12" s="408"/>
      <c r="AF12" s="412"/>
      <c r="AG12" s="405">
        <v>42859</v>
      </c>
      <c r="AH12" s="406">
        <v>0.38619212962962962</v>
      </c>
    </row>
    <row r="13" spans="1:34">
      <c r="A13" s="407">
        <v>4</v>
      </c>
      <c r="B13" s="408" t="s">
        <v>529</v>
      </c>
      <c r="C13" s="408" t="s">
        <v>1396</v>
      </c>
      <c r="D13" s="400"/>
      <c r="E13" s="400">
        <v>4</v>
      </c>
      <c r="F13" s="400" t="s">
        <v>1397</v>
      </c>
      <c r="G13" s="409">
        <v>200</v>
      </c>
      <c r="H13" s="400">
        <v>1</v>
      </c>
      <c r="I13" s="410">
        <v>0</v>
      </c>
      <c r="J13" s="410">
        <v>0</v>
      </c>
      <c r="K13" s="410">
        <v>0</v>
      </c>
      <c r="L13" s="410">
        <v>0</v>
      </c>
      <c r="M13" s="410">
        <v>0</v>
      </c>
      <c r="N13" s="410">
        <v>0</v>
      </c>
      <c r="O13" s="410">
        <v>0</v>
      </c>
      <c r="P13" s="410">
        <v>0</v>
      </c>
      <c r="Q13" s="410">
        <v>0</v>
      </c>
      <c r="R13" s="411">
        <v>0</v>
      </c>
      <c r="S13" s="411">
        <v>0</v>
      </c>
      <c r="T13" s="411">
        <v>0</v>
      </c>
      <c r="U13" s="411">
        <v>0</v>
      </c>
      <c r="V13" s="411">
        <v>0</v>
      </c>
      <c r="W13" s="411">
        <v>0</v>
      </c>
      <c r="X13" s="411">
        <v>0</v>
      </c>
      <c r="Y13" s="411">
        <v>1</v>
      </c>
      <c r="Z13" s="411">
        <v>0</v>
      </c>
      <c r="AA13" s="411">
        <v>0</v>
      </c>
      <c r="AB13" s="411">
        <v>1</v>
      </c>
      <c r="AC13" s="400">
        <v>0</v>
      </c>
      <c r="AD13" s="408"/>
      <c r="AE13" s="408"/>
      <c r="AF13" s="412"/>
      <c r="AG13" s="405">
        <v>42859</v>
      </c>
      <c r="AH13" s="406">
        <v>0.38623842592592594</v>
      </c>
    </row>
    <row r="14" spans="1:34">
      <c r="A14" s="407">
        <v>5</v>
      </c>
      <c r="B14" s="408" t="s">
        <v>529</v>
      </c>
      <c r="C14" s="408" t="s">
        <v>1396</v>
      </c>
      <c r="D14" s="400"/>
      <c r="E14" s="400">
        <v>5</v>
      </c>
      <c r="F14" s="400" t="s">
        <v>1397</v>
      </c>
      <c r="G14" s="399">
        <v>200</v>
      </c>
      <c r="H14" s="400">
        <v>1</v>
      </c>
      <c r="I14" s="410">
        <v>0</v>
      </c>
      <c r="J14" s="410">
        <v>0</v>
      </c>
      <c r="K14" s="410">
        <v>0</v>
      </c>
      <c r="L14" s="410">
        <v>0</v>
      </c>
      <c r="M14" s="410">
        <v>0</v>
      </c>
      <c r="N14" s="410">
        <v>0</v>
      </c>
      <c r="O14" s="410">
        <v>0</v>
      </c>
      <c r="P14" s="410">
        <v>0</v>
      </c>
      <c r="Q14" s="410">
        <v>0</v>
      </c>
      <c r="R14" s="411">
        <v>0</v>
      </c>
      <c r="S14" s="411">
        <v>0</v>
      </c>
      <c r="T14" s="411">
        <v>0</v>
      </c>
      <c r="U14" s="411">
        <v>0</v>
      </c>
      <c r="V14" s="411">
        <v>0</v>
      </c>
      <c r="W14" s="411">
        <v>0</v>
      </c>
      <c r="X14" s="411">
        <v>0</v>
      </c>
      <c r="Y14" s="411">
        <v>1</v>
      </c>
      <c r="Z14" s="411">
        <v>0</v>
      </c>
      <c r="AA14" s="411">
        <v>0</v>
      </c>
      <c r="AB14" s="411">
        <v>1</v>
      </c>
      <c r="AC14" s="400">
        <v>0</v>
      </c>
      <c r="AD14" s="408"/>
      <c r="AE14" s="408"/>
      <c r="AF14" s="412"/>
      <c r="AG14" s="405">
        <v>42859</v>
      </c>
      <c r="AH14" s="406">
        <v>0.3863078703703704</v>
      </c>
    </row>
    <row r="15" spans="1:34">
      <c r="A15" s="407">
        <v>6</v>
      </c>
      <c r="B15" s="408" t="s">
        <v>529</v>
      </c>
      <c r="C15" s="408" t="s">
        <v>1396</v>
      </c>
      <c r="D15" s="400"/>
      <c r="E15" s="400">
        <v>6</v>
      </c>
      <c r="F15" s="400" t="s">
        <v>1397</v>
      </c>
      <c r="G15" s="409">
        <v>200</v>
      </c>
      <c r="H15" s="400">
        <v>1</v>
      </c>
      <c r="I15" s="410">
        <v>0</v>
      </c>
      <c r="J15" s="410">
        <v>0</v>
      </c>
      <c r="K15" s="410">
        <v>0</v>
      </c>
      <c r="L15" s="410">
        <v>0</v>
      </c>
      <c r="M15" s="410">
        <v>0</v>
      </c>
      <c r="N15" s="410">
        <v>0</v>
      </c>
      <c r="O15" s="410">
        <v>0</v>
      </c>
      <c r="P15" s="410">
        <v>0</v>
      </c>
      <c r="Q15" s="410">
        <v>0</v>
      </c>
      <c r="R15" s="411">
        <v>0</v>
      </c>
      <c r="S15" s="411">
        <v>0</v>
      </c>
      <c r="T15" s="411">
        <v>0</v>
      </c>
      <c r="U15" s="411">
        <v>0</v>
      </c>
      <c r="V15" s="411">
        <v>0</v>
      </c>
      <c r="W15" s="411">
        <v>0</v>
      </c>
      <c r="X15" s="411">
        <v>0</v>
      </c>
      <c r="Y15" s="411">
        <v>1</v>
      </c>
      <c r="Z15" s="411">
        <v>0</v>
      </c>
      <c r="AA15" s="411">
        <v>0</v>
      </c>
      <c r="AB15" s="411">
        <v>1</v>
      </c>
      <c r="AC15" s="400">
        <v>0</v>
      </c>
      <c r="AD15" s="408"/>
      <c r="AE15" s="408"/>
      <c r="AF15" s="412"/>
      <c r="AG15" s="405">
        <v>42859</v>
      </c>
      <c r="AH15" s="406">
        <v>0.38635416666666672</v>
      </c>
    </row>
    <row r="16" spans="1:34">
      <c r="A16" s="407">
        <v>7</v>
      </c>
      <c r="B16" s="408" t="s">
        <v>529</v>
      </c>
      <c r="C16" s="408" t="s">
        <v>1396</v>
      </c>
      <c r="D16" s="400"/>
      <c r="E16" s="400">
        <v>7</v>
      </c>
      <c r="F16" s="400" t="s">
        <v>1397</v>
      </c>
      <c r="G16" s="409">
        <v>200</v>
      </c>
      <c r="H16" s="400">
        <v>1</v>
      </c>
      <c r="I16" s="410">
        <v>0</v>
      </c>
      <c r="J16" s="410">
        <v>0</v>
      </c>
      <c r="K16" s="410">
        <v>0</v>
      </c>
      <c r="L16" s="410">
        <v>0</v>
      </c>
      <c r="M16" s="410">
        <v>0</v>
      </c>
      <c r="N16" s="410">
        <v>0</v>
      </c>
      <c r="O16" s="410">
        <v>0</v>
      </c>
      <c r="P16" s="410">
        <v>0</v>
      </c>
      <c r="Q16" s="410">
        <v>0</v>
      </c>
      <c r="R16" s="411">
        <v>0</v>
      </c>
      <c r="S16" s="411">
        <v>0</v>
      </c>
      <c r="T16" s="411">
        <v>0</v>
      </c>
      <c r="U16" s="411">
        <v>0</v>
      </c>
      <c r="V16" s="411">
        <v>0</v>
      </c>
      <c r="W16" s="411">
        <v>0</v>
      </c>
      <c r="X16" s="411">
        <v>0</v>
      </c>
      <c r="Y16" s="411">
        <v>1</v>
      </c>
      <c r="Z16" s="411">
        <v>0</v>
      </c>
      <c r="AA16" s="411">
        <v>0</v>
      </c>
      <c r="AB16" s="411">
        <v>1</v>
      </c>
      <c r="AC16" s="400">
        <v>0</v>
      </c>
      <c r="AD16" s="408"/>
      <c r="AE16" s="408"/>
      <c r="AF16" s="412"/>
      <c r="AG16" s="405">
        <v>42859</v>
      </c>
      <c r="AH16" s="406">
        <v>0.38642361111111106</v>
      </c>
    </row>
    <row r="17" spans="1:34">
      <c r="A17" s="407">
        <v>8</v>
      </c>
      <c r="B17" s="408" t="s">
        <v>529</v>
      </c>
      <c r="C17" s="408" t="s">
        <v>1396</v>
      </c>
      <c r="D17" s="400"/>
      <c r="E17" s="400">
        <v>8</v>
      </c>
      <c r="F17" s="400" t="s">
        <v>1397</v>
      </c>
      <c r="G17" s="409">
        <v>200</v>
      </c>
      <c r="H17" s="400">
        <v>1</v>
      </c>
      <c r="I17" s="410">
        <v>0</v>
      </c>
      <c r="J17" s="410">
        <v>0</v>
      </c>
      <c r="K17" s="410">
        <v>0</v>
      </c>
      <c r="L17" s="410">
        <v>0</v>
      </c>
      <c r="M17" s="410">
        <v>0</v>
      </c>
      <c r="N17" s="410">
        <v>0</v>
      </c>
      <c r="O17" s="410">
        <v>0</v>
      </c>
      <c r="P17" s="410">
        <v>0</v>
      </c>
      <c r="Q17" s="410">
        <v>0</v>
      </c>
      <c r="R17" s="411">
        <v>0</v>
      </c>
      <c r="S17" s="411">
        <v>0</v>
      </c>
      <c r="T17" s="411">
        <v>0</v>
      </c>
      <c r="U17" s="411">
        <v>0</v>
      </c>
      <c r="V17" s="411">
        <v>0</v>
      </c>
      <c r="W17" s="411">
        <v>0</v>
      </c>
      <c r="X17" s="411">
        <v>0</v>
      </c>
      <c r="Y17" s="411">
        <v>1</v>
      </c>
      <c r="Z17" s="411">
        <v>0</v>
      </c>
      <c r="AA17" s="411">
        <v>0</v>
      </c>
      <c r="AB17" s="411">
        <v>1</v>
      </c>
      <c r="AC17" s="400">
        <v>0</v>
      </c>
      <c r="AD17" s="408"/>
      <c r="AE17" s="408"/>
      <c r="AF17" s="412"/>
      <c r="AG17" s="405">
        <v>42859</v>
      </c>
      <c r="AH17" s="406">
        <v>0.38648148148148148</v>
      </c>
    </row>
    <row r="18" spans="1:34">
      <c r="A18" s="407">
        <v>9</v>
      </c>
      <c r="B18" s="408" t="s">
        <v>529</v>
      </c>
      <c r="C18" s="408" t="s">
        <v>1396</v>
      </c>
      <c r="D18" s="400"/>
      <c r="E18" s="400">
        <v>9</v>
      </c>
      <c r="F18" s="400" t="s">
        <v>1397</v>
      </c>
      <c r="G18" s="409">
        <v>200</v>
      </c>
      <c r="H18" s="400">
        <v>1</v>
      </c>
      <c r="I18" s="410">
        <v>0</v>
      </c>
      <c r="J18" s="410">
        <v>0</v>
      </c>
      <c r="K18" s="410">
        <v>0</v>
      </c>
      <c r="L18" s="410">
        <v>0</v>
      </c>
      <c r="M18" s="410">
        <v>0</v>
      </c>
      <c r="N18" s="410">
        <v>0</v>
      </c>
      <c r="O18" s="410">
        <v>0</v>
      </c>
      <c r="P18" s="410">
        <v>0</v>
      </c>
      <c r="Q18" s="410">
        <v>0</v>
      </c>
      <c r="R18" s="411">
        <v>0</v>
      </c>
      <c r="S18" s="411">
        <v>0</v>
      </c>
      <c r="T18" s="411">
        <v>0</v>
      </c>
      <c r="U18" s="411">
        <v>0</v>
      </c>
      <c r="V18" s="411">
        <v>0</v>
      </c>
      <c r="W18" s="411">
        <v>0</v>
      </c>
      <c r="X18" s="411">
        <v>0</v>
      </c>
      <c r="Y18" s="411">
        <v>1</v>
      </c>
      <c r="Z18" s="411">
        <v>0</v>
      </c>
      <c r="AA18" s="411">
        <v>0</v>
      </c>
      <c r="AB18" s="411">
        <v>1</v>
      </c>
      <c r="AC18" s="400">
        <v>0</v>
      </c>
      <c r="AD18" s="408"/>
      <c r="AE18" s="408"/>
      <c r="AF18" s="412"/>
      <c r="AG18" s="405">
        <v>42859</v>
      </c>
      <c r="AH18" s="406">
        <v>0.3865277777777778</v>
      </c>
    </row>
    <row r="19" spans="1:34">
      <c r="A19" s="407">
        <v>10</v>
      </c>
      <c r="B19" s="408" t="s">
        <v>529</v>
      </c>
      <c r="C19" s="408" t="s">
        <v>1396</v>
      </c>
      <c r="D19" s="400"/>
      <c r="E19" s="400">
        <v>10</v>
      </c>
      <c r="F19" s="400" t="s">
        <v>1397</v>
      </c>
      <c r="G19" s="409">
        <v>200</v>
      </c>
      <c r="H19" s="400">
        <v>1</v>
      </c>
      <c r="I19" s="410">
        <v>0</v>
      </c>
      <c r="J19" s="410">
        <v>0</v>
      </c>
      <c r="K19" s="410">
        <v>0</v>
      </c>
      <c r="L19" s="410">
        <v>0</v>
      </c>
      <c r="M19" s="410">
        <v>0</v>
      </c>
      <c r="N19" s="410">
        <v>0</v>
      </c>
      <c r="O19" s="410">
        <v>0</v>
      </c>
      <c r="P19" s="410">
        <v>0</v>
      </c>
      <c r="Q19" s="410">
        <v>0</v>
      </c>
      <c r="R19" s="411">
        <v>0</v>
      </c>
      <c r="S19" s="411">
        <v>0</v>
      </c>
      <c r="T19" s="411">
        <v>0</v>
      </c>
      <c r="U19" s="411">
        <v>0</v>
      </c>
      <c r="V19" s="411">
        <v>0</v>
      </c>
      <c r="W19" s="411">
        <v>0</v>
      </c>
      <c r="X19" s="411">
        <v>0</v>
      </c>
      <c r="Y19" s="411">
        <v>0</v>
      </c>
      <c r="Z19" s="411">
        <v>1</v>
      </c>
      <c r="AA19" s="411">
        <v>0</v>
      </c>
      <c r="AB19" s="411">
        <v>1</v>
      </c>
      <c r="AC19" s="400">
        <v>0</v>
      </c>
      <c r="AD19" s="408"/>
      <c r="AE19" s="408"/>
      <c r="AF19" s="412"/>
      <c r="AG19" s="405">
        <v>42859</v>
      </c>
      <c r="AH19" s="406">
        <v>0.38658564814814816</v>
      </c>
    </row>
    <row r="20" spans="1:34">
      <c r="A20" s="407">
        <v>11</v>
      </c>
      <c r="B20" s="408" t="s">
        <v>529</v>
      </c>
      <c r="C20" s="408" t="s">
        <v>1396</v>
      </c>
      <c r="D20" s="400"/>
      <c r="E20" s="400">
        <v>11</v>
      </c>
      <c r="F20" s="400" t="s">
        <v>1397</v>
      </c>
      <c r="G20" s="409">
        <v>200</v>
      </c>
      <c r="H20" s="400">
        <v>1</v>
      </c>
      <c r="I20" s="410">
        <v>0</v>
      </c>
      <c r="J20" s="410">
        <v>0</v>
      </c>
      <c r="K20" s="410">
        <v>0</v>
      </c>
      <c r="L20" s="410">
        <v>0</v>
      </c>
      <c r="M20" s="410">
        <v>0</v>
      </c>
      <c r="N20" s="410">
        <v>0</v>
      </c>
      <c r="O20" s="410">
        <v>0</v>
      </c>
      <c r="P20" s="410">
        <v>0</v>
      </c>
      <c r="Q20" s="410">
        <v>0</v>
      </c>
      <c r="R20" s="411">
        <v>0</v>
      </c>
      <c r="S20" s="411">
        <v>0</v>
      </c>
      <c r="T20" s="411">
        <v>0</v>
      </c>
      <c r="U20" s="411">
        <v>0</v>
      </c>
      <c r="V20" s="411">
        <v>0</v>
      </c>
      <c r="W20" s="411">
        <v>0</v>
      </c>
      <c r="X20" s="411">
        <v>0</v>
      </c>
      <c r="Y20" s="411">
        <v>0</v>
      </c>
      <c r="Z20" s="411">
        <v>1</v>
      </c>
      <c r="AA20" s="411">
        <v>0</v>
      </c>
      <c r="AB20" s="411">
        <v>1</v>
      </c>
      <c r="AC20" s="400">
        <v>0</v>
      </c>
      <c r="AD20" s="408"/>
      <c r="AE20" s="408"/>
      <c r="AF20" s="412"/>
      <c r="AG20" s="405">
        <v>42859</v>
      </c>
      <c r="AH20" s="406">
        <v>0.38663194444444443</v>
      </c>
    </row>
    <row r="21" spans="1:34" ht="15.75" customHeight="1">
      <c r="A21" s="407">
        <v>12</v>
      </c>
      <c r="B21" s="408" t="s">
        <v>529</v>
      </c>
      <c r="C21" s="408" t="s">
        <v>1396</v>
      </c>
      <c r="D21" s="400"/>
      <c r="E21" s="400">
        <v>12</v>
      </c>
      <c r="F21" s="400" t="s">
        <v>1397</v>
      </c>
      <c r="G21" s="409">
        <v>200</v>
      </c>
      <c r="H21" s="400">
        <v>1</v>
      </c>
      <c r="I21" s="410">
        <v>0</v>
      </c>
      <c r="J21" s="410">
        <v>0</v>
      </c>
      <c r="K21" s="410">
        <v>0</v>
      </c>
      <c r="L21" s="410">
        <v>0</v>
      </c>
      <c r="M21" s="410">
        <v>0</v>
      </c>
      <c r="N21" s="410">
        <v>0</v>
      </c>
      <c r="O21" s="410">
        <v>0</v>
      </c>
      <c r="P21" s="410">
        <v>0</v>
      </c>
      <c r="Q21" s="410">
        <v>0</v>
      </c>
      <c r="R21" s="411">
        <v>0</v>
      </c>
      <c r="S21" s="411">
        <v>0</v>
      </c>
      <c r="T21" s="411">
        <v>0</v>
      </c>
      <c r="U21" s="411">
        <v>0</v>
      </c>
      <c r="V21" s="411">
        <v>0</v>
      </c>
      <c r="W21" s="411">
        <v>0</v>
      </c>
      <c r="X21" s="411">
        <v>0</v>
      </c>
      <c r="Y21" s="411">
        <v>0</v>
      </c>
      <c r="Z21" s="411">
        <v>1</v>
      </c>
      <c r="AA21" s="411">
        <v>0</v>
      </c>
      <c r="AB21" s="411">
        <v>1</v>
      </c>
      <c r="AC21" s="400">
        <v>0</v>
      </c>
      <c r="AD21" s="408"/>
      <c r="AE21" s="408"/>
      <c r="AF21" s="412"/>
      <c r="AG21" s="405">
        <v>42859</v>
      </c>
      <c r="AH21" s="406">
        <v>0.38668981481481479</v>
      </c>
    </row>
    <row r="22" spans="1:34" ht="15.75" customHeight="1">
      <c r="A22" s="407">
        <v>13</v>
      </c>
      <c r="B22" s="408" t="s">
        <v>529</v>
      </c>
      <c r="C22" s="408" t="s">
        <v>1396</v>
      </c>
      <c r="D22" s="400"/>
      <c r="E22" s="400">
        <v>13</v>
      </c>
      <c r="F22" s="400" t="s">
        <v>1397</v>
      </c>
      <c r="G22" s="409">
        <v>200</v>
      </c>
      <c r="H22" s="400">
        <v>1</v>
      </c>
      <c r="I22" s="410">
        <v>0</v>
      </c>
      <c r="J22" s="410">
        <v>0</v>
      </c>
      <c r="K22" s="410">
        <v>0</v>
      </c>
      <c r="L22" s="410">
        <v>0</v>
      </c>
      <c r="M22" s="410">
        <v>0</v>
      </c>
      <c r="N22" s="410">
        <v>0</v>
      </c>
      <c r="O22" s="410">
        <v>0</v>
      </c>
      <c r="P22" s="410">
        <v>0</v>
      </c>
      <c r="Q22" s="410">
        <v>0</v>
      </c>
      <c r="R22" s="411">
        <v>0</v>
      </c>
      <c r="S22" s="411">
        <v>0</v>
      </c>
      <c r="T22" s="411">
        <v>0</v>
      </c>
      <c r="U22" s="411">
        <v>0</v>
      </c>
      <c r="V22" s="411">
        <v>0</v>
      </c>
      <c r="W22" s="411">
        <v>0</v>
      </c>
      <c r="X22" s="411">
        <v>0</v>
      </c>
      <c r="Y22" s="411">
        <v>0</v>
      </c>
      <c r="Z22" s="411">
        <v>1</v>
      </c>
      <c r="AA22" s="411">
        <v>0</v>
      </c>
      <c r="AB22" s="411">
        <v>1</v>
      </c>
      <c r="AC22" s="400">
        <v>0</v>
      </c>
      <c r="AD22" s="408"/>
      <c r="AE22" s="408"/>
      <c r="AF22" s="412"/>
      <c r="AG22" s="405">
        <v>42859</v>
      </c>
      <c r="AH22" s="406">
        <v>0.38680555555555557</v>
      </c>
    </row>
    <row r="23" spans="1:34" ht="15.75" customHeight="1">
      <c r="A23" s="407">
        <v>14</v>
      </c>
      <c r="B23" s="408" t="s">
        <v>529</v>
      </c>
      <c r="C23" s="408" t="s">
        <v>1396</v>
      </c>
      <c r="D23" s="400"/>
      <c r="E23" s="400">
        <v>14</v>
      </c>
      <c r="F23" s="400" t="s">
        <v>1397</v>
      </c>
      <c r="G23" s="409">
        <v>200</v>
      </c>
      <c r="H23" s="400">
        <v>1</v>
      </c>
      <c r="I23" s="410">
        <v>0</v>
      </c>
      <c r="J23" s="410">
        <v>0</v>
      </c>
      <c r="K23" s="410">
        <v>0</v>
      </c>
      <c r="L23" s="410">
        <v>0</v>
      </c>
      <c r="M23" s="410">
        <v>0</v>
      </c>
      <c r="N23" s="410">
        <v>0</v>
      </c>
      <c r="O23" s="410">
        <v>0</v>
      </c>
      <c r="P23" s="410">
        <v>0</v>
      </c>
      <c r="Q23" s="410">
        <v>0</v>
      </c>
      <c r="R23" s="411">
        <v>0</v>
      </c>
      <c r="S23" s="411">
        <v>0</v>
      </c>
      <c r="T23" s="411">
        <v>0</v>
      </c>
      <c r="U23" s="411">
        <v>0</v>
      </c>
      <c r="V23" s="411">
        <v>0</v>
      </c>
      <c r="W23" s="411">
        <v>0</v>
      </c>
      <c r="X23" s="411">
        <v>0</v>
      </c>
      <c r="Y23" s="411">
        <v>0</v>
      </c>
      <c r="Z23" s="411">
        <v>1</v>
      </c>
      <c r="AA23" s="411">
        <v>0</v>
      </c>
      <c r="AB23" s="411">
        <v>1</v>
      </c>
      <c r="AC23" s="400">
        <v>0</v>
      </c>
      <c r="AD23" s="408"/>
      <c r="AE23" s="408"/>
      <c r="AF23" s="412"/>
      <c r="AG23" s="405">
        <v>42859</v>
      </c>
      <c r="AH23" s="406">
        <v>0.3868402777777778</v>
      </c>
    </row>
    <row r="24" spans="1:34" ht="15.75" customHeight="1">
      <c r="A24" s="407">
        <v>15</v>
      </c>
      <c r="B24" s="408" t="s">
        <v>529</v>
      </c>
      <c r="C24" s="408" t="s">
        <v>1396</v>
      </c>
      <c r="D24" s="400"/>
      <c r="E24" s="400">
        <v>15</v>
      </c>
      <c r="F24" s="400" t="s">
        <v>1397</v>
      </c>
      <c r="G24" s="409">
        <v>200</v>
      </c>
      <c r="H24" s="400">
        <v>1</v>
      </c>
      <c r="I24" s="410">
        <v>0</v>
      </c>
      <c r="J24" s="410">
        <v>0</v>
      </c>
      <c r="K24" s="410">
        <v>0</v>
      </c>
      <c r="L24" s="410">
        <v>0</v>
      </c>
      <c r="M24" s="410">
        <v>0</v>
      </c>
      <c r="N24" s="410">
        <v>0</v>
      </c>
      <c r="O24" s="410">
        <v>0</v>
      </c>
      <c r="P24" s="410">
        <v>0</v>
      </c>
      <c r="Q24" s="410">
        <v>0</v>
      </c>
      <c r="R24" s="411">
        <v>0</v>
      </c>
      <c r="S24" s="411">
        <v>0</v>
      </c>
      <c r="T24" s="411">
        <v>0</v>
      </c>
      <c r="U24" s="411">
        <v>0</v>
      </c>
      <c r="V24" s="411">
        <v>0</v>
      </c>
      <c r="W24" s="411">
        <v>0</v>
      </c>
      <c r="X24" s="411">
        <v>0</v>
      </c>
      <c r="Y24" s="411">
        <v>0</v>
      </c>
      <c r="Z24" s="411">
        <v>1</v>
      </c>
      <c r="AA24" s="411">
        <v>0</v>
      </c>
      <c r="AB24" s="411">
        <v>1</v>
      </c>
      <c r="AC24" s="400">
        <v>0</v>
      </c>
      <c r="AD24" s="408"/>
      <c r="AE24" s="408"/>
      <c r="AF24" s="412"/>
      <c r="AG24" s="405">
        <v>42859</v>
      </c>
      <c r="AH24" s="406">
        <v>0.38693287037037033</v>
      </c>
    </row>
    <row r="25" spans="1:34" ht="15.75" customHeight="1">
      <c r="A25" s="407">
        <v>16</v>
      </c>
      <c r="B25" s="408" t="s">
        <v>529</v>
      </c>
      <c r="C25" s="408" t="s">
        <v>1396</v>
      </c>
      <c r="D25" s="400"/>
      <c r="E25" s="400">
        <v>16</v>
      </c>
      <c r="F25" s="400" t="s">
        <v>1397</v>
      </c>
      <c r="G25" s="409">
        <v>200</v>
      </c>
      <c r="H25" s="400">
        <v>1</v>
      </c>
      <c r="I25" s="410">
        <v>0</v>
      </c>
      <c r="J25" s="410">
        <v>0</v>
      </c>
      <c r="K25" s="410">
        <v>0</v>
      </c>
      <c r="L25" s="410">
        <v>0</v>
      </c>
      <c r="M25" s="410">
        <v>0</v>
      </c>
      <c r="N25" s="410">
        <v>0</v>
      </c>
      <c r="O25" s="410">
        <v>0</v>
      </c>
      <c r="P25" s="410">
        <v>0</v>
      </c>
      <c r="Q25" s="410">
        <v>0</v>
      </c>
      <c r="R25" s="411">
        <v>0</v>
      </c>
      <c r="S25" s="411">
        <v>0</v>
      </c>
      <c r="T25" s="411">
        <v>0</v>
      </c>
      <c r="U25" s="411">
        <v>0</v>
      </c>
      <c r="V25" s="411">
        <v>0</v>
      </c>
      <c r="W25" s="411">
        <v>0</v>
      </c>
      <c r="X25" s="411">
        <v>0</v>
      </c>
      <c r="Y25" s="411">
        <v>0</v>
      </c>
      <c r="Z25" s="411">
        <v>1</v>
      </c>
      <c r="AA25" s="411">
        <v>0</v>
      </c>
      <c r="AB25" s="411">
        <v>1</v>
      </c>
      <c r="AC25" s="400">
        <v>0</v>
      </c>
      <c r="AD25" s="408"/>
      <c r="AE25" s="408"/>
      <c r="AF25" s="412"/>
      <c r="AG25" s="405">
        <v>42859</v>
      </c>
      <c r="AH25" s="406">
        <v>0.38702546296296297</v>
      </c>
    </row>
    <row r="26" spans="1:34" ht="15.75" customHeight="1">
      <c r="A26" s="407">
        <v>17</v>
      </c>
      <c r="B26" s="408" t="s">
        <v>529</v>
      </c>
      <c r="C26" s="408" t="s">
        <v>1396</v>
      </c>
      <c r="D26" s="400"/>
      <c r="E26" s="400">
        <v>17</v>
      </c>
      <c r="F26" s="400" t="s">
        <v>1397</v>
      </c>
      <c r="G26" s="409">
        <v>200</v>
      </c>
      <c r="H26" s="400">
        <v>1</v>
      </c>
      <c r="I26" s="410">
        <v>0</v>
      </c>
      <c r="J26" s="410">
        <v>0</v>
      </c>
      <c r="K26" s="410">
        <v>0</v>
      </c>
      <c r="L26" s="410">
        <v>0</v>
      </c>
      <c r="M26" s="410">
        <v>0</v>
      </c>
      <c r="N26" s="410">
        <v>0</v>
      </c>
      <c r="O26" s="410">
        <v>0</v>
      </c>
      <c r="P26" s="410">
        <v>0</v>
      </c>
      <c r="Q26" s="410">
        <v>0</v>
      </c>
      <c r="R26" s="411">
        <v>0</v>
      </c>
      <c r="S26" s="411">
        <v>0</v>
      </c>
      <c r="T26" s="411">
        <v>0</v>
      </c>
      <c r="U26" s="411">
        <v>0</v>
      </c>
      <c r="V26" s="411">
        <v>0</v>
      </c>
      <c r="W26" s="411">
        <v>0</v>
      </c>
      <c r="X26" s="411">
        <v>0</v>
      </c>
      <c r="Y26" s="411">
        <v>0</v>
      </c>
      <c r="Z26" s="411">
        <v>1</v>
      </c>
      <c r="AA26" s="411">
        <v>0</v>
      </c>
      <c r="AB26" s="411">
        <v>1</v>
      </c>
      <c r="AC26" s="400">
        <v>0</v>
      </c>
      <c r="AD26" s="408"/>
      <c r="AE26" s="408"/>
      <c r="AF26" s="412"/>
      <c r="AG26" s="405">
        <v>42859</v>
      </c>
      <c r="AH26" s="406">
        <v>0.38708333333333328</v>
      </c>
    </row>
    <row r="27" spans="1:34" ht="15.75" customHeight="1">
      <c r="A27" s="407">
        <v>18</v>
      </c>
      <c r="B27" s="408" t="s">
        <v>529</v>
      </c>
      <c r="C27" s="408" t="s">
        <v>1396</v>
      </c>
      <c r="D27" s="400"/>
      <c r="E27" s="400">
        <v>18</v>
      </c>
      <c r="F27" s="400" t="s">
        <v>1397</v>
      </c>
      <c r="G27" s="409">
        <v>200</v>
      </c>
      <c r="H27" s="400">
        <v>1</v>
      </c>
      <c r="I27" s="410">
        <v>0</v>
      </c>
      <c r="J27" s="410">
        <v>0</v>
      </c>
      <c r="K27" s="410">
        <v>0</v>
      </c>
      <c r="L27" s="410">
        <v>0</v>
      </c>
      <c r="M27" s="410">
        <v>0</v>
      </c>
      <c r="N27" s="410">
        <v>0</v>
      </c>
      <c r="O27" s="410">
        <v>0</v>
      </c>
      <c r="P27" s="410">
        <v>0</v>
      </c>
      <c r="Q27" s="410">
        <v>0</v>
      </c>
      <c r="R27" s="411">
        <v>0</v>
      </c>
      <c r="S27" s="411">
        <v>0</v>
      </c>
      <c r="T27" s="411">
        <v>0</v>
      </c>
      <c r="U27" s="411">
        <v>0</v>
      </c>
      <c r="V27" s="411">
        <v>0</v>
      </c>
      <c r="W27" s="411">
        <v>0</v>
      </c>
      <c r="X27" s="411">
        <v>0</v>
      </c>
      <c r="Y27" s="411">
        <v>0</v>
      </c>
      <c r="Z27" s="411">
        <v>1</v>
      </c>
      <c r="AA27" s="411">
        <v>0</v>
      </c>
      <c r="AB27" s="411">
        <v>1</v>
      </c>
      <c r="AC27" s="400">
        <v>0</v>
      </c>
      <c r="AD27" s="408"/>
      <c r="AE27" s="408"/>
      <c r="AF27" s="412"/>
      <c r="AG27" s="405">
        <v>42859</v>
      </c>
      <c r="AH27" s="406">
        <v>0.38710648148148147</v>
      </c>
    </row>
    <row r="28" spans="1:34" ht="15.75" customHeight="1">
      <c r="A28" s="407">
        <v>19</v>
      </c>
      <c r="B28" s="408" t="s">
        <v>529</v>
      </c>
      <c r="C28" s="408" t="s">
        <v>1396</v>
      </c>
      <c r="D28" s="400"/>
      <c r="E28" s="400">
        <v>19</v>
      </c>
      <c r="F28" s="400" t="s">
        <v>1397</v>
      </c>
      <c r="G28" s="409">
        <v>200</v>
      </c>
      <c r="H28" s="400">
        <v>1</v>
      </c>
      <c r="I28" s="410">
        <v>0</v>
      </c>
      <c r="J28" s="410">
        <v>0</v>
      </c>
      <c r="K28" s="410">
        <v>0</v>
      </c>
      <c r="L28" s="410">
        <v>0</v>
      </c>
      <c r="M28" s="410">
        <v>0</v>
      </c>
      <c r="N28" s="410">
        <v>0</v>
      </c>
      <c r="O28" s="410">
        <v>0</v>
      </c>
      <c r="P28" s="410">
        <v>0</v>
      </c>
      <c r="Q28" s="410">
        <v>0</v>
      </c>
      <c r="R28" s="411">
        <v>0</v>
      </c>
      <c r="S28" s="411">
        <v>0</v>
      </c>
      <c r="T28" s="411">
        <v>0</v>
      </c>
      <c r="U28" s="411">
        <v>0</v>
      </c>
      <c r="V28" s="411">
        <v>0</v>
      </c>
      <c r="W28" s="411">
        <v>0</v>
      </c>
      <c r="X28" s="411">
        <v>0</v>
      </c>
      <c r="Y28" s="411">
        <v>0</v>
      </c>
      <c r="Z28" s="411">
        <v>1</v>
      </c>
      <c r="AA28" s="411">
        <v>0</v>
      </c>
      <c r="AB28" s="411">
        <v>1</v>
      </c>
      <c r="AC28" s="400">
        <v>0</v>
      </c>
      <c r="AD28" s="408"/>
      <c r="AE28" s="408"/>
      <c r="AF28" s="412"/>
      <c r="AG28" s="405">
        <v>42859</v>
      </c>
      <c r="AH28" s="406">
        <v>0.38733796296296297</v>
      </c>
    </row>
    <row r="29" spans="1:34" ht="15.75" customHeight="1">
      <c r="A29" s="413">
        <v>20</v>
      </c>
      <c r="B29" s="414" t="s">
        <v>1398</v>
      </c>
      <c r="C29" s="415" t="s">
        <v>830</v>
      </c>
      <c r="D29" s="411">
        <v>1</v>
      </c>
      <c r="E29" s="411">
        <v>8</v>
      </c>
      <c r="F29" s="411" t="s">
        <v>1399</v>
      </c>
      <c r="G29" s="411">
        <v>200</v>
      </c>
      <c r="H29" s="411">
        <v>1</v>
      </c>
      <c r="I29" s="411">
        <v>0</v>
      </c>
      <c r="J29" s="411">
        <v>0</v>
      </c>
      <c r="K29" s="411">
        <v>0</v>
      </c>
      <c r="L29" s="411">
        <v>0</v>
      </c>
      <c r="M29" s="411">
        <v>0</v>
      </c>
      <c r="N29" s="411">
        <v>0</v>
      </c>
      <c r="O29" s="411">
        <v>0</v>
      </c>
      <c r="P29" s="411">
        <v>0</v>
      </c>
      <c r="Q29" s="411">
        <v>0</v>
      </c>
      <c r="R29" s="411">
        <v>0</v>
      </c>
      <c r="S29" s="411">
        <v>0</v>
      </c>
      <c r="T29" s="411">
        <v>0</v>
      </c>
      <c r="U29" s="411">
        <v>1</v>
      </c>
      <c r="V29" s="411">
        <v>0</v>
      </c>
      <c r="W29" s="411">
        <v>0</v>
      </c>
      <c r="X29" s="411">
        <v>0</v>
      </c>
      <c r="Y29" s="411">
        <v>0</v>
      </c>
      <c r="Z29" s="411">
        <v>1</v>
      </c>
      <c r="AA29" s="411">
        <v>1</v>
      </c>
      <c r="AB29" s="411">
        <v>1</v>
      </c>
      <c r="AC29" s="400">
        <v>0</v>
      </c>
      <c r="AD29" s="408"/>
      <c r="AE29" s="408"/>
      <c r="AF29" s="412"/>
      <c r="AG29" s="405">
        <v>42859</v>
      </c>
      <c r="AH29" s="406">
        <v>0.38750000000000001</v>
      </c>
    </row>
    <row r="30" spans="1:34" ht="15.75" customHeight="1">
      <c r="A30" s="413">
        <v>21</v>
      </c>
      <c r="B30" s="414" t="s">
        <v>1398</v>
      </c>
      <c r="C30" s="415" t="s">
        <v>830</v>
      </c>
      <c r="D30" s="411">
        <v>2</v>
      </c>
      <c r="E30" s="411">
        <v>8</v>
      </c>
      <c r="F30" s="411" t="s">
        <v>1399</v>
      </c>
      <c r="G30" s="411">
        <v>200</v>
      </c>
      <c r="H30" s="411">
        <v>1</v>
      </c>
      <c r="I30" s="411">
        <v>0</v>
      </c>
      <c r="J30" s="411">
        <v>0</v>
      </c>
      <c r="K30" s="411">
        <v>0</v>
      </c>
      <c r="L30" s="411">
        <v>0</v>
      </c>
      <c r="M30" s="411">
        <v>0</v>
      </c>
      <c r="N30" s="411">
        <v>0</v>
      </c>
      <c r="O30" s="411">
        <v>0</v>
      </c>
      <c r="P30" s="411">
        <v>0</v>
      </c>
      <c r="Q30" s="411">
        <v>0</v>
      </c>
      <c r="R30" s="411">
        <v>0</v>
      </c>
      <c r="S30" s="411">
        <v>0</v>
      </c>
      <c r="T30" s="411">
        <v>0</v>
      </c>
      <c r="U30" s="411">
        <v>1</v>
      </c>
      <c r="V30" s="411">
        <v>0</v>
      </c>
      <c r="W30" s="411">
        <v>0</v>
      </c>
      <c r="X30" s="411">
        <v>0</v>
      </c>
      <c r="Y30" s="411">
        <v>0</v>
      </c>
      <c r="Z30" s="411">
        <v>1</v>
      </c>
      <c r="AA30" s="411">
        <v>1</v>
      </c>
      <c r="AB30" s="411">
        <v>1</v>
      </c>
      <c r="AC30" s="400">
        <v>0</v>
      </c>
      <c r="AD30" s="408"/>
      <c r="AE30" s="408"/>
      <c r="AF30" s="412"/>
      <c r="AG30" s="405">
        <v>42859</v>
      </c>
      <c r="AH30" s="406">
        <v>0.38778935185185182</v>
      </c>
    </row>
    <row r="31" spans="1:34" ht="15.75" customHeight="1">
      <c r="A31" s="413">
        <v>22</v>
      </c>
      <c r="B31" s="414" t="s">
        <v>1398</v>
      </c>
      <c r="C31" s="415" t="s">
        <v>830</v>
      </c>
      <c r="D31" s="411">
        <v>3</v>
      </c>
      <c r="E31" s="411">
        <v>8</v>
      </c>
      <c r="F31" s="411" t="s">
        <v>1399</v>
      </c>
      <c r="G31" s="411">
        <v>200</v>
      </c>
      <c r="H31" s="411">
        <v>1</v>
      </c>
      <c r="I31" s="411">
        <v>0</v>
      </c>
      <c r="J31" s="411">
        <v>0</v>
      </c>
      <c r="K31" s="411">
        <v>0</v>
      </c>
      <c r="L31" s="411">
        <v>0</v>
      </c>
      <c r="M31" s="411">
        <v>0</v>
      </c>
      <c r="N31" s="411">
        <v>0</v>
      </c>
      <c r="O31" s="411">
        <v>0</v>
      </c>
      <c r="P31" s="411">
        <v>0</v>
      </c>
      <c r="Q31" s="411">
        <v>0</v>
      </c>
      <c r="R31" s="411">
        <v>0</v>
      </c>
      <c r="S31" s="411">
        <v>0</v>
      </c>
      <c r="T31" s="411">
        <v>0</v>
      </c>
      <c r="U31" s="411">
        <v>0</v>
      </c>
      <c r="V31" s="411">
        <v>0</v>
      </c>
      <c r="W31" s="411">
        <v>0</v>
      </c>
      <c r="X31" s="411">
        <v>0</v>
      </c>
      <c r="Y31" s="411">
        <v>0</v>
      </c>
      <c r="Z31" s="411">
        <v>1</v>
      </c>
      <c r="AA31" s="411">
        <v>1</v>
      </c>
      <c r="AB31" s="411">
        <v>1</v>
      </c>
      <c r="AC31" s="400">
        <v>0</v>
      </c>
      <c r="AD31" s="408"/>
      <c r="AE31" s="408"/>
      <c r="AF31" s="412"/>
      <c r="AG31" s="405">
        <v>42859</v>
      </c>
      <c r="AH31" s="406">
        <v>0.38797453703703705</v>
      </c>
    </row>
    <row r="32" spans="1:34" ht="15.75" customHeight="1">
      <c r="A32" s="413">
        <v>23</v>
      </c>
      <c r="B32" s="414" t="s">
        <v>1398</v>
      </c>
      <c r="C32" s="415" t="s">
        <v>830</v>
      </c>
      <c r="D32" s="411">
        <v>4</v>
      </c>
      <c r="E32" s="411">
        <v>8</v>
      </c>
      <c r="F32" s="411" t="s">
        <v>1399</v>
      </c>
      <c r="G32" s="411">
        <v>200</v>
      </c>
      <c r="H32" s="411">
        <v>1</v>
      </c>
      <c r="I32" s="411">
        <v>0</v>
      </c>
      <c r="J32" s="411">
        <v>0</v>
      </c>
      <c r="K32" s="411">
        <v>0</v>
      </c>
      <c r="L32" s="411">
        <v>0</v>
      </c>
      <c r="M32" s="411">
        <v>0</v>
      </c>
      <c r="N32" s="411">
        <v>0</v>
      </c>
      <c r="O32" s="411">
        <v>0</v>
      </c>
      <c r="P32" s="411">
        <v>0</v>
      </c>
      <c r="Q32" s="411">
        <v>0</v>
      </c>
      <c r="R32" s="411">
        <v>0</v>
      </c>
      <c r="S32" s="411">
        <v>0</v>
      </c>
      <c r="T32" s="411">
        <v>0</v>
      </c>
      <c r="U32" s="411">
        <v>1</v>
      </c>
      <c r="V32" s="411">
        <v>0</v>
      </c>
      <c r="W32" s="411">
        <v>0</v>
      </c>
      <c r="X32" s="411">
        <v>0</v>
      </c>
      <c r="Y32" s="411">
        <v>0</v>
      </c>
      <c r="Z32" s="411">
        <v>1</v>
      </c>
      <c r="AA32" s="411">
        <v>1</v>
      </c>
      <c r="AB32" s="411">
        <v>1</v>
      </c>
      <c r="AC32" s="400">
        <v>0</v>
      </c>
      <c r="AD32" s="408"/>
      <c r="AE32" s="408"/>
      <c r="AF32" s="412"/>
      <c r="AG32" s="405">
        <v>42859</v>
      </c>
      <c r="AH32" s="406">
        <v>0.38811342592592596</v>
      </c>
    </row>
    <row r="33" spans="1:34" ht="15.75" customHeight="1">
      <c r="A33" s="413">
        <v>24</v>
      </c>
      <c r="B33" s="414" t="s">
        <v>1398</v>
      </c>
      <c r="C33" s="415" t="s">
        <v>830</v>
      </c>
      <c r="D33" s="411">
        <v>5</v>
      </c>
      <c r="E33" s="411">
        <v>8</v>
      </c>
      <c r="F33" s="411" t="s">
        <v>1399</v>
      </c>
      <c r="G33" s="411">
        <v>200</v>
      </c>
      <c r="H33" s="411">
        <v>1</v>
      </c>
      <c r="I33" s="411">
        <v>0</v>
      </c>
      <c r="J33" s="411">
        <v>0</v>
      </c>
      <c r="K33" s="411">
        <v>0</v>
      </c>
      <c r="L33" s="411">
        <v>0</v>
      </c>
      <c r="M33" s="411">
        <v>0</v>
      </c>
      <c r="N33" s="411">
        <v>0</v>
      </c>
      <c r="O33" s="411">
        <v>0</v>
      </c>
      <c r="P33" s="411">
        <v>0</v>
      </c>
      <c r="Q33" s="411">
        <v>0</v>
      </c>
      <c r="R33" s="411">
        <v>0</v>
      </c>
      <c r="S33" s="411">
        <v>0</v>
      </c>
      <c r="T33" s="411">
        <v>0</v>
      </c>
      <c r="U33" s="411">
        <v>1</v>
      </c>
      <c r="V33" s="411">
        <v>0</v>
      </c>
      <c r="W33" s="411">
        <v>0</v>
      </c>
      <c r="X33" s="411">
        <v>0</v>
      </c>
      <c r="Y33" s="411">
        <v>0</v>
      </c>
      <c r="Z33" s="411">
        <v>1</v>
      </c>
      <c r="AA33" s="411">
        <v>1</v>
      </c>
      <c r="AB33" s="411">
        <v>1</v>
      </c>
      <c r="AC33" s="400">
        <v>0</v>
      </c>
      <c r="AD33" s="408"/>
      <c r="AE33" s="408"/>
      <c r="AF33" s="412"/>
      <c r="AG33" s="405">
        <v>42859</v>
      </c>
      <c r="AH33" s="406">
        <v>0.38858796296296294</v>
      </c>
    </row>
    <row r="34" spans="1:34" ht="15.75" customHeight="1">
      <c r="A34" s="413">
        <v>25</v>
      </c>
      <c r="B34" s="414" t="s">
        <v>1398</v>
      </c>
      <c r="C34" s="415" t="s">
        <v>830</v>
      </c>
      <c r="D34" s="411">
        <v>6</v>
      </c>
      <c r="E34" s="411">
        <v>8</v>
      </c>
      <c r="F34" s="411" t="s">
        <v>1399</v>
      </c>
      <c r="G34" s="411">
        <v>200</v>
      </c>
      <c r="H34" s="411">
        <v>1</v>
      </c>
      <c r="I34" s="411">
        <v>0</v>
      </c>
      <c r="J34" s="411">
        <v>0</v>
      </c>
      <c r="K34" s="411">
        <v>0</v>
      </c>
      <c r="L34" s="411">
        <v>0</v>
      </c>
      <c r="M34" s="411">
        <v>0</v>
      </c>
      <c r="N34" s="411">
        <v>0</v>
      </c>
      <c r="O34" s="411">
        <v>0</v>
      </c>
      <c r="P34" s="411">
        <v>0</v>
      </c>
      <c r="Q34" s="411">
        <v>0</v>
      </c>
      <c r="R34" s="411">
        <v>0</v>
      </c>
      <c r="S34" s="411">
        <v>0</v>
      </c>
      <c r="T34" s="411">
        <v>0</v>
      </c>
      <c r="U34" s="411">
        <v>0</v>
      </c>
      <c r="V34" s="411">
        <v>0</v>
      </c>
      <c r="W34" s="411">
        <v>0</v>
      </c>
      <c r="X34" s="411">
        <v>0</v>
      </c>
      <c r="Y34" s="411">
        <v>0</v>
      </c>
      <c r="Z34" s="411">
        <v>1</v>
      </c>
      <c r="AA34" s="411">
        <v>1</v>
      </c>
      <c r="AB34" s="411">
        <v>1</v>
      </c>
      <c r="AC34" s="400">
        <v>0</v>
      </c>
      <c r="AD34" s="408"/>
      <c r="AE34" s="408"/>
      <c r="AF34" s="412"/>
      <c r="AG34" s="405">
        <v>42859</v>
      </c>
      <c r="AH34" s="406">
        <v>0.38868055555555553</v>
      </c>
    </row>
    <row r="35" spans="1:34" ht="15.75" customHeight="1">
      <c r="A35" s="413">
        <v>26</v>
      </c>
      <c r="B35" s="414" t="s">
        <v>1398</v>
      </c>
      <c r="C35" s="415" t="s">
        <v>830</v>
      </c>
      <c r="D35" s="411">
        <v>7</v>
      </c>
      <c r="E35" s="411">
        <v>8</v>
      </c>
      <c r="F35" s="411" t="s">
        <v>1399</v>
      </c>
      <c r="G35" s="411">
        <v>200</v>
      </c>
      <c r="H35" s="411">
        <v>1</v>
      </c>
      <c r="I35" s="411">
        <v>0</v>
      </c>
      <c r="J35" s="411">
        <v>0</v>
      </c>
      <c r="K35" s="411">
        <v>0</v>
      </c>
      <c r="L35" s="411">
        <v>0</v>
      </c>
      <c r="M35" s="411">
        <v>0</v>
      </c>
      <c r="N35" s="411">
        <v>0</v>
      </c>
      <c r="O35" s="411">
        <v>0</v>
      </c>
      <c r="P35" s="411">
        <v>0</v>
      </c>
      <c r="Q35" s="411">
        <v>0</v>
      </c>
      <c r="R35" s="411">
        <v>0</v>
      </c>
      <c r="S35" s="411">
        <v>0</v>
      </c>
      <c r="T35" s="411">
        <v>0</v>
      </c>
      <c r="U35" s="411">
        <v>1</v>
      </c>
      <c r="V35" s="411">
        <v>0</v>
      </c>
      <c r="W35" s="411">
        <v>0</v>
      </c>
      <c r="X35" s="411">
        <v>0</v>
      </c>
      <c r="Y35" s="411">
        <v>0</v>
      </c>
      <c r="Z35" s="411">
        <v>1</v>
      </c>
      <c r="AA35" s="411">
        <v>1</v>
      </c>
      <c r="AB35" s="411">
        <v>1</v>
      </c>
      <c r="AC35" s="400">
        <v>0</v>
      </c>
      <c r="AD35" s="408"/>
      <c r="AE35" s="408"/>
      <c r="AF35" s="412"/>
      <c r="AG35" s="405">
        <v>42859</v>
      </c>
      <c r="AH35" s="406">
        <v>0.38890046296296293</v>
      </c>
    </row>
    <row r="36" spans="1:34" ht="15.75" customHeight="1">
      <c r="A36" s="413">
        <v>27</v>
      </c>
      <c r="B36" s="414" t="s">
        <v>1398</v>
      </c>
      <c r="C36" s="415" t="s">
        <v>830</v>
      </c>
      <c r="D36" s="411">
        <v>8</v>
      </c>
      <c r="E36" s="411">
        <v>8</v>
      </c>
      <c r="F36" s="411" t="s">
        <v>1399</v>
      </c>
      <c r="G36" s="411">
        <v>200</v>
      </c>
      <c r="H36" s="411">
        <v>1</v>
      </c>
      <c r="I36" s="411">
        <v>0</v>
      </c>
      <c r="J36" s="411">
        <v>0</v>
      </c>
      <c r="K36" s="411">
        <v>0</v>
      </c>
      <c r="L36" s="411">
        <v>0</v>
      </c>
      <c r="M36" s="411">
        <v>0</v>
      </c>
      <c r="N36" s="411">
        <v>0</v>
      </c>
      <c r="O36" s="411">
        <v>0</v>
      </c>
      <c r="P36" s="411">
        <v>0</v>
      </c>
      <c r="Q36" s="411">
        <v>0</v>
      </c>
      <c r="R36" s="411">
        <v>0</v>
      </c>
      <c r="S36" s="411">
        <v>0</v>
      </c>
      <c r="T36" s="411">
        <v>0</v>
      </c>
      <c r="U36" s="411">
        <v>1</v>
      </c>
      <c r="V36" s="411">
        <v>0</v>
      </c>
      <c r="W36" s="411">
        <v>0</v>
      </c>
      <c r="X36" s="411">
        <v>0</v>
      </c>
      <c r="Y36" s="411">
        <v>0</v>
      </c>
      <c r="Z36" s="411">
        <v>1</v>
      </c>
      <c r="AA36" s="411">
        <v>1</v>
      </c>
      <c r="AB36" s="411">
        <v>1</v>
      </c>
      <c r="AC36" s="400">
        <v>0</v>
      </c>
      <c r="AD36" s="408"/>
      <c r="AE36" s="408"/>
      <c r="AF36" s="412"/>
      <c r="AG36" s="405">
        <v>42859</v>
      </c>
      <c r="AH36" s="406">
        <v>0.3893287037037037</v>
      </c>
    </row>
    <row r="37" spans="1:34" ht="15.75" customHeight="1">
      <c r="A37" s="413">
        <v>28</v>
      </c>
      <c r="B37" s="414" t="s">
        <v>1398</v>
      </c>
      <c r="C37" s="415" t="s">
        <v>830</v>
      </c>
      <c r="D37" s="411">
        <v>9</v>
      </c>
      <c r="E37" s="411">
        <v>8</v>
      </c>
      <c r="F37" s="411" t="s">
        <v>1399</v>
      </c>
      <c r="G37" s="411">
        <v>200</v>
      </c>
      <c r="H37" s="411">
        <v>1</v>
      </c>
      <c r="I37" s="411">
        <v>0</v>
      </c>
      <c r="J37" s="411">
        <v>0</v>
      </c>
      <c r="K37" s="411">
        <v>0</v>
      </c>
      <c r="L37" s="411">
        <v>0</v>
      </c>
      <c r="M37" s="411">
        <v>0</v>
      </c>
      <c r="N37" s="411">
        <v>0</v>
      </c>
      <c r="O37" s="411">
        <v>0</v>
      </c>
      <c r="P37" s="411">
        <v>0</v>
      </c>
      <c r="Q37" s="411">
        <v>0</v>
      </c>
      <c r="R37" s="411">
        <v>0</v>
      </c>
      <c r="S37" s="411">
        <v>0</v>
      </c>
      <c r="T37" s="411">
        <v>0</v>
      </c>
      <c r="U37" s="411">
        <v>1</v>
      </c>
      <c r="V37" s="411">
        <v>0</v>
      </c>
      <c r="W37" s="411">
        <v>0</v>
      </c>
      <c r="X37" s="411">
        <v>0</v>
      </c>
      <c r="Y37" s="411">
        <v>0</v>
      </c>
      <c r="Z37" s="411">
        <v>1</v>
      </c>
      <c r="AA37" s="411">
        <v>1</v>
      </c>
      <c r="AB37" s="411">
        <v>1</v>
      </c>
      <c r="AC37" s="400">
        <v>0</v>
      </c>
      <c r="AD37" s="408"/>
      <c r="AE37" s="408"/>
      <c r="AF37" s="412"/>
      <c r="AG37" s="405">
        <v>42859</v>
      </c>
      <c r="AH37" s="406">
        <v>0.38945601851851852</v>
      </c>
    </row>
    <row r="38" spans="1:34" ht="15.75" customHeight="1">
      <c r="A38" s="413">
        <v>29</v>
      </c>
      <c r="B38" s="414" t="s">
        <v>1398</v>
      </c>
      <c r="C38" s="415" t="s">
        <v>830</v>
      </c>
      <c r="D38" s="411">
        <v>10</v>
      </c>
      <c r="E38" s="411">
        <v>8</v>
      </c>
      <c r="F38" s="411" t="s">
        <v>1399</v>
      </c>
      <c r="G38" s="411">
        <v>200</v>
      </c>
      <c r="H38" s="411">
        <v>1</v>
      </c>
      <c r="I38" s="411">
        <v>0</v>
      </c>
      <c r="J38" s="411">
        <v>0</v>
      </c>
      <c r="K38" s="411">
        <v>0</v>
      </c>
      <c r="L38" s="411">
        <v>0</v>
      </c>
      <c r="M38" s="411">
        <v>0</v>
      </c>
      <c r="N38" s="411">
        <v>0</v>
      </c>
      <c r="O38" s="411">
        <v>0</v>
      </c>
      <c r="P38" s="411">
        <v>0</v>
      </c>
      <c r="Q38" s="411">
        <v>0</v>
      </c>
      <c r="R38" s="411">
        <v>0</v>
      </c>
      <c r="S38" s="411">
        <v>0</v>
      </c>
      <c r="T38" s="411">
        <v>0</v>
      </c>
      <c r="U38" s="411">
        <v>0</v>
      </c>
      <c r="V38" s="411">
        <v>0</v>
      </c>
      <c r="W38" s="411">
        <v>0</v>
      </c>
      <c r="X38" s="411">
        <v>0</v>
      </c>
      <c r="Y38" s="411">
        <v>0</v>
      </c>
      <c r="Z38" s="411">
        <v>1</v>
      </c>
      <c r="AA38" s="411">
        <v>1</v>
      </c>
      <c r="AB38" s="411">
        <v>1</v>
      </c>
      <c r="AC38" s="400">
        <v>0</v>
      </c>
      <c r="AD38" s="408"/>
      <c r="AE38" s="408"/>
      <c r="AF38" s="412"/>
      <c r="AG38" s="405">
        <v>42859</v>
      </c>
      <c r="AH38" s="406">
        <v>0.38954861111111111</v>
      </c>
    </row>
    <row r="39" spans="1:34" ht="15.75" customHeight="1">
      <c r="A39" s="413">
        <v>30</v>
      </c>
      <c r="B39" s="414" t="s">
        <v>1398</v>
      </c>
      <c r="C39" s="415" t="s">
        <v>830</v>
      </c>
      <c r="D39" s="411">
        <v>11</v>
      </c>
      <c r="E39" s="411">
        <v>8</v>
      </c>
      <c r="F39" s="411" t="s">
        <v>1399</v>
      </c>
      <c r="G39" s="411">
        <v>200</v>
      </c>
      <c r="H39" s="411">
        <v>1</v>
      </c>
      <c r="I39" s="411">
        <v>0</v>
      </c>
      <c r="J39" s="411">
        <v>0</v>
      </c>
      <c r="K39" s="411">
        <v>0</v>
      </c>
      <c r="L39" s="411">
        <v>0</v>
      </c>
      <c r="M39" s="411">
        <v>0</v>
      </c>
      <c r="N39" s="411">
        <v>0</v>
      </c>
      <c r="O39" s="411">
        <v>0</v>
      </c>
      <c r="P39" s="411">
        <v>0</v>
      </c>
      <c r="Q39" s="411">
        <v>0</v>
      </c>
      <c r="R39" s="411">
        <v>0</v>
      </c>
      <c r="S39" s="411">
        <v>0</v>
      </c>
      <c r="T39" s="411">
        <v>0</v>
      </c>
      <c r="U39" s="411">
        <v>1</v>
      </c>
      <c r="V39" s="411">
        <v>0</v>
      </c>
      <c r="W39" s="411">
        <v>0</v>
      </c>
      <c r="X39" s="411">
        <v>0</v>
      </c>
      <c r="Y39" s="411">
        <v>0</v>
      </c>
      <c r="Z39" s="411">
        <v>1</v>
      </c>
      <c r="AA39" s="411">
        <v>1</v>
      </c>
      <c r="AB39" s="411">
        <v>1</v>
      </c>
      <c r="AC39" s="400">
        <v>0</v>
      </c>
      <c r="AD39" s="408"/>
      <c r="AE39" s="408"/>
      <c r="AF39" s="412"/>
      <c r="AG39" s="405">
        <v>42859</v>
      </c>
      <c r="AH39" s="406">
        <v>0.38966435185185189</v>
      </c>
    </row>
    <row r="40" spans="1:34" ht="15.75" customHeight="1">
      <c r="A40" s="413">
        <v>31</v>
      </c>
      <c r="B40" s="414" t="s">
        <v>1398</v>
      </c>
      <c r="C40" s="415" t="s">
        <v>830</v>
      </c>
      <c r="D40" s="411">
        <v>12</v>
      </c>
      <c r="E40" s="411">
        <v>8</v>
      </c>
      <c r="F40" s="411" t="s">
        <v>1399</v>
      </c>
      <c r="G40" s="411">
        <v>200</v>
      </c>
      <c r="H40" s="411">
        <v>1</v>
      </c>
      <c r="I40" s="411">
        <v>0</v>
      </c>
      <c r="J40" s="411">
        <v>0</v>
      </c>
      <c r="K40" s="411">
        <v>0</v>
      </c>
      <c r="L40" s="411">
        <v>0</v>
      </c>
      <c r="M40" s="411">
        <v>0</v>
      </c>
      <c r="N40" s="411">
        <v>0</v>
      </c>
      <c r="O40" s="411">
        <v>0</v>
      </c>
      <c r="P40" s="411">
        <v>0</v>
      </c>
      <c r="Q40" s="411">
        <v>0</v>
      </c>
      <c r="R40" s="411">
        <v>0</v>
      </c>
      <c r="S40" s="411">
        <v>0</v>
      </c>
      <c r="T40" s="411">
        <v>0</v>
      </c>
      <c r="U40" s="411">
        <v>1</v>
      </c>
      <c r="V40" s="411">
        <v>0</v>
      </c>
      <c r="W40" s="411">
        <v>0</v>
      </c>
      <c r="X40" s="411">
        <v>0</v>
      </c>
      <c r="Y40" s="411">
        <v>0</v>
      </c>
      <c r="Z40" s="411">
        <v>1</v>
      </c>
      <c r="AA40" s="411">
        <v>1</v>
      </c>
      <c r="AB40" s="411">
        <v>1</v>
      </c>
      <c r="AC40" s="400">
        <v>0</v>
      </c>
      <c r="AD40" s="408"/>
      <c r="AE40" s="408"/>
      <c r="AF40" s="412"/>
      <c r="AG40" s="405">
        <v>42859</v>
      </c>
      <c r="AH40" s="406">
        <v>0.38974537037037038</v>
      </c>
    </row>
    <row r="41" spans="1:34" ht="15.75" customHeight="1">
      <c r="A41" s="413">
        <v>32</v>
      </c>
      <c r="B41" s="414" t="s">
        <v>1398</v>
      </c>
      <c r="C41" s="415" t="s">
        <v>830</v>
      </c>
      <c r="D41" s="411">
        <v>13</v>
      </c>
      <c r="E41" s="411">
        <v>8</v>
      </c>
      <c r="F41" s="411" t="s">
        <v>1399</v>
      </c>
      <c r="G41" s="411">
        <v>200</v>
      </c>
      <c r="H41" s="411">
        <v>1</v>
      </c>
      <c r="I41" s="411">
        <v>0</v>
      </c>
      <c r="J41" s="411">
        <v>0</v>
      </c>
      <c r="K41" s="411">
        <v>0</v>
      </c>
      <c r="L41" s="411">
        <v>0</v>
      </c>
      <c r="M41" s="411">
        <v>0</v>
      </c>
      <c r="N41" s="411">
        <v>0</v>
      </c>
      <c r="O41" s="411">
        <v>0</v>
      </c>
      <c r="P41" s="411">
        <v>0</v>
      </c>
      <c r="Q41" s="411">
        <v>0</v>
      </c>
      <c r="R41" s="411">
        <v>0</v>
      </c>
      <c r="S41" s="411">
        <v>0</v>
      </c>
      <c r="T41" s="411">
        <v>0</v>
      </c>
      <c r="U41" s="411">
        <v>1</v>
      </c>
      <c r="V41" s="411">
        <v>0</v>
      </c>
      <c r="W41" s="411">
        <v>0</v>
      </c>
      <c r="X41" s="411">
        <v>0</v>
      </c>
      <c r="Y41" s="411">
        <v>0</v>
      </c>
      <c r="Z41" s="411">
        <v>1</v>
      </c>
      <c r="AA41" s="411">
        <v>1</v>
      </c>
      <c r="AB41" s="411">
        <v>1</v>
      </c>
      <c r="AC41" s="400">
        <v>0</v>
      </c>
      <c r="AD41" s="408"/>
      <c r="AE41" s="408"/>
      <c r="AF41" s="412"/>
      <c r="AG41" s="405">
        <v>42859</v>
      </c>
      <c r="AH41" s="406">
        <v>0.39003472222222224</v>
      </c>
    </row>
    <row r="42" spans="1:34" ht="15.75" customHeight="1">
      <c r="A42" s="413">
        <v>33</v>
      </c>
      <c r="B42" s="414" t="s">
        <v>1398</v>
      </c>
      <c r="C42" s="415" t="s">
        <v>830</v>
      </c>
      <c r="D42" s="411">
        <v>14</v>
      </c>
      <c r="E42" s="411">
        <v>8</v>
      </c>
      <c r="F42" s="411" t="s">
        <v>1399</v>
      </c>
      <c r="G42" s="411">
        <v>200</v>
      </c>
      <c r="H42" s="411">
        <v>1</v>
      </c>
      <c r="I42" s="411">
        <v>0</v>
      </c>
      <c r="J42" s="411">
        <v>0</v>
      </c>
      <c r="K42" s="411">
        <v>0</v>
      </c>
      <c r="L42" s="411">
        <v>0</v>
      </c>
      <c r="M42" s="411">
        <v>0</v>
      </c>
      <c r="N42" s="411">
        <v>0</v>
      </c>
      <c r="O42" s="411">
        <v>0</v>
      </c>
      <c r="P42" s="411">
        <v>0</v>
      </c>
      <c r="Q42" s="411">
        <v>0</v>
      </c>
      <c r="R42" s="411">
        <v>0</v>
      </c>
      <c r="S42" s="411">
        <v>0</v>
      </c>
      <c r="T42" s="411">
        <v>0</v>
      </c>
      <c r="U42" s="411">
        <v>0</v>
      </c>
      <c r="V42" s="411">
        <v>0</v>
      </c>
      <c r="W42" s="411">
        <v>0</v>
      </c>
      <c r="X42" s="411">
        <v>0</v>
      </c>
      <c r="Y42" s="411">
        <v>0</v>
      </c>
      <c r="Z42" s="411">
        <v>1</v>
      </c>
      <c r="AA42" s="411">
        <v>1</v>
      </c>
      <c r="AB42" s="411">
        <v>1</v>
      </c>
      <c r="AC42" s="400">
        <v>0</v>
      </c>
      <c r="AD42" s="408"/>
      <c r="AE42" s="408"/>
      <c r="AF42" s="412"/>
      <c r="AG42" s="405">
        <v>42859</v>
      </c>
      <c r="AH42" s="406">
        <v>0.39013888888888887</v>
      </c>
    </row>
    <row r="43" spans="1:34" ht="15.75" customHeight="1">
      <c r="A43" s="413">
        <v>34</v>
      </c>
      <c r="B43" s="414" t="s">
        <v>1398</v>
      </c>
      <c r="C43" s="415" t="s">
        <v>830</v>
      </c>
      <c r="D43" s="411">
        <v>15</v>
      </c>
      <c r="E43" s="411">
        <v>8</v>
      </c>
      <c r="F43" s="411" t="s">
        <v>1399</v>
      </c>
      <c r="G43" s="411">
        <v>200</v>
      </c>
      <c r="H43" s="411">
        <v>1</v>
      </c>
      <c r="I43" s="411">
        <v>0</v>
      </c>
      <c r="J43" s="411">
        <v>0</v>
      </c>
      <c r="K43" s="411">
        <v>0</v>
      </c>
      <c r="L43" s="411">
        <v>0</v>
      </c>
      <c r="M43" s="411">
        <v>0</v>
      </c>
      <c r="N43" s="411">
        <v>0</v>
      </c>
      <c r="O43" s="411">
        <v>0</v>
      </c>
      <c r="P43" s="411">
        <v>0</v>
      </c>
      <c r="Q43" s="411">
        <v>0</v>
      </c>
      <c r="R43" s="411">
        <v>0</v>
      </c>
      <c r="S43" s="411">
        <v>0</v>
      </c>
      <c r="T43" s="411">
        <v>0</v>
      </c>
      <c r="U43" s="411">
        <v>1</v>
      </c>
      <c r="V43" s="411">
        <v>0</v>
      </c>
      <c r="W43" s="411">
        <v>0</v>
      </c>
      <c r="X43" s="411">
        <v>0</v>
      </c>
      <c r="Y43" s="411">
        <v>0</v>
      </c>
      <c r="Z43" s="411">
        <v>1</v>
      </c>
      <c r="AA43" s="411">
        <v>1</v>
      </c>
      <c r="AB43" s="411">
        <v>1</v>
      </c>
      <c r="AC43" s="400">
        <v>0</v>
      </c>
      <c r="AD43" s="408"/>
      <c r="AE43" s="408"/>
      <c r="AF43" s="412"/>
      <c r="AG43" s="405">
        <v>42859</v>
      </c>
      <c r="AH43" s="406">
        <v>0.39023148148148151</v>
      </c>
    </row>
    <row r="44" spans="1:34" ht="15.75" customHeight="1">
      <c r="A44" s="413">
        <v>35</v>
      </c>
      <c r="B44" s="414" t="s">
        <v>1398</v>
      </c>
      <c r="C44" s="415" t="s">
        <v>830</v>
      </c>
      <c r="D44" s="411">
        <v>16</v>
      </c>
      <c r="E44" s="411">
        <v>8</v>
      </c>
      <c r="F44" s="411" t="s">
        <v>1399</v>
      </c>
      <c r="G44" s="411">
        <v>200</v>
      </c>
      <c r="H44" s="411">
        <v>1</v>
      </c>
      <c r="I44" s="411">
        <v>0</v>
      </c>
      <c r="J44" s="411">
        <v>0</v>
      </c>
      <c r="K44" s="411">
        <v>0</v>
      </c>
      <c r="L44" s="411">
        <v>0</v>
      </c>
      <c r="M44" s="411">
        <v>0</v>
      </c>
      <c r="N44" s="411">
        <v>0</v>
      </c>
      <c r="O44" s="411">
        <v>0</v>
      </c>
      <c r="P44" s="411">
        <v>0</v>
      </c>
      <c r="Q44" s="411">
        <v>0</v>
      </c>
      <c r="R44" s="411">
        <v>0</v>
      </c>
      <c r="S44" s="411">
        <v>0</v>
      </c>
      <c r="T44" s="411">
        <v>0</v>
      </c>
      <c r="U44" s="411">
        <v>1</v>
      </c>
      <c r="V44" s="411">
        <v>0</v>
      </c>
      <c r="W44" s="411">
        <v>0</v>
      </c>
      <c r="X44" s="411">
        <v>0</v>
      </c>
      <c r="Y44" s="411">
        <v>0</v>
      </c>
      <c r="Z44" s="411">
        <v>1</v>
      </c>
      <c r="AA44" s="411">
        <v>1</v>
      </c>
      <c r="AB44" s="411">
        <v>1</v>
      </c>
      <c r="AC44" s="400">
        <v>0</v>
      </c>
      <c r="AD44" s="408"/>
      <c r="AE44" s="408"/>
      <c r="AF44" s="412"/>
      <c r="AG44" s="405">
        <v>42859</v>
      </c>
      <c r="AH44" s="406">
        <v>0.39033564814814814</v>
      </c>
    </row>
    <row r="45" spans="1:34" ht="15.75" customHeight="1">
      <c r="A45" s="413">
        <v>36</v>
      </c>
      <c r="B45" s="414" t="s">
        <v>886</v>
      </c>
      <c r="C45" s="415" t="s">
        <v>994</v>
      </c>
      <c r="D45" s="411"/>
      <c r="E45" s="411">
        <v>1</v>
      </c>
      <c r="F45" s="411" t="s">
        <v>1400</v>
      </c>
      <c r="G45" s="411">
        <v>12</v>
      </c>
      <c r="H45" s="411">
        <v>1</v>
      </c>
      <c r="I45" s="411">
        <v>0</v>
      </c>
      <c r="J45" s="411">
        <v>0</v>
      </c>
      <c r="K45" s="411">
        <v>0</v>
      </c>
      <c r="L45" s="411">
        <v>0</v>
      </c>
      <c r="M45" s="411">
        <v>1</v>
      </c>
      <c r="N45" s="411">
        <v>0</v>
      </c>
      <c r="O45" s="411">
        <v>0</v>
      </c>
      <c r="P45" s="411">
        <v>0</v>
      </c>
      <c r="Q45" s="411">
        <v>0</v>
      </c>
      <c r="R45" s="411">
        <v>0</v>
      </c>
      <c r="S45" s="411">
        <v>0</v>
      </c>
      <c r="T45" s="411">
        <v>0</v>
      </c>
      <c r="U45" s="411">
        <v>0</v>
      </c>
      <c r="V45" s="411">
        <v>0</v>
      </c>
      <c r="W45" s="411">
        <v>1</v>
      </c>
      <c r="X45" s="411">
        <v>0</v>
      </c>
      <c r="Y45" s="411">
        <v>0</v>
      </c>
      <c r="Z45" s="411">
        <v>1</v>
      </c>
      <c r="AA45" s="411">
        <v>1</v>
      </c>
      <c r="AB45" s="411">
        <v>1</v>
      </c>
      <c r="AC45" s="400">
        <v>0</v>
      </c>
      <c r="AD45" s="408"/>
      <c r="AE45" s="408"/>
      <c r="AF45" s="412"/>
      <c r="AG45" s="405">
        <v>42859</v>
      </c>
      <c r="AH45" s="406">
        <v>0.39042824074074073</v>
      </c>
    </row>
    <row r="46" spans="1:34" ht="15.75" customHeight="1">
      <c r="A46" s="413">
        <v>37</v>
      </c>
      <c r="B46" s="414" t="s">
        <v>886</v>
      </c>
      <c r="C46" s="415" t="s">
        <v>994</v>
      </c>
      <c r="D46" s="411"/>
      <c r="E46" s="411">
        <v>2</v>
      </c>
      <c r="F46" s="411" t="s">
        <v>1400</v>
      </c>
      <c r="G46" s="411">
        <v>12</v>
      </c>
      <c r="H46" s="411">
        <v>1</v>
      </c>
      <c r="I46" s="411">
        <v>0</v>
      </c>
      <c r="J46" s="411">
        <v>0</v>
      </c>
      <c r="K46" s="411">
        <v>0</v>
      </c>
      <c r="L46" s="411">
        <v>0</v>
      </c>
      <c r="M46" s="411">
        <v>1</v>
      </c>
      <c r="N46" s="411">
        <v>0</v>
      </c>
      <c r="O46" s="411">
        <v>0</v>
      </c>
      <c r="P46" s="411">
        <v>0</v>
      </c>
      <c r="Q46" s="411">
        <v>0</v>
      </c>
      <c r="R46" s="411">
        <v>0</v>
      </c>
      <c r="S46" s="411">
        <v>0</v>
      </c>
      <c r="T46" s="411">
        <v>0</v>
      </c>
      <c r="U46" s="411">
        <v>0</v>
      </c>
      <c r="V46" s="411">
        <v>0</v>
      </c>
      <c r="W46" s="411">
        <v>1</v>
      </c>
      <c r="X46" s="411">
        <v>0</v>
      </c>
      <c r="Y46" s="411">
        <v>0</v>
      </c>
      <c r="Z46" s="411">
        <v>1</v>
      </c>
      <c r="AA46" s="411">
        <v>1</v>
      </c>
      <c r="AB46" s="411">
        <v>1</v>
      </c>
      <c r="AC46" s="400">
        <v>0</v>
      </c>
      <c r="AD46" s="408"/>
      <c r="AE46" s="408"/>
      <c r="AF46" s="412"/>
      <c r="AG46" s="405">
        <v>42859</v>
      </c>
      <c r="AH46" s="406">
        <v>0.39052083333333337</v>
      </c>
    </row>
    <row r="47" spans="1:34" ht="15.75" customHeight="1">
      <c r="A47" s="413">
        <v>38</v>
      </c>
      <c r="B47" s="414" t="s">
        <v>886</v>
      </c>
      <c r="C47" s="415" t="s">
        <v>994</v>
      </c>
      <c r="D47" s="411"/>
      <c r="E47" s="411">
        <v>3</v>
      </c>
      <c r="F47" s="411" t="s">
        <v>1400</v>
      </c>
      <c r="G47" s="411">
        <v>12</v>
      </c>
      <c r="H47" s="411">
        <v>1</v>
      </c>
      <c r="I47" s="411">
        <v>0</v>
      </c>
      <c r="J47" s="411">
        <v>0</v>
      </c>
      <c r="K47" s="411">
        <v>0</v>
      </c>
      <c r="L47" s="411">
        <v>0</v>
      </c>
      <c r="M47" s="411">
        <v>1</v>
      </c>
      <c r="N47" s="411">
        <v>0</v>
      </c>
      <c r="O47" s="411">
        <v>0</v>
      </c>
      <c r="P47" s="411">
        <v>0</v>
      </c>
      <c r="Q47" s="411">
        <v>0</v>
      </c>
      <c r="R47" s="411">
        <v>0</v>
      </c>
      <c r="S47" s="411">
        <v>0</v>
      </c>
      <c r="T47" s="411">
        <v>0</v>
      </c>
      <c r="U47" s="411">
        <v>0</v>
      </c>
      <c r="V47" s="411">
        <v>0</v>
      </c>
      <c r="W47" s="411">
        <v>1</v>
      </c>
      <c r="X47" s="411">
        <v>0</v>
      </c>
      <c r="Y47" s="411">
        <v>0</v>
      </c>
      <c r="Z47" s="411">
        <v>1</v>
      </c>
      <c r="AA47" s="411">
        <v>1</v>
      </c>
      <c r="AB47" s="411">
        <v>1</v>
      </c>
      <c r="AC47" s="400">
        <v>0</v>
      </c>
      <c r="AD47" s="408"/>
      <c r="AE47" s="408"/>
      <c r="AF47" s="412"/>
      <c r="AG47" s="405">
        <v>42859</v>
      </c>
      <c r="AH47" s="406">
        <v>0.390625</v>
      </c>
    </row>
    <row r="48" spans="1:34" ht="15.75" customHeight="1">
      <c r="A48" s="413">
        <v>39</v>
      </c>
      <c r="B48" s="414" t="s">
        <v>886</v>
      </c>
      <c r="C48" s="415" t="s">
        <v>994</v>
      </c>
      <c r="D48" s="411"/>
      <c r="E48" s="411">
        <v>4</v>
      </c>
      <c r="F48" s="411" t="s">
        <v>1400</v>
      </c>
      <c r="G48" s="411">
        <v>14</v>
      </c>
      <c r="H48" s="411">
        <v>1</v>
      </c>
      <c r="I48" s="411">
        <v>0</v>
      </c>
      <c r="J48" s="411">
        <v>0</v>
      </c>
      <c r="K48" s="411">
        <v>0</v>
      </c>
      <c r="L48" s="411">
        <v>0</v>
      </c>
      <c r="M48" s="411">
        <v>1</v>
      </c>
      <c r="N48" s="411">
        <v>0</v>
      </c>
      <c r="O48" s="411">
        <v>0</v>
      </c>
      <c r="P48" s="411">
        <v>0</v>
      </c>
      <c r="Q48" s="411">
        <v>0</v>
      </c>
      <c r="R48" s="411">
        <v>0</v>
      </c>
      <c r="S48" s="411">
        <v>0</v>
      </c>
      <c r="T48" s="411">
        <v>0</v>
      </c>
      <c r="U48" s="411">
        <v>0</v>
      </c>
      <c r="V48" s="411">
        <v>0</v>
      </c>
      <c r="W48" s="411">
        <v>1</v>
      </c>
      <c r="X48" s="411">
        <v>0</v>
      </c>
      <c r="Y48" s="411">
        <v>0</v>
      </c>
      <c r="Z48" s="411">
        <v>1</v>
      </c>
      <c r="AA48" s="411">
        <v>1</v>
      </c>
      <c r="AB48" s="411">
        <v>1</v>
      </c>
      <c r="AC48" s="400">
        <v>0</v>
      </c>
      <c r="AD48" s="408"/>
      <c r="AE48" s="408"/>
      <c r="AF48" s="412"/>
      <c r="AG48" s="405">
        <v>42859</v>
      </c>
      <c r="AH48" s="406">
        <v>0.39069444444444446</v>
      </c>
    </row>
    <row r="49" spans="1:34" ht="15.75" customHeight="1">
      <c r="A49" s="413">
        <v>40</v>
      </c>
      <c r="B49" s="414" t="s">
        <v>886</v>
      </c>
      <c r="C49" s="415" t="s">
        <v>994</v>
      </c>
      <c r="D49" s="411"/>
      <c r="E49" s="411">
        <v>5</v>
      </c>
      <c r="F49" s="411" t="s">
        <v>1400</v>
      </c>
      <c r="G49" s="411">
        <v>13</v>
      </c>
      <c r="H49" s="411">
        <v>1</v>
      </c>
      <c r="I49" s="411">
        <v>0</v>
      </c>
      <c r="J49" s="411">
        <v>0</v>
      </c>
      <c r="K49" s="411">
        <v>0</v>
      </c>
      <c r="L49" s="411">
        <v>0</v>
      </c>
      <c r="M49" s="411">
        <v>1</v>
      </c>
      <c r="N49" s="411">
        <v>0</v>
      </c>
      <c r="O49" s="411">
        <v>0</v>
      </c>
      <c r="P49" s="411">
        <v>0</v>
      </c>
      <c r="Q49" s="411">
        <v>0</v>
      </c>
      <c r="R49" s="411">
        <v>0</v>
      </c>
      <c r="S49" s="411">
        <v>0</v>
      </c>
      <c r="T49" s="411">
        <v>0</v>
      </c>
      <c r="U49" s="411">
        <v>0</v>
      </c>
      <c r="V49" s="411">
        <v>0</v>
      </c>
      <c r="W49" s="411">
        <v>1</v>
      </c>
      <c r="X49" s="411">
        <v>0</v>
      </c>
      <c r="Y49" s="411">
        <v>0</v>
      </c>
      <c r="Z49" s="411">
        <v>1</v>
      </c>
      <c r="AA49" s="411">
        <v>1</v>
      </c>
      <c r="AB49" s="411">
        <v>1</v>
      </c>
      <c r="AC49" s="400">
        <v>0</v>
      </c>
      <c r="AD49" s="408"/>
      <c r="AE49" s="408"/>
      <c r="AF49" s="412"/>
      <c r="AG49" s="405">
        <v>42859</v>
      </c>
      <c r="AH49" s="406">
        <v>0.3941203703703704</v>
      </c>
    </row>
    <row r="50" spans="1:34" ht="15.75" customHeight="1">
      <c r="A50" s="413">
        <v>41</v>
      </c>
      <c r="B50" s="414" t="s">
        <v>886</v>
      </c>
      <c r="C50" s="415" t="s">
        <v>994</v>
      </c>
      <c r="D50" s="411"/>
      <c r="E50" s="411">
        <v>6</v>
      </c>
      <c r="F50" s="411" t="s">
        <v>1400</v>
      </c>
      <c r="G50" s="411">
        <v>10</v>
      </c>
      <c r="H50" s="411">
        <v>1</v>
      </c>
      <c r="I50" s="411">
        <v>0</v>
      </c>
      <c r="J50" s="411">
        <v>0</v>
      </c>
      <c r="K50" s="411">
        <v>0</v>
      </c>
      <c r="L50" s="411">
        <v>0</v>
      </c>
      <c r="M50" s="411">
        <v>1</v>
      </c>
      <c r="N50" s="411">
        <v>0</v>
      </c>
      <c r="O50" s="411">
        <v>0</v>
      </c>
      <c r="P50" s="411">
        <v>0</v>
      </c>
      <c r="Q50" s="411">
        <v>0</v>
      </c>
      <c r="R50" s="411">
        <v>0</v>
      </c>
      <c r="S50" s="411">
        <v>0</v>
      </c>
      <c r="T50" s="411">
        <v>0</v>
      </c>
      <c r="U50" s="411">
        <v>0</v>
      </c>
      <c r="V50" s="411">
        <v>0</v>
      </c>
      <c r="W50" s="411">
        <v>1</v>
      </c>
      <c r="X50" s="411">
        <v>0</v>
      </c>
      <c r="Y50" s="411">
        <v>0</v>
      </c>
      <c r="Z50" s="411">
        <v>1</v>
      </c>
      <c r="AA50" s="411">
        <v>1</v>
      </c>
      <c r="AB50" s="411">
        <v>1</v>
      </c>
      <c r="AC50" s="400">
        <v>0</v>
      </c>
      <c r="AD50" s="408"/>
      <c r="AE50" s="408"/>
      <c r="AF50" s="412"/>
      <c r="AG50" s="405">
        <v>42859</v>
      </c>
      <c r="AH50" s="406">
        <v>0.39417824074074076</v>
      </c>
    </row>
    <row r="51" spans="1:34" ht="15.75" customHeight="1">
      <c r="A51" s="413">
        <v>42</v>
      </c>
      <c r="B51" s="414" t="s">
        <v>886</v>
      </c>
      <c r="C51" s="415" t="s">
        <v>994</v>
      </c>
      <c r="D51" s="411"/>
      <c r="E51" s="411">
        <v>7</v>
      </c>
      <c r="F51" s="411" t="s">
        <v>1400</v>
      </c>
      <c r="G51" s="411">
        <v>10</v>
      </c>
      <c r="H51" s="411">
        <v>1</v>
      </c>
      <c r="I51" s="411">
        <v>0</v>
      </c>
      <c r="J51" s="411">
        <v>0</v>
      </c>
      <c r="K51" s="411">
        <v>0</v>
      </c>
      <c r="L51" s="411">
        <v>0</v>
      </c>
      <c r="M51" s="411">
        <v>1</v>
      </c>
      <c r="N51" s="411">
        <v>0</v>
      </c>
      <c r="O51" s="411">
        <v>0</v>
      </c>
      <c r="P51" s="411">
        <v>0</v>
      </c>
      <c r="Q51" s="411">
        <v>0</v>
      </c>
      <c r="R51" s="411">
        <v>0</v>
      </c>
      <c r="S51" s="411">
        <v>0</v>
      </c>
      <c r="T51" s="411">
        <v>0</v>
      </c>
      <c r="U51" s="411">
        <v>0</v>
      </c>
      <c r="V51" s="411">
        <v>0</v>
      </c>
      <c r="W51" s="411">
        <v>1</v>
      </c>
      <c r="X51" s="411">
        <v>0</v>
      </c>
      <c r="Y51" s="411">
        <v>0</v>
      </c>
      <c r="Z51" s="411">
        <v>1</v>
      </c>
      <c r="AA51" s="411">
        <v>1</v>
      </c>
      <c r="AB51" s="411">
        <v>1</v>
      </c>
      <c r="AC51" s="400">
        <v>0</v>
      </c>
      <c r="AD51" s="408"/>
      <c r="AE51" s="408"/>
      <c r="AF51" s="412"/>
      <c r="AG51" s="405">
        <v>42859</v>
      </c>
      <c r="AH51" s="406">
        <v>0.39428240740740739</v>
      </c>
    </row>
    <row r="52" spans="1:34" ht="15.75" customHeight="1">
      <c r="A52" s="413">
        <v>43</v>
      </c>
      <c r="B52" s="414" t="s">
        <v>886</v>
      </c>
      <c r="C52" s="415" t="s">
        <v>994</v>
      </c>
      <c r="D52" s="411"/>
      <c r="E52" s="411">
        <v>8</v>
      </c>
      <c r="F52" s="411" t="s">
        <v>1400</v>
      </c>
      <c r="G52" s="411">
        <v>11</v>
      </c>
      <c r="H52" s="411">
        <v>1</v>
      </c>
      <c r="I52" s="411">
        <v>0</v>
      </c>
      <c r="J52" s="411">
        <v>0</v>
      </c>
      <c r="K52" s="411">
        <v>0</v>
      </c>
      <c r="L52" s="411">
        <v>0</v>
      </c>
      <c r="M52" s="411">
        <v>1</v>
      </c>
      <c r="N52" s="411">
        <v>0</v>
      </c>
      <c r="O52" s="411">
        <v>0</v>
      </c>
      <c r="P52" s="411">
        <v>0</v>
      </c>
      <c r="Q52" s="411">
        <v>0</v>
      </c>
      <c r="R52" s="411">
        <v>0</v>
      </c>
      <c r="S52" s="411">
        <v>0</v>
      </c>
      <c r="T52" s="411">
        <v>0</v>
      </c>
      <c r="U52" s="411">
        <v>0</v>
      </c>
      <c r="V52" s="411">
        <v>0</v>
      </c>
      <c r="W52" s="411">
        <v>1</v>
      </c>
      <c r="X52" s="411">
        <v>0</v>
      </c>
      <c r="Y52" s="411">
        <v>0</v>
      </c>
      <c r="Z52" s="411">
        <v>1</v>
      </c>
      <c r="AA52" s="411">
        <v>1</v>
      </c>
      <c r="AB52" s="411">
        <v>1</v>
      </c>
      <c r="AC52" s="400">
        <v>0</v>
      </c>
      <c r="AD52" s="408"/>
      <c r="AE52" s="408"/>
      <c r="AF52" s="412"/>
      <c r="AG52" s="405">
        <v>42859</v>
      </c>
      <c r="AH52" s="406">
        <v>0.3943402777777778</v>
      </c>
    </row>
    <row r="53" spans="1:34" ht="15.75" customHeight="1">
      <c r="A53" s="413">
        <v>44</v>
      </c>
      <c r="B53" s="414" t="s">
        <v>886</v>
      </c>
      <c r="C53" s="415" t="s">
        <v>994</v>
      </c>
      <c r="D53" s="411"/>
      <c r="E53" s="411">
        <v>9</v>
      </c>
      <c r="F53" s="411" t="s">
        <v>1400</v>
      </c>
      <c r="G53" s="411">
        <v>14</v>
      </c>
      <c r="H53" s="411">
        <v>1</v>
      </c>
      <c r="I53" s="411">
        <v>0</v>
      </c>
      <c r="J53" s="411">
        <v>0</v>
      </c>
      <c r="K53" s="411">
        <v>0</v>
      </c>
      <c r="L53" s="411">
        <v>0</v>
      </c>
      <c r="M53" s="411">
        <v>1</v>
      </c>
      <c r="N53" s="411">
        <v>0</v>
      </c>
      <c r="O53" s="411">
        <v>0</v>
      </c>
      <c r="P53" s="411">
        <v>0</v>
      </c>
      <c r="Q53" s="411">
        <v>0</v>
      </c>
      <c r="R53" s="411">
        <v>0</v>
      </c>
      <c r="S53" s="411">
        <v>0</v>
      </c>
      <c r="T53" s="411">
        <v>0</v>
      </c>
      <c r="U53" s="411">
        <v>0</v>
      </c>
      <c r="V53" s="411">
        <v>0</v>
      </c>
      <c r="W53" s="411">
        <v>1</v>
      </c>
      <c r="X53" s="411">
        <v>0</v>
      </c>
      <c r="Y53" s="411">
        <v>0</v>
      </c>
      <c r="Z53" s="411">
        <v>1</v>
      </c>
      <c r="AA53" s="411">
        <v>1</v>
      </c>
      <c r="AB53" s="411">
        <v>1</v>
      </c>
      <c r="AC53" s="400">
        <v>0</v>
      </c>
      <c r="AD53" s="408"/>
      <c r="AE53" s="408"/>
      <c r="AF53" s="412"/>
      <c r="AG53" s="405">
        <v>42859</v>
      </c>
      <c r="AH53" s="406">
        <v>0.39438657407407413</v>
      </c>
    </row>
    <row r="54" spans="1:34" ht="15.75" customHeight="1">
      <c r="A54" s="413">
        <v>45</v>
      </c>
      <c r="B54" s="414" t="s">
        <v>886</v>
      </c>
      <c r="C54" s="415" t="s">
        <v>994</v>
      </c>
      <c r="D54" s="411"/>
      <c r="E54" s="411">
        <v>10</v>
      </c>
      <c r="F54" s="411" t="s">
        <v>1400</v>
      </c>
      <c r="G54" s="411">
        <v>12</v>
      </c>
      <c r="H54" s="411">
        <v>1</v>
      </c>
      <c r="I54" s="411">
        <v>0</v>
      </c>
      <c r="J54" s="411">
        <v>0</v>
      </c>
      <c r="K54" s="411">
        <v>0</v>
      </c>
      <c r="L54" s="411">
        <v>0</v>
      </c>
      <c r="M54" s="411">
        <v>1</v>
      </c>
      <c r="N54" s="411">
        <v>0</v>
      </c>
      <c r="O54" s="411">
        <v>0</v>
      </c>
      <c r="P54" s="411">
        <v>0</v>
      </c>
      <c r="Q54" s="411">
        <v>0</v>
      </c>
      <c r="R54" s="411">
        <v>0</v>
      </c>
      <c r="S54" s="411">
        <v>0</v>
      </c>
      <c r="T54" s="411">
        <v>0</v>
      </c>
      <c r="U54" s="411">
        <v>0</v>
      </c>
      <c r="V54" s="411">
        <v>0</v>
      </c>
      <c r="W54" s="411">
        <v>1</v>
      </c>
      <c r="X54" s="411">
        <v>0</v>
      </c>
      <c r="Y54" s="411">
        <v>0</v>
      </c>
      <c r="Z54" s="411">
        <v>1</v>
      </c>
      <c r="AA54" s="411">
        <v>1</v>
      </c>
      <c r="AB54" s="411">
        <v>1</v>
      </c>
      <c r="AC54" s="400">
        <v>0</v>
      </c>
      <c r="AD54" s="408"/>
      <c r="AE54" s="408"/>
      <c r="AF54" s="412"/>
      <c r="AG54" s="405">
        <v>42859</v>
      </c>
      <c r="AH54" s="406">
        <v>0.39659722222222221</v>
      </c>
    </row>
    <row r="55" spans="1:34" ht="15.75" customHeight="1">
      <c r="A55" s="413">
        <v>46</v>
      </c>
      <c r="B55" s="414" t="s">
        <v>886</v>
      </c>
      <c r="C55" s="415" t="s">
        <v>994</v>
      </c>
      <c r="D55" s="411"/>
      <c r="E55" s="411">
        <v>11</v>
      </c>
      <c r="F55" s="411" t="s">
        <v>1400</v>
      </c>
      <c r="G55" s="411">
        <v>14</v>
      </c>
      <c r="H55" s="411">
        <v>1</v>
      </c>
      <c r="I55" s="411">
        <v>0</v>
      </c>
      <c r="J55" s="411">
        <v>0</v>
      </c>
      <c r="K55" s="411">
        <v>0</v>
      </c>
      <c r="L55" s="411">
        <v>0</v>
      </c>
      <c r="M55" s="411">
        <v>1</v>
      </c>
      <c r="N55" s="411">
        <v>0</v>
      </c>
      <c r="O55" s="411">
        <v>0</v>
      </c>
      <c r="P55" s="411">
        <v>0</v>
      </c>
      <c r="Q55" s="411">
        <v>0</v>
      </c>
      <c r="R55" s="411">
        <v>0</v>
      </c>
      <c r="S55" s="411">
        <v>0</v>
      </c>
      <c r="T55" s="411">
        <v>0</v>
      </c>
      <c r="U55" s="411">
        <v>0</v>
      </c>
      <c r="V55" s="411">
        <v>0</v>
      </c>
      <c r="W55" s="411">
        <v>1</v>
      </c>
      <c r="X55" s="411">
        <v>0</v>
      </c>
      <c r="Y55" s="411">
        <v>0</v>
      </c>
      <c r="Z55" s="411">
        <v>1</v>
      </c>
      <c r="AA55" s="411">
        <v>1</v>
      </c>
      <c r="AB55" s="411">
        <v>1</v>
      </c>
      <c r="AC55" s="400">
        <v>0</v>
      </c>
      <c r="AD55" s="408"/>
      <c r="AE55" s="408"/>
      <c r="AF55" s="412"/>
      <c r="AG55" s="405">
        <v>42859</v>
      </c>
      <c r="AH55" s="406">
        <v>0.39674768518518522</v>
      </c>
    </row>
    <row r="56" spans="1:34" ht="15.75" customHeight="1">
      <c r="A56" s="413">
        <v>47</v>
      </c>
      <c r="B56" s="414" t="s">
        <v>886</v>
      </c>
      <c r="C56" s="415" t="s">
        <v>994</v>
      </c>
      <c r="D56" s="411"/>
      <c r="E56" s="411">
        <v>12</v>
      </c>
      <c r="F56" s="411" t="s">
        <v>1400</v>
      </c>
      <c r="G56" s="411">
        <v>14</v>
      </c>
      <c r="H56" s="411">
        <v>1</v>
      </c>
      <c r="I56" s="411">
        <v>0</v>
      </c>
      <c r="J56" s="411">
        <v>0</v>
      </c>
      <c r="K56" s="411">
        <v>0</v>
      </c>
      <c r="L56" s="411">
        <v>0</v>
      </c>
      <c r="M56" s="411">
        <v>1</v>
      </c>
      <c r="N56" s="411">
        <v>0</v>
      </c>
      <c r="O56" s="411">
        <v>0</v>
      </c>
      <c r="P56" s="411">
        <v>0</v>
      </c>
      <c r="Q56" s="411">
        <v>0</v>
      </c>
      <c r="R56" s="411">
        <v>0</v>
      </c>
      <c r="S56" s="411">
        <v>0</v>
      </c>
      <c r="T56" s="411">
        <v>0</v>
      </c>
      <c r="U56" s="411">
        <v>0</v>
      </c>
      <c r="V56" s="411">
        <v>0</v>
      </c>
      <c r="W56" s="411">
        <v>1</v>
      </c>
      <c r="X56" s="411">
        <v>0</v>
      </c>
      <c r="Y56" s="411">
        <v>0</v>
      </c>
      <c r="Z56" s="411">
        <v>1</v>
      </c>
      <c r="AA56" s="411">
        <v>1</v>
      </c>
      <c r="AB56" s="411">
        <v>1</v>
      </c>
      <c r="AC56" s="400">
        <v>0</v>
      </c>
      <c r="AD56" s="408"/>
      <c r="AE56" s="408"/>
      <c r="AF56" s="412"/>
      <c r="AG56" s="405">
        <v>42859</v>
      </c>
      <c r="AH56" s="406">
        <v>0.39678240740740739</v>
      </c>
    </row>
    <row r="57" spans="1:34" ht="15.75" customHeight="1">
      <c r="A57" s="413">
        <v>48</v>
      </c>
      <c r="B57" s="414" t="s">
        <v>886</v>
      </c>
      <c r="C57" s="415" t="s">
        <v>994</v>
      </c>
      <c r="D57" s="411"/>
      <c r="E57" s="411">
        <v>13</v>
      </c>
      <c r="F57" s="411" t="s">
        <v>1400</v>
      </c>
      <c r="G57" s="411">
        <v>10</v>
      </c>
      <c r="H57" s="411">
        <v>1</v>
      </c>
      <c r="I57" s="411">
        <v>0</v>
      </c>
      <c r="J57" s="411">
        <v>0</v>
      </c>
      <c r="K57" s="411">
        <v>0</v>
      </c>
      <c r="L57" s="411">
        <v>0</v>
      </c>
      <c r="M57" s="411">
        <v>1</v>
      </c>
      <c r="N57" s="411">
        <v>0</v>
      </c>
      <c r="O57" s="411">
        <v>0</v>
      </c>
      <c r="P57" s="411">
        <v>0</v>
      </c>
      <c r="Q57" s="411">
        <v>0</v>
      </c>
      <c r="R57" s="411">
        <v>0</v>
      </c>
      <c r="S57" s="411">
        <v>0</v>
      </c>
      <c r="T57" s="411">
        <v>0</v>
      </c>
      <c r="U57" s="411">
        <v>0</v>
      </c>
      <c r="V57" s="411">
        <v>0</v>
      </c>
      <c r="W57" s="411">
        <v>1</v>
      </c>
      <c r="X57" s="411">
        <v>0</v>
      </c>
      <c r="Y57" s="411">
        <v>0</v>
      </c>
      <c r="Z57" s="411">
        <v>1</v>
      </c>
      <c r="AA57" s="411">
        <v>1</v>
      </c>
      <c r="AB57" s="411">
        <v>1</v>
      </c>
      <c r="AC57" s="400">
        <v>0</v>
      </c>
      <c r="AD57" s="408"/>
      <c r="AE57" s="408"/>
      <c r="AF57" s="412"/>
      <c r="AG57" s="405">
        <v>42859</v>
      </c>
      <c r="AH57" s="406">
        <v>0.39686342592592588</v>
      </c>
    </row>
    <row r="58" spans="1:34" ht="15.75" customHeight="1">
      <c r="A58" s="413">
        <v>49</v>
      </c>
      <c r="B58" s="414" t="s">
        <v>886</v>
      </c>
      <c r="C58" s="415" t="s">
        <v>994</v>
      </c>
      <c r="D58" s="411"/>
      <c r="E58" s="411">
        <v>14</v>
      </c>
      <c r="F58" s="411" t="s">
        <v>1400</v>
      </c>
      <c r="G58" s="411">
        <v>13</v>
      </c>
      <c r="H58" s="411">
        <v>1</v>
      </c>
      <c r="I58" s="411">
        <v>0</v>
      </c>
      <c r="J58" s="411">
        <v>0</v>
      </c>
      <c r="K58" s="411">
        <v>0</v>
      </c>
      <c r="L58" s="411">
        <v>0</v>
      </c>
      <c r="M58" s="411">
        <v>1</v>
      </c>
      <c r="N58" s="411">
        <v>0</v>
      </c>
      <c r="O58" s="411">
        <v>0</v>
      </c>
      <c r="P58" s="411">
        <v>0</v>
      </c>
      <c r="Q58" s="411">
        <v>0</v>
      </c>
      <c r="R58" s="411">
        <v>0</v>
      </c>
      <c r="S58" s="411">
        <v>0</v>
      </c>
      <c r="T58" s="411">
        <v>0</v>
      </c>
      <c r="U58" s="411">
        <v>0</v>
      </c>
      <c r="V58" s="411">
        <v>0</v>
      </c>
      <c r="W58" s="411">
        <v>1</v>
      </c>
      <c r="X58" s="411">
        <v>0</v>
      </c>
      <c r="Y58" s="411">
        <v>0</v>
      </c>
      <c r="Z58" s="411">
        <v>1</v>
      </c>
      <c r="AA58" s="411">
        <v>1</v>
      </c>
      <c r="AB58" s="411">
        <v>1</v>
      </c>
      <c r="AC58" s="400">
        <v>0</v>
      </c>
      <c r="AD58" s="408"/>
      <c r="AE58" s="408"/>
      <c r="AF58" s="412"/>
      <c r="AG58" s="405">
        <v>42859</v>
      </c>
      <c r="AH58" s="406">
        <v>0.39706018518518515</v>
      </c>
    </row>
    <row r="59" spans="1:34" ht="15.75" customHeight="1">
      <c r="A59" s="413">
        <v>50</v>
      </c>
      <c r="B59" s="414" t="s">
        <v>886</v>
      </c>
      <c r="C59" s="415" t="s">
        <v>994</v>
      </c>
      <c r="D59" s="411"/>
      <c r="E59" s="411">
        <v>15</v>
      </c>
      <c r="F59" s="411" t="s">
        <v>1400</v>
      </c>
      <c r="G59" s="411">
        <v>12</v>
      </c>
      <c r="H59" s="411">
        <v>1</v>
      </c>
      <c r="I59" s="411">
        <v>0</v>
      </c>
      <c r="J59" s="411">
        <v>0</v>
      </c>
      <c r="K59" s="411">
        <v>0</v>
      </c>
      <c r="L59" s="411">
        <v>0</v>
      </c>
      <c r="M59" s="411">
        <v>1</v>
      </c>
      <c r="N59" s="411">
        <v>0</v>
      </c>
      <c r="O59" s="411">
        <v>0</v>
      </c>
      <c r="P59" s="411">
        <v>0</v>
      </c>
      <c r="Q59" s="411">
        <v>0</v>
      </c>
      <c r="R59" s="411">
        <v>0</v>
      </c>
      <c r="S59" s="411">
        <v>0</v>
      </c>
      <c r="T59" s="411">
        <v>0</v>
      </c>
      <c r="U59" s="411">
        <v>0</v>
      </c>
      <c r="V59" s="411">
        <v>0</v>
      </c>
      <c r="W59" s="411">
        <v>1</v>
      </c>
      <c r="X59" s="411">
        <v>0</v>
      </c>
      <c r="Y59" s="411">
        <v>0</v>
      </c>
      <c r="Z59" s="411">
        <v>1</v>
      </c>
      <c r="AA59" s="411">
        <v>1</v>
      </c>
      <c r="AB59" s="411">
        <v>1</v>
      </c>
      <c r="AC59" s="400">
        <v>0</v>
      </c>
      <c r="AD59" s="408"/>
      <c r="AE59" s="408"/>
      <c r="AF59" s="412"/>
      <c r="AG59" s="405">
        <v>42859</v>
      </c>
      <c r="AH59" s="406">
        <v>0.39711805555555557</v>
      </c>
    </row>
    <row r="60" spans="1:34" ht="15.75" customHeight="1">
      <c r="A60" s="413">
        <v>51</v>
      </c>
      <c r="B60" s="414" t="s">
        <v>886</v>
      </c>
      <c r="C60" s="415" t="s">
        <v>994</v>
      </c>
      <c r="D60" s="411"/>
      <c r="E60" s="411">
        <v>16</v>
      </c>
      <c r="F60" s="411" t="s">
        <v>1400</v>
      </c>
      <c r="G60" s="411">
        <v>16</v>
      </c>
      <c r="H60" s="411">
        <v>1</v>
      </c>
      <c r="I60" s="411">
        <v>0</v>
      </c>
      <c r="J60" s="411">
        <v>0</v>
      </c>
      <c r="K60" s="411">
        <v>0</v>
      </c>
      <c r="L60" s="411">
        <v>0</v>
      </c>
      <c r="M60" s="411">
        <v>1</v>
      </c>
      <c r="N60" s="411">
        <v>0</v>
      </c>
      <c r="O60" s="411">
        <v>0</v>
      </c>
      <c r="P60" s="411">
        <v>0</v>
      </c>
      <c r="Q60" s="411">
        <v>0</v>
      </c>
      <c r="R60" s="411">
        <v>0</v>
      </c>
      <c r="S60" s="411">
        <v>0</v>
      </c>
      <c r="T60" s="411">
        <v>0</v>
      </c>
      <c r="U60" s="411">
        <v>0</v>
      </c>
      <c r="V60" s="411">
        <v>0</v>
      </c>
      <c r="W60" s="411">
        <v>1</v>
      </c>
      <c r="X60" s="411">
        <v>0</v>
      </c>
      <c r="Y60" s="411">
        <v>0</v>
      </c>
      <c r="Z60" s="411">
        <v>1</v>
      </c>
      <c r="AA60" s="411">
        <v>1</v>
      </c>
      <c r="AB60" s="411">
        <v>1</v>
      </c>
      <c r="AC60" s="400">
        <v>0</v>
      </c>
      <c r="AD60" s="408"/>
      <c r="AE60" s="408"/>
      <c r="AF60" s="412"/>
      <c r="AG60" s="405">
        <v>42859</v>
      </c>
      <c r="AH60" s="406">
        <v>0.3977430555555555</v>
      </c>
    </row>
    <row r="61" spans="1:34" ht="15.75" customHeight="1">
      <c r="A61" s="413">
        <v>52</v>
      </c>
      <c r="B61" s="414" t="s">
        <v>886</v>
      </c>
      <c r="C61" s="415" t="s">
        <v>994</v>
      </c>
      <c r="D61" s="411"/>
      <c r="E61" s="411">
        <v>17</v>
      </c>
      <c r="F61" s="411" t="s">
        <v>1400</v>
      </c>
      <c r="G61" s="411">
        <v>11</v>
      </c>
      <c r="H61" s="411">
        <v>1</v>
      </c>
      <c r="I61" s="411">
        <v>0</v>
      </c>
      <c r="J61" s="411">
        <v>0</v>
      </c>
      <c r="K61" s="411">
        <v>0</v>
      </c>
      <c r="L61" s="411">
        <v>0</v>
      </c>
      <c r="M61" s="411">
        <v>1</v>
      </c>
      <c r="N61" s="411">
        <v>0</v>
      </c>
      <c r="O61" s="411">
        <v>0</v>
      </c>
      <c r="P61" s="411">
        <v>0</v>
      </c>
      <c r="Q61" s="411">
        <v>0</v>
      </c>
      <c r="R61" s="411">
        <v>0</v>
      </c>
      <c r="S61" s="411">
        <v>0</v>
      </c>
      <c r="T61" s="411">
        <v>0</v>
      </c>
      <c r="U61" s="411">
        <v>0</v>
      </c>
      <c r="V61" s="411">
        <v>0</v>
      </c>
      <c r="W61" s="411">
        <v>1</v>
      </c>
      <c r="X61" s="411">
        <v>0</v>
      </c>
      <c r="Y61" s="411">
        <v>0</v>
      </c>
      <c r="Z61" s="411">
        <v>1</v>
      </c>
      <c r="AA61" s="411">
        <v>1</v>
      </c>
      <c r="AB61" s="411">
        <v>1</v>
      </c>
      <c r="AC61" s="400">
        <v>0</v>
      </c>
      <c r="AD61" s="408"/>
      <c r="AE61" s="408"/>
      <c r="AF61" s="412"/>
      <c r="AG61" s="405">
        <v>42859</v>
      </c>
      <c r="AH61" s="406">
        <v>0.39777777777777779</v>
      </c>
    </row>
    <row r="62" spans="1:34" ht="15.75" customHeight="1">
      <c r="A62" s="413">
        <v>53</v>
      </c>
      <c r="B62" s="414" t="s">
        <v>886</v>
      </c>
      <c r="C62" s="415" t="s">
        <v>994</v>
      </c>
      <c r="D62" s="411"/>
      <c r="E62" s="411">
        <v>18</v>
      </c>
      <c r="F62" s="411" t="s">
        <v>1400</v>
      </c>
      <c r="G62" s="411">
        <v>12</v>
      </c>
      <c r="H62" s="411">
        <v>1</v>
      </c>
      <c r="I62" s="411">
        <v>0</v>
      </c>
      <c r="J62" s="411">
        <v>0</v>
      </c>
      <c r="K62" s="411">
        <v>0</v>
      </c>
      <c r="L62" s="411">
        <v>0</v>
      </c>
      <c r="M62" s="411">
        <v>1</v>
      </c>
      <c r="N62" s="411">
        <v>0</v>
      </c>
      <c r="O62" s="411">
        <v>0</v>
      </c>
      <c r="P62" s="411">
        <v>0</v>
      </c>
      <c r="Q62" s="411">
        <v>0</v>
      </c>
      <c r="R62" s="411">
        <v>0</v>
      </c>
      <c r="S62" s="411">
        <v>0</v>
      </c>
      <c r="T62" s="411">
        <v>0</v>
      </c>
      <c r="U62" s="411">
        <v>0</v>
      </c>
      <c r="V62" s="411">
        <v>0</v>
      </c>
      <c r="W62" s="411">
        <v>1</v>
      </c>
      <c r="X62" s="411">
        <v>0</v>
      </c>
      <c r="Y62" s="411">
        <v>0</v>
      </c>
      <c r="Z62" s="411">
        <v>1</v>
      </c>
      <c r="AA62" s="411">
        <v>1</v>
      </c>
      <c r="AB62" s="411">
        <v>1</v>
      </c>
      <c r="AC62" s="400">
        <v>0</v>
      </c>
      <c r="AD62" s="408"/>
      <c r="AE62" s="408"/>
      <c r="AF62" s="412"/>
      <c r="AG62" s="405">
        <v>42859</v>
      </c>
      <c r="AH62" s="406">
        <v>0.39782407407407411</v>
      </c>
    </row>
    <row r="63" spans="1:34" ht="15.75" customHeight="1">
      <c r="A63" s="413">
        <v>54</v>
      </c>
      <c r="B63" s="414" t="s">
        <v>886</v>
      </c>
      <c r="C63" s="415" t="s">
        <v>994</v>
      </c>
      <c r="D63" s="411"/>
      <c r="E63" s="411">
        <v>19</v>
      </c>
      <c r="F63" s="411" t="s">
        <v>1400</v>
      </c>
      <c r="G63" s="411">
        <v>11</v>
      </c>
      <c r="H63" s="411">
        <v>1</v>
      </c>
      <c r="I63" s="411">
        <v>0</v>
      </c>
      <c r="J63" s="411">
        <v>0</v>
      </c>
      <c r="K63" s="411">
        <v>0</v>
      </c>
      <c r="L63" s="411">
        <v>0</v>
      </c>
      <c r="M63" s="411">
        <v>1</v>
      </c>
      <c r="N63" s="411">
        <v>0</v>
      </c>
      <c r="O63" s="411">
        <v>0</v>
      </c>
      <c r="P63" s="411">
        <v>0</v>
      </c>
      <c r="Q63" s="411">
        <v>0</v>
      </c>
      <c r="R63" s="411">
        <v>0</v>
      </c>
      <c r="S63" s="411">
        <v>0</v>
      </c>
      <c r="T63" s="411">
        <v>0</v>
      </c>
      <c r="U63" s="411">
        <v>0</v>
      </c>
      <c r="V63" s="411">
        <v>0</v>
      </c>
      <c r="W63" s="411">
        <v>1</v>
      </c>
      <c r="X63" s="411">
        <v>0</v>
      </c>
      <c r="Y63" s="411">
        <v>0</v>
      </c>
      <c r="Z63" s="411">
        <v>1</v>
      </c>
      <c r="AA63" s="411">
        <v>1</v>
      </c>
      <c r="AB63" s="411">
        <v>1</v>
      </c>
      <c r="AC63" s="400">
        <v>0</v>
      </c>
      <c r="AD63" s="408"/>
      <c r="AE63" s="408"/>
      <c r="AF63" s="412"/>
      <c r="AG63" s="405">
        <v>42859</v>
      </c>
      <c r="AH63" s="406">
        <v>0.39802083333333332</v>
      </c>
    </row>
    <row r="64" spans="1:34" ht="15.75" customHeight="1">
      <c r="A64" s="413">
        <v>55</v>
      </c>
      <c r="B64" s="414" t="s">
        <v>886</v>
      </c>
      <c r="C64" s="415" t="s">
        <v>994</v>
      </c>
      <c r="D64" s="411"/>
      <c r="E64" s="411">
        <v>20</v>
      </c>
      <c r="F64" s="411" t="s">
        <v>1400</v>
      </c>
      <c r="G64" s="411">
        <v>11</v>
      </c>
      <c r="H64" s="411">
        <v>1</v>
      </c>
      <c r="I64" s="411">
        <v>0</v>
      </c>
      <c r="J64" s="411">
        <v>0</v>
      </c>
      <c r="K64" s="411">
        <v>0</v>
      </c>
      <c r="L64" s="411">
        <v>0</v>
      </c>
      <c r="M64" s="411">
        <v>1</v>
      </c>
      <c r="N64" s="411">
        <v>0</v>
      </c>
      <c r="O64" s="411">
        <v>0</v>
      </c>
      <c r="P64" s="411">
        <v>0</v>
      </c>
      <c r="Q64" s="411">
        <v>0</v>
      </c>
      <c r="R64" s="411">
        <v>0</v>
      </c>
      <c r="S64" s="411">
        <v>0</v>
      </c>
      <c r="T64" s="411">
        <v>0</v>
      </c>
      <c r="U64" s="411">
        <v>0</v>
      </c>
      <c r="V64" s="411">
        <v>0</v>
      </c>
      <c r="W64" s="411">
        <v>1</v>
      </c>
      <c r="X64" s="411">
        <v>0</v>
      </c>
      <c r="Y64" s="411">
        <v>0</v>
      </c>
      <c r="Z64" s="411">
        <v>1</v>
      </c>
      <c r="AA64" s="411">
        <v>1</v>
      </c>
      <c r="AB64" s="411">
        <v>1</v>
      </c>
      <c r="AC64" s="400">
        <v>0</v>
      </c>
      <c r="AD64" s="408"/>
      <c r="AE64" s="408"/>
      <c r="AF64" s="412"/>
      <c r="AG64" s="405">
        <v>42859</v>
      </c>
      <c r="AH64" s="406">
        <v>0.39806712962962965</v>
      </c>
    </row>
    <row r="65" spans="1:34" ht="15.75" customHeight="1">
      <c r="A65" s="413">
        <v>56</v>
      </c>
      <c r="B65" s="414" t="s">
        <v>886</v>
      </c>
      <c r="C65" s="415" t="s">
        <v>994</v>
      </c>
      <c r="D65" s="411"/>
      <c r="E65" s="411">
        <v>21</v>
      </c>
      <c r="F65" s="411" t="s">
        <v>1400</v>
      </c>
      <c r="G65" s="411">
        <v>18</v>
      </c>
      <c r="H65" s="411">
        <v>1</v>
      </c>
      <c r="I65" s="411">
        <v>0</v>
      </c>
      <c r="J65" s="411">
        <v>0</v>
      </c>
      <c r="K65" s="411">
        <v>0</v>
      </c>
      <c r="L65" s="411">
        <v>0</v>
      </c>
      <c r="M65" s="411">
        <v>1</v>
      </c>
      <c r="N65" s="411">
        <v>0</v>
      </c>
      <c r="O65" s="411">
        <v>0</v>
      </c>
      <c r="P65" s="411">
        <v>0</v>
      </c>
      <c r="Q65" s="411">
        <v>0</v>
      </c>
      <c r="R65" s="411">
        <v>0</v>
      </c>
      <c r="S65" s="411">
        <v>0</v>
      </c>
      <c r="T65" s="411">
        <v>0</v>
      </c>
      <c r="U65" s="411">
        <v>0</v>
      </c>
      <c r="V65" s="411">
        <v>0</v>
      </c>
      <c r="W65" s="411">
        <v>1</v>
      </c>
      <c r="X65" s="411">
        <v>0</v>
      </c>
      <c r="Y65" s="411">
        <v>0</v>
      </c>
      <c r="Z65" s="411">
        <v>1</v>
      </c>
      <c r="AA65" s="411">
        <v>1</v>
      </c>
      <c r="AB65" s="411">
        <v>1</v>
      </c>
      <c r="AC65" s="400">
        <v>0</v>
      </c>
      <c r="AD65" s="408"/>
      <c r="AE65" s="408"/>
      <c r="AF65" s="412"/>
      <c r="AG65" s="405">
        <v>42859</v>
      </c>
      <c r="AH65" s="406">
        <v>0.39810185185185182</v>
      </c>
    </row>
    <row r="66" spans="1:34" ht="15.75" customHeight="1">
      <c r="A66" s="413">
        <v>57</v>
      </c>
      <c r="B66" s="414" t="s">
        <v>886</v>
      </c>
      <c r="C66" s="415" t="s">
        <v>994</v>
      </c>
      <c r="D66" s="411"/>
      <c r="E66" s="411">
        <v>22</v>
      </c>
      <c r="F66" s="411" t="s">
        <v>1400</v>
      </c>
      <c r="G66" s="411">
        <v>11</v>
      </c>
      <c r="H66" s="411">
        <v>1</v>
      </c>
      <c r="I66" s="411">
        <v>0</v>
      </c>
      <c r="J66" s="411">
        <v>0</v>
      </c>
      <c r="K66" s="411">
        <v>0</v>
      </c>
      <c r="L66" s="411">
        <v>0</v>
      </c>
      <c r="M66" s="411">
        <v>1</v>
      </c>
      <c r="N66" s="411">
        <v>0</v>
      </c>
      <c r="O66" s="411">
        <v>0</v>
      </c>
      <c r="P66" s="411">
        <v>0</v>
      </c>
      <c r="Q66" s="411">
        <v>0</v>
      </c>
      <c r="R66" s="411">
        <v>0</v>
      </c>
      <c r="S66" s="411">
        <v>0</v>
      </c>
      <c r="T66" s="411">
        <v>0</v>
      </c>
      <c r="U66" s="411">
        <v>0</v>
      </c>
      <c r="V66" s="411">
        <v>0</v>
      </c>
      <c r="W66" s="411">
        <v>1</v>
      </c>
      <c r="X66" s="411">
        <v>0</v>
      </c>
      <c r="Y66" s="411">
        <v>0</v>
      </c>
      <c r="Z66" s="411">
        <v>1</v>
      </c>
      <c r="AA66" s="411">
        <v>1</v>
      </c>
      <c r="AB66" s="411">
        <v>1</v>
      </c>
      <c r="AC66" s="400">
        <v>0</v>
      </c>
      <c r="AD66" s="408"/>
      <c r="AE66" s="408"/>
      <c r="AF66" s="412"/>
      <c r="AG66" s="405">
        <v>42859</v>
      </c>
      <c r="AH66" s="406">
        <v>0.3982060185185185</v>
      </c>
    </row>
    <row r="67" spans="1:34" ht="15.75" customHeight="1">
      <c r="A67" s="413">
        <v>58</v>
      </c>
      <c r="B67" s="414" t="s">
        <v>886</v>
      </c>
      <c r="C67" s="415" t="s">
        <v>994</v>
      </c>
      <c r="D67" s="411"/>
      <c r="E67" s="411">
        <v>23</v>
      </c>
      <c r="F67" s="411" t="s">
        <v>1400</v>
      </c>
      <c r="G67" s="411">
        <v>10</v>
      </c>
      <c r="H67" s="411">
        <v>1</v>
      </c>
      <c r="I67" s="411">
        <v>0</v>
      </c>
      <c r="J67" s="411">
        <v>0</v>
      </c>
      <c r="K67" s="411">
        <v>0</v>
      </c>
      <c r="L67" s="411">
        <v>0</v>
      </c>
      <c r="M67" s="411">
        <v>1</v>
      </c>
      <c r="N67" s="411">
        <v>0</v>
      </c>
      <c r="O67" s="411">
        <v>0</v>
      </c>
      <c r="P67" s="411">
        <v>0</v>
      </c>
      <c r="Q67" s="411">
        <v>0</v>
      </c>
      <c r="R67" s="411">
        <v>0</v>
      </c>
      <c r="S67" s="411">
        <v>0</v>
      </c>
      <c r="T67" s="411">
        <v>0</v>
      </c>
      <c r="U67" s="411">
        <v>0</v>
      </c>
      <c r="V67" s="411">
        <v>0</v>
      </c>
      <c r="W67" s="411">
        <v>1</v>
      </c>
      <c r="X67" s="411">
        <v>0</v>
      </c>
      <c r="Y67" s="411">
        <v>0</v>
      </c>
      <c r="Z67" s="411">
        <v>1</v>
      </c>
      <c r="AA67" s="411">
        <v>1</v>
      </c>
      <c r="AB67" s="411">
        <v>1</v>
      </c>
      <c r="AC67" s="400">
        <v>0</v>
      </c>
      <c r="AD67" s="408"/>
      <c r="AE67" s="408"/>
      <c r="AF67" s="412"/>
      <c r="AG67" s="405">
        <v>42859</v>
      </c>
      <c r="AH67" s="406">
        <v>0.39824074074074073</v>
      </c>
    </row>
    <row r="68" spans="1:34" ht="15.75" customHeight="1">
      <c r="A68" s="413">
        <v>59</v>
      </c>
      <c r="B68" s="414" t="s">
        <v>886</v>
      </c>
      <c r="C68" s="415" t="s">
        <v>994</v>
      </c>
      <c r="D68" s="411"/>
      <c r="E68" s="411">
        <v>24</v>
      </c>
      <c r="F68" s="411" t="s">
        <v>1400</v>
      </c>
      <c r="G68" s="411">
        <v>14</v>
      </c>
      <c r="H68" s="411">
        <v>1</v>
      </c>
      <c r="I68" s="411">
        <v>0</v>
      </c>
      <c r="J68" s="411">
        <v>0</v>
      </c>
      <c r="K68" s="411">
        <v>0</v>
      </c>
      <c r="L68" s="411">
        <v>0</v>
      </c>
      <c r="M68" s="411">
        <v>1</v>
      </c>
      <c r="N68" s="411">
        <v>0</v>
      </c>
      <c r="O68" s="411">
        <v>0</v>
      </c>
      <c r="P68" s="411">
        <v>0</v>
      </c>
      <c r="Q68" s="411">
        <v>0</v>
      </c>
      <c r="R68" s="411">
        <v>0</v>
      </c>
      <c r="S68" s="411">
        <v>0</v>
      </c>
      <c r="T68" s="411">
        <v>0</v>
      </c>
      <c r="U68" s="411">
        <v>0</v>
      </c>
      <c r="V68" s="411">
        <v>0</v>
      </c>
      <c r="W68" s="411">
        <v>1</v>
      </c>
      <c r="X68" s="411">
        <v>0</v>
      </c>
      <c r="Y68" s="411">
        <v>0</v>
      </c>
      <c r="Z68" s="411">
        <v>1</v>
      </c>
      <c r="AA68" s="411">
        <v>1</v>
      </c>
      <c r="AB68" s="411">
        <v>1</v>
      </c>
      <c r="AC68" s="400">
        <v>0</v>
      </c>
      <c r="AD68" s="408"/>
      <c r="AE68" s="408"/>
      <c r="AF68" s="412"/>
      <c r="AG68" s="405">
        <v>42859</v>
      </c>
      <c r="AH68" s="406">
        <v>0.39829861111111109</v>
      </c>
    </row>
    <row r="69" spans="1:34" ht="15.75" customHeight="1">
      <c r="A69" s="413">
        <v>60</v>
      </c>
      <c r="B69" s="414" t="s">
        <v>886</v>
      </c>
      <c r="C69" s="415" t="s">
        <v>994</v>
      </c>
      <c r="D69" s="411"/>
      <c r="E69" s="411">
        <v>25</v>
      </c>
      <c r="F69" s="411" t="s">
        <v>1400</v>
      </c>
      <c r="G69" s="411">
        <v>13</v>
      </c>
      <c r="H69" s="411">
        <v>1</v>
      </c>
      <c r="I69" s="411">
        <v>0</v>
      </c>
      <c r="J69" s="411">
        <v>0</v>
      </c>
      <c r="K69" s="411">
        <v>0</v>
      </c>
      <c r="L69" s="411">
        <v>0</v>
      </c>
      <c r="M69" s="411">
        <v>1</v>
      </c>
      <c r="N69" s="411">
        <v>0</v>
      </c>
      <c r="O69" s="411">
        <v>0</v>
      </c>
      <c r="P69" s="411">
        <v>0</v>
      </c>
      <c r="Q69" s="411">
        <v>0</v>
      </c>
      <c r="R69" s="411">
        <v>0</v>
      </c>
      <c r="S69" s="411">
        <v>0</v>
      </c>
      <c r="T69" s="411">
        <v>0</v>
      </c>
      <c r="U69" s="411">
        <v>0</v>
      </c>
      <c r="V69" s="411">
        <v>0</v>
      </c>
      <c r="W69" s="411">
        <v>1</v>
      </c>
      <c r="X69" s="411">
        <v>0</v>
      </c>
      <c r="Y69" s="411">
        <v>0</v>
      </c>
      <c r="Z69" s="411">
        <v>1</v>
      </c>
      <c r="AA69" s="411">
        <v>1</v>
      </c>
      <c r="AB69" s="411">
        <v>1</v>
      </c>
      <c r="AC69" s="400">
        <v>0</v>
      </c>
      <c r="AD69" s="408"/>
      <c r="AE69" s="408"/>
      <c r="AF69" s="412"/>
      <c r="AG69" s="405">
        <v>42859</v>
      </c>
      <c r="AH69" s="406">
        <v>0.39834490740740741</v>
      </c>
    </row>
    <row r="70" spans="1:34" ht="15.75" customHeight="1">
      <c r="A70" s="413">
        <v>61</v>
      </c>
      <c r="B70" s="414" t="s">
        <v>886</v>
      </c>
      <c r="C70" s="415" t="s">
        <v>994</v>
      </c>
      <c r="D70" s="411"/>
      <c r="E70" s="411">
        <v>26</v>
      </c>
      <c r="F70" s="411" t="s">
        <v>1400</v>
      </c>
      <c r="G70" s="411">
        <v>15</v>
      </c>
      <c r="H70" s="411">
        <v>1</v>
      </c>
      <c r="I70" s="411">
        <v>0</v>
      </c>
      <c r="J70" s="411">
        <v>0</v>
      </c>
      <c r="K70" s="411">
        <v>0</v>
      </c>
      <c r="L70" s="411">
        <v>0</v>
      </c>
      <c r="M70" s="411">
        <v>1</v>
      </c>
      <c r="N70" s="411">
        <v>0</v>
      </c>
      <c r="O70" s="411">
        <v>0</v>
      </c>
      <c r="P70" s="411">
        <v>0</v>
      </c>
      <c r="Q70" s="411">
        <v>0</v>
      </c>
      <c r="R70" s="411">
        <v>0</v>
      </c>
      <c r="S70" s="411">
        <v>0</v>
      </c>
      <c r="T70" s="411">
        <v>0</v>
      </c>
      <c r="U70" s="411">
        <v>0</v>
      </c>
      <c r="V70" s="411">
        <v>0</v>
      </c>
      <c r="W70" s="411">
        <v>1</v>
      </c>
      <c r="X70" s="411">
        <v>0</v>
      </c>
      <c r="Y70" s="411">
        <v>0</v>
      </c>
      <c r="Z70" s="411">
        <v>1</v>
      </c>
      <c r="AA70" s="411">
        <v>1</v>
      </c>
      <c r="AB70" s="411">
        <v>1</v>
      </c>
      <c r="AC70" s="400">
        <v>0</v>
      </c>
      <c r="AD70" s="408"/>
      <c r="AE70" s="408"/>
      <c r="AF70" s="412"/>
      <c r="AG70" s="405">
        <v>42859</v>
      </c>
      <c r="AH70" s="406">
        <v>0.39884259259259264</v>
      </c>
    </row>
    <row r="71" spans="1:34" ht="15.75" customHeight="1">
      <c r="A71" s="413">
        <v>62</v>
      </c>
      <c r="B71" s="414" t="s">
        <v>886</v>
      </c>
      <c r="C71" s="415" t="s">
        <v>994</v>
      </c>
      <c r="D71" s="411"/>
      <c r="E71" s="411">
        <v>27</v>
      </c>
      <c r="F71" s="411" t="s">
        <v>1400</v>
      </c>
      <c r="G71" s="411">
        <v>12</v>
      </c>
      <c r="H71" s="411">
        <v>1</v>
      </c>
      <c r="I71" s="411">
        <v>0</v>
      </c>
      <c r="J71" s="411">
        <v>0</v>
      </c>
      <c r="K71" s="411">
        <v>0</v>
      </c>
      <c r="L71" s="411">
        <v>0</v>
      </c>
      <c r="M71" s="411">
        <v>1</v>
      </c>
      <c r="N71" s="411">
        <v>0</v>
      </c>
      <c r="O71" s="411">
        <v>0</v>
      </c>
      <c r="P71" s="411">
        <v>0</v>
      </c>
      <c r="Q71" s="411">
        <v>0</v>
      </c>
      <c r="R71" s="411">
        <v>0</v>
      </c>
      <c r="S71" s="411">
        <v>0</v>
      </c>
      <c r="T71" s="411">
        <v>0</v>
      </c>
      <c r="U71" s="411">
        <v>0</v>
      </c>
      <c r="V71" s="411">
        <v>0</v>
      </c>
      <c r="W71" s="411">
        <v>1</v>
      </c>
      <c r="X71" s="411">
        <v>0</v>
      </c>
      <c r="Y71" s="411">
        <v>0</v>
      </c>
      <c r="Z71" s="411">
        <v>1</v>
      </c>
      <c r="AA71" s="411">
        <v>1</v>
      </c>
      <c r="AB71" s="411">
        <v>1</v>
      </c>
      <c r="AC71" s="400">
        <v>0</v>
      </c>
      <c r="AD71" s="408"/>
      <c r="AE71" s="408"/>
      <c r="AF71" s="412"/>
      <c r="AG71" s="405">
        <v>42859</v>
      </c>
      <c r="AH71" s="406">
        <v>0.39887731481481481</v>
      </c>
    </row>
    <row r="72" spans="1:34" ht="15.75" customHeight="1">
      <c r="A72" s="413">
        <v>63</v>
      </c>
      <c r="B72" s="414" t="s">
        <v>886</v>
      </c>
      <c r="C72" s="415" t="s">
        <v>994</v>
      </c>
      <c r="D72" s="411"/>
      <c r="E72" s="411">
        <v>28</v>
      </c>
      <c r="F72" s="411" t="s">
        <v>1400</v>
      </c>
      <c r="G72" s="411">
        <v>9</v>
      </c>
      <c r="H72" s="411">
        <v>1</v>
      </c>
      <c r="I72" s="411">
        <v>0</v>
      </c>
      <c r="J72" s="411">
        <v>0</v>
      </c>
      <c r="K72" s="411">
        <v>0</v>
      </c>
      <c r="L72" s="411">
        <v>0</v>
      </c>
      <c r="M72" s="411">
        <v>1</v>
      </c>
      <c r="N72" s="411">
        <v>0</v>
      </c>
      <c r="O72" s="411">
        <v>0</v>
      </c>
      <c r="P72" s="411">
        <v>0</v>
      </c>
      <c r="Q72" s="411">
        <v>0</v>
      </c>
      <c r="R72" s="411">
        <v>0</v>
      </c>
      <c r="S72" s="411">
        <v>0</v>
      </c>
      <c r="T72" s="411">
        <v>0</v>
      </c>
      <c r="U72" s="411">
        <v>0</v>
      </c>
      <c r="V72" s="411">
        <v>0</v>
      </c>
      <c r="W72" s="411">
        <v>1</v>
      </c>
      <c r="X72" s="411">
        <v>0</v>
      </c>
      <c r="Y72" s="411">
        <v>0</v>
      </c>
      <c r="Z72" s="411">
        <v>1</v>
      </c>
      <c r="AA72" s="411">
        <v>1</v>
      </c>
      <c r="AB72" s="411">
        <v>1</v>
      </c>
      <c r="AC72" s="400">
        <v>0</v>
      </c>
      <c r="AD72" s="408"/>
      <c r="AE72" s="408"/>
      <c r="AF72" s="412"/>
      <c r="AG72" s="405">
        <v>42859</v>
      </c>
      <c r="AH72" s="406">
        <v>0.39900462962962963</v>
      </c>
    </row>
    <row r="73" spans="1:34" ht="15.75" customHeight="1">
      <c r="A73" s="413">
        <v>64</v>
      </c>
      <c r="B73" s="414" t="s">
        <v>886</v>
      </c>
      <c r="C73" s="415" t="s">
        <v>994</v>
      </c>
      <c r="D73" s="411"/>
      <c r="E73" s="411">
        <v>29</v>
      </c>
      <c r="F73" s="411" t="s">
        <v>1400</v>
      </c>
      <c r="G73" s="411">
        <v>18</v>
      </c>
      <c r="H73" s="411">
        <v>1</v>
      </c>
      <c r="I73" s="411">
        <v>0</v>
      </c>
      <c r="J73" s="411">
        <v>0</v>
      </c>
      <c r="K73" s="411">
        <v>0</v>
      </c>
      <c r="L73" s="411">
        <v>0</v>
      </c>
      <c r="M73" s="411">
        <v>1</v>
      </c>
      <c r="N73" s="411">
        <v>0</v>
      </c>
      <c r="O73" s="411">
        <v>0</v>
      </c>
      <c r="P73" s="411">
        <v>0</v>
      </c>
      <c r="Q73" s="411">
        <v>0</v>
      </c>
      <c r="R73" s="411">
        <v>0</v>
      </c>
      <c r="S73" s="411">
        <v>0</v>
      </c>
      <c r="T73" s="411">
        <v>0</v>
      </c>
      <c r="U73" s="411">
        <v>0</v>
      </c>
      <c r="V73" s="411">
        <v>0</v>
      </c>
      <c r="W73" s="411">
        <v>1</v>
      </c>
      <c r="X73" s="411">
        <v>0</v>
      </c>
      <c r="Y73" s="411">
        <v>0</v>
      </c>
      <c r="Z73" s="411">
        <v>1</v>
      </c>
      <c r="AA73" s="411">
        <v>1</v>
      </c>
      <c r="AB73" s="411">
        <v>1</v>
      </c>
      <c r="AC73" s="400">
        <v>0</v>
      </c>
      <c r="AD73" s="408"/>
      <c r="AE73" s="408"/>
      <c r="AF73" s="412"/>
      <c r="AG73" s="405">
        <v>42859</v>
      </c>
      <c r="AH73" s="406">
        <v>0.39903935185185185</v>
      </c>
    </row>
    <row r="74" spans="1:34" ht="15.75" customHeight="1">
      <c r="A74" s="413">
        <v>65</v>
      </c>
      <c r="B74" s="414" t="s">
        <v>886</v>
      </c>
      <c r="C74" s="415" t="s">
        <v>994</v>
      </c>
      <c r="D74" s="411"/>
      <c r="E74" s="411">
        <v>30</v>
      </c>
      <c r="F74" s="411" t="s">
        <v>1400</v>
      </c>
      <c r="G74" s="411">
        <v>12</v>
      </c>
      <c r="H74" s="411">
        <v>1</v>
      </c>
      <c r="I74" s="411">
        <v>0</v>
      </c>
      <c r="J74" s="411">
        <v>0</v>
      </c>
      <c r="K74" s="411">
        <v>0</v>
      </c>
      <c r="L74" s="411">
        <v>0</v>
      </c>
      <c r="M74" s="411">
        <v>1</v>
      </c>
      <c r="N74" s="411">
        <v>0</v>
      </c>
      <c r="O74" s="411">
        <v>0</v>
      </c>
      <c r="P74" s="411">
        <v>0</v>
      </c>
      <c r="Q74" s="411">
        <v>0</v>
      </c>
      <c r="R74" s="411">
        <v>0</v>
      </c>
      <c r="S74" s="411">
        <v>0</v>
      </c>
      <c r="T74" s="411">
        <v>0</v>
      </c>
      <c r="U74" s="411">
        <v>0</v>
      </c>
      <c r="V74" s="411">
        <v>0</v>
      </c>
      <c r="W74" s="411">
        <v>1</v>
      </c>
      <c r="X74" s="411">
        <v>0</v>
      </c>
      <c r="Y74" s="411">
        <v>0</v>
      </c>
      <c r="Z74" s="411">
        <v>1</v>
      </c>
      <c r="AA74" s="411">
        <v>1</v>
      </c>
      <c r="AB74" s="411">
        <v>1</v>
      </c>
      <c r="AC74" s="400">
        <v>0</v>
      </c>
      <c r="AD74" s="408"/>
      <c r="AE74" s="408"/>
      <c r="AF74" s="412"/>
      <c r="AG74" s="405">
        <v>42859</v>
      </c>
      <c r="AH74" s="406">
        <v>0.39909722222222221</v>
      </c>
    </row>
    <row r="75" spans="1:34" ht="15.75" customHeight="1">
      <c r="A75" s="413">
        <v>66</v>
      </c>
      <c r="B75" s="414" t="s">
        <v>886</v>
      </c>
      <c r="C75" s="415" t="s">
        <v>994</v>
      </c>
      <c r="D75" s="411"/>
      <c r="E75" s="411">
        <v>31</v>
      </c>
      <c r="F75" s="411" t="s">
        <v>1400</v>
      </c>
      <c r="G75" s="411">
        <v>11</v>
      </c>
      <c r="H75" s="411">
        <v>1</v>
      </c>
      <c r="I75" s="411">
        <v>0</v>
      </c>
      <c r="J75" s="411">
        <v>0</v>
      </c>
      <c r="K75" s="411">
        <v>0</v>
      </c>
      <c r="L75" s="411">
        <v>0</v>
      </c>
      <c r="M75" s="411">
        <v>1</v>
      </c>
      <c r="N75" s="411">
        <v>0</v>
      </c>
      <c r="O75" s="411">
        <v>0</v>
      </c>
      <c r="P75" s="411">
        <v>0</v>
      </c>
      <c r="Q75" s="411">
        <v>0</v>
      </c>
      <c r="R75" s="411">
        <v>0</v>
      </c>
      <c r="S75" s="411">
        <v>0</v>
      </c>
      <c r="T75" s="411">
        <v>0</v>
      </c>
      <c r="U75" s="411">
        <v>0</v>
      </c>
      <c r="V75" s="411">
        <v>0</v>
      </c>
      <c r="W75" s="411">
        <v>1</v>
      </c>
      <c r="X75" s="411">
        <v>0</v>
      </c>
      <c r="Y75" s="411">
        <v>0</v>
      </c>
      <c r="Z75" s="411">
        <v>1</v>
      </c>
      <c r="AA75" s="411">
        <v>1</v>
      </c>
      <c r="AB75" s="411">
        <v>1</v>
      </c>
      <c r="AC75" s="400">
        <v>0</v>
      </c>
      <c r="AD75" s="408"/>
      <c r="AE75" s="408"/>
      <c r="AF75" s="412"/>
      <c r="AG75" s="405">
        <v>42859</v>
      </c>
      <c r="AH75" s="406">
        <v>0.3992708333333333</v>
      </c>
    </row>
    <row r="76" spans="1:34" ht="15.75" customHeight="1">
      <c r="A76" s="413">
        <v>67</v>
      </c>
      <c r="B76" s="414" t="s">
        <v>886</v>
      </c>
      <c r="C76" s="415" t="s">
        <v>994</v>
      </c>
      <c r="D76" s="411"/>
      <c r="E76" s="411">
        <v>32</v>
      </c>
      <c r="F76" s="411" t="s">
        <v>1400</v>
      </c>
      <c r="G76" s="411">
        <v>12</v>
      </c>
      <c r="H76" s="411">
        <v>1</v>
      </c>
      <c r="I76" s="411">
        <v>0</v>
      </c>
      <c r="J76" s="411">
        <v>0</v>
      </c>
      <c r="K76" s="411">
        <v>0</v>
      </c>
      <c r="L76" s="411">
        <v>0</v>
      </c>
      <c r="M76" s="411">
        <v>1</v>
      </c>
      <c r="N76" s="411">
        <v>0</v>
      </c>
      <c r="O76" s="411">
        <v>0</v>
      </c>
      <c r="P76" s="411">
        <v>0</v>
      </c>
      <c r="Q76" s="411">
        <v>0</v>
      </c>
      <c r="R76" s="411">
        <v>0</v>
      </c>
      <c r="S76" s="411">
        <v>0</v>
      </c>
      <c r="T76" s="411">
        <v>0</v>
      </c>
      <c r="U76" s="411">
        <v>0</v>
      </c>
      <c r="V76" s="411">
        <v>0</v>
      </c>
      <c r="W76" s="411">
        <v>1</v>
      </c>
      <c r="X76" s="411">
        <v>0</v>
      </c>
      <c r="Y76" s="411">
        <v>0</v>
      </c>
      <c r="Z76" s="411">
        <v>1</v>
      </c>
      <c r="AA76" s="411">
        <v>1</v>
      </c>
      <c r="AB76" s="411">
        <v>1</v>
      </c>
      <c r="AC76" s="400">
        <v>0</v>
      </c>
      <c r="AD76" s="408"/>
      <c r="AE76" s="408"/>
      <c r="AF76" s="412"/>
      <c r="AG76" s="405">
        <v>42859</v>
      </c>
      <c r="AH76" s="406">
        <v>0.39951388888888889</v>
      </c>
    </row>
    <row r="77" spans="1:34" ht="15.75" customHeight="1">
      <c r="A77" s="413">
        <v>68</v>
      </c>
      <c r="B77" s="414" t="s">
        <v>886</v>
      </c>
      <c r="C77" s="415" t="s">
        <v>994</v>
      </c>
      <c r="D77" s="411"/>
      <c r="E77" s="411">
        <v>33</v>
      </c>
      <c r="F77" s="411" t="s">
        <v>1400</v>
      </c>
      <c r="G77" s="411">
        <v>12</v>
      </c>
      <c r="H77" s="411">
        <v>1</v>
      </c>
      <c r="I77" s="411">
        <v>0</v>
      </c>
      <c r="J77" s="411">
        <v>0</v>
      </c>
      <c r="K77" s="411">
        <v>0</v>
      </c>
      <c r="L77" s="411">
        <v>0</v>
      </c>
      <c r="M77" s="411">
        <v>1</v>
      </c>
      <c r="N77" s="411">
        <v>0</v>
      </c>
      <c r="O77" s="411">
        <v>0</v>
      </c>
      <c r="P77" s="411">
        <v>0</v>
      </c>
      <c r="Q77" s="411">
        <v>0</v>
      </c>
      <c r="R77" s="411">
        <v>0</v>
      </c>
      <c r="S77" s="411">
        <v>0</v>
      </c>
      <c r="T77" s="411">
        <v>0</v>
      </c>
      <c r="U77" s="411">
        <v>0</v>
      </c>
      <c r="V77" s="411">
        <v>0</v>
      </c>
      <c r="W77" s="411">
        <v>1</v>
      </c>
      <c r="X77" s="411">
        <v>0</v>
      </c>
      <c r="Y77" s="411">
        <v>0</v>
      </c>
      <c r="Z77" s="411">
        <v>1</v>
      </c>
      <c r="AA77" s="411">
        <v>1</v>
      </c>
      <c r="AB77" s="411">
        <v>1</v>
      </c>
      <c r="AC77" s="400">
        <v>0</v>
      </c>
      <c r="AD77" s="408"/>
      <c r="AE77" s="408"/>
      <c r="AF77" s="412"/>
      <c r="AG77" s="405">
        <v>42859</v>
      </c>
      <c r="AH77" s="406">
        <v>0.39961805555555557</v>
      </c>
    </row>
    <row r="78" spans="1:34" ht="15.75" customHeight="1">
      <c r="A78" s="413">
        <v>69</v>
      </c>
      <c r="B78" s="414" t="s">
        <v>886</v>
      </c>
      <c r="C78" s="415" t="s">
        <v>994</v>
      </c>
      <c r="D78" s="411"/>
      <c r="E78" s="411">
        <v>34</v>
      </c>
      <c r="F78" s="411" t="s">
        <v>1400</v>
      </c>
      <c r="G78" s="411">
        <v>9</v>
      </c>
      <c r="H78" s="411">
        <v>1</v>
      </c>
      <c r="I78" s="411">
        <v>0</v>
      </c>
      <c r="J78" s="411">
        <v>0</v>
      </c>
      <c r="K78" s="411">
        <v>0</v>
      </c>
      <c r="L78" s="411">
        <v>0</v>
      </c>
      <c r="M78" s="411">
        <v>1</v>
      </c>
      <c r="N78" s="411">
        <v>0</v>
      </c>
      <c r="O78" s="411">
        <v>0</v>
      </c>
      <c r="P78" s="411">
        <v>0</v>
      </c>
      <c r="Q78" s="411">
        <v>0</v>
      </c>
      <c r="R78" s="411">
        <v>0</v>
      </c>
      <c r="S78" s="411">
        <v>0</v>
      </c>
      <c r="T78" s="411">
        <v>0</v>
      </c>
      <c r="U78" s="411">
        <v>0</v>
      </c>
      <c r="V78" s="411">
        <v>0</v>
      </c>
      <c r="W78" s="411">
        <v>1</v>
      </c>
      <c r="X78" s="411">
        <v>0</v>
      </c>
      <c r="Y78" s="411">
        <v>0</v>
      </c>
      <c r="Z78" s="411">
        <v>1</v>
      </c>
      <c r="AA78" s="411">
        <v>1</v>
      </c>
      <c r="AB78" s="411">
        <v>1</v>
      </c>
      <c r="AC78" s="400">
        <v>0</v>
      </c>
      <c r="AD78" s="408"/>
      <c r="AE78" s="408"/>
      <c r="AF78" s="412"/>
      <c r="AG78" s="405">
        <v>42859</v>
      </c>
      <c r="AH78" s="406">
        <v>0.39966435185185184</v>
      </c>
    </row>
    <row r="79" spans="1:34" ht="15.75" customHeight="1">
      <c r="A79" s="413">
        <v>70</v>
      </c>
      <c r="B79" s="414" t="s">
        <v>886</v>
      </c>
      <c r="C79" s="415" t="s">
        <v>994</v>
      </c>
      <c r="D79" s="411"/>
      <c r="E79" s="411">
        <v>35</v>
      </c>
      <c r="F79" s="411" t="s">
        <v>1400</v>
      </c>
      <c r="G79" s="411">
        <v>9</v>
      </c>
      <c r="H79" s="411">
        <v>1</v>
      </c>
      <c r="I79" s="411">
        <v>0</v>
      </c>
      <c r="J79" s="411">
        <v>0</v>
      </c>
      <c r="K79" s="411">
        <v>0</v>
      </c>
      <c r="L79" s="411">
        <v>0</v>
      </c>
      <c r="M79" s="411">
        <v>1</v>
      </c>
      <c r="N79" s="411">
        <v>0</v>
      </c>
      <c r="O79" s="411">
        <v>0</v>
      </c>
      <c r="P79" s="411">
        <v>0</v>
      </c>
      <c r="Q79" s="411">
        <v>0</v>
      </c>
      <c r="R79" s="411">
        <v>0</v>
      </c>
      <c r="S79" s="411">
        <v>0</v>
      </c>
      <c r="T79" s="411">
        <v>0</v>
      </c>
      <c r="U79" s="411">
        <v>0</v>
      </c>
      <c r="V79" s="411">
        <v>0</v>
      </c>
      <c r="W79" s="411">
        <v>1</v>
      </c>
      <c r="X79" s="411">
        <v>0</v>
      </c>
      <c r="Y79" s="411">
        <v>0</v>
      </c>
      <c r="Z79" s="411">
        <v>1</v>
      </c>
      <c r="AA79" s="411">
        <v>1</v>
      </c>
      <c r="AB79" s="411">
        <v>1</v>
      </c>
      <c r="AC79" s="400">
        <v>0</v>
      </c>
      <c r="AD79" s="408"/>
      <c r="AE79" s="408"/>
      <c r="AF79" s="412"/>
      <c r="AG79" s="405">
        <v>42859</v>
      </c>
      <c r="AH79" s="406">
        <v>0.39982638888888888</v>
      </c>
    </row>
    <row r="80" spans="1:34" ht="15.75" customHeight="1">
      <c r="A80" s="413">
        <v>71</v>
      </c>
      <c r="B80" s="414" t="s">
        <v>886</v>
      </c>
      <c r="C80" s="415" t="s">
        <v>994</v>
      </c>
      <c r="D80" s="411"/>
      <c r="E80" s="411">
        <v>36</v>
      </c>
      <c r="F80" s="411" t="s">
        <v>1400</v>
      </c>
      <c r="G80" s="411">
        <v>18</v>
      </c>
      <c r="H80" s="411">
        <v>1</v>
      </c>
      <c r="I80" s="411">
        <v>0</v>
      </c>
      <c r="J80" s="411">
        <v>0</v>
      </c>
      <c r="K80" s="411">
        <v>0</v>
      </c>
      <c r="L80" s="411">
        <v>0</v>
      </c>
      <c r="M80" s="411">
        <v>1</v>
      </c>
      <c r="N80" s="411">
        <v>0</v>
      </c>
      <c r="O80" s="411">
        <v>0</v>
      </c>
      <c r="P80" s="411">
        <v>0</v>
      </c>
      <c r="Q80" s="411">
        <v>0</v>
      </c>
      <c r="R80" s="411">
        <v>0</v>
      </c>
      <c r="S80" s="411">
        <v>0</v>
      </c>
      <c r="T80" s="411">
        <v>0</v>
      </c>
      <c r="U80" s="411">
        <v>0</v>
      </c>
      <c r="V80" s="411">
        <v>0</v>
      </c>
      <c r="W80" s="411">
        <v>1</v>
      </c>
      <c r="X80" s="411">
        <v>0</v>
      </c>
      <c r="Y80" s="411">
        <v>0</v>
      </c>
      <c r="Z80" s="411">
        <v>1</v>
      </c>
      <c r="AA80" s="411">
        <v>1</v>
      </c>
      <c r="AB80" s="411">
        <v>1</v>
      </c>
      <c r="AC80" s="400">
        <v>0</v>
      </c>
      <c r="AD80" s="408"/>
      <c r="AE80" s="408"/>
      <c r="AF80" s="412"/>
      <c r="AG80" s="405">
        <v>42859</v>
      </c>
      <c r="AH80" s="406">
        <v>0.40083333333333332</v>
      </c>
    </row>
    <row r="81" spans="1:34" ht="15.75" customHeight="1">
      <c r="A81" s="413">
        <v>72</v>
      </c>
      <c r="B81" s="414" t="s">
        <v>886</v>
      </c>
      <c r="C81" s="415" t="s">
        <v>994</v>
      </c>
      <c r="D81" s="411"/>
      <c r="E81" s="411">
        <v>37</v>
      </c>
      <c r="F81" s="411" t="s">
        <v>1400</v>
      </c>
      <c r="G81" s="411">
        <v>17</v>
      </c>
      <c r="H81" s="411">
        <v>1</v>
      </c>
      <c r="I81" s="411">
        <v>0</v>
      </c>
      <c r="J81" s="411">
        <v>0</v>
      </c>
      <c r="K81" s="411">
        <v>0</v>
      </c>
      <c r="L81" s="411">
        <v>0</v>
      </c>
      <c r="M81" s="411">
        <v>1</v>
      </c>
      <c r="N81" s="411">
        <v>0</v>
      </c>
      <c r="O81" s="411">
        <v>0</v>
      </c>
      <c r="P81" s="411">
        <v>0</v>
      </c>
      <c r="Q81" s="411">
        <v>0</v>
      </c>
      <c r="R81" s="411">
        <v>0</v>
      </c>
      <c r="S81" s="411">
        <v>0</v>
      </c>
      <c r="T81" s="411">
        <v>0</v>
      </c>
      <c r="U81" s="411">
        <v>0</v>
      </c>
      <c r="V81" s="411">
        <v>0</v>
      </c>
      <c r="W81" s="411">
        <v>1</v>
      </c>
      <c r="X81" s="411">
        <v>0</v>
      </c>
      <c r="Y81" s="411">
        <v>0</v>
      </c>
      <c r="Z81" s="411">
        <v>1</v>
      </c>
      <c r="AA81" s="411">
        <v>1</v>
      </c>
      <c r="AB81" s="411">
        <v>1</v>
      </c>
      <c r="AC81" s="400">
        <v>0</v>
      </c>
      <c r="AD81" s="408"/>
      <c r="AE81" s="408"/>
      <c r="AF81" s="412"/>
      <c r="AG81" s="405">
        <v>42859</v>
      </c>
      <c r="AH81" s="406">
        <v>0.40087962962962959</v>
      </c>
    </row>
    <row r="82" spans="1:34" ht="15.75" customHeight="1">
      <c r="A82" s="413">
        <v>73</v>
      </c>
      <c r="B82" s="414" t="s">
        <v>886</v>
      </c>
      <c r="C82" s="415" t="s">
        <v>994</v>
      </c>
      <c r="D82" s="411"/>
      <c r="E82" s="411">
        <v>38</v>
      </c>
      <c r="F82" s="411" t="s">
        <v>1400</v>
      </c>
      <c r="G82" s="411">
        <v>13</v>
      </c>
      <c r="H82" s="411">
        <v>1</v>
      </c>
      <c r="I82" s="411">
        <v>0</v>
      </c>
      <c r="J82" s="411">
        <v>0</v>
      </c>
      <c r="K82" s="411">
        <v>0</v>
      </c>
      <c r="L82" s="411">
        <v>0</v>
      </c>
      <c r="M82" s="411">
        <v>1</v>
      </c>
      <c r="N82" s="411">
        <v>0</v>
      </c>
      <c r="O82" s="411">
        <v>0</v>
      </c>
      <c r="P82" s="411">
        <v>0</v>
      </c>
      <c r="Q82" s="411">
        <v>0</v>
      </c>
      <c r="R82" s="411">
        <v>0</v>
      </c>
      <c r="S82" s="411">
        <v>0</v>
      </c>
      <c r="T82" s="411">
        <v>0</v>
      </c>
      <c r="U82" s="411">
        <v>0</v>
      </c>
      <c r="V82" s="411">
        <v>0</v>
      </c>
      <c r="W82" s="411">
        <v>1</v>
      </c>
      <c r="X82" s="411">
        <v>0</v>
      </c>
      <c r="Y82" s="411">
        <v>0</v>
      </c>
      <c r="Z82" s="411">
        <v>1</v>
      </c>
      <c r="AA82" s="411">
        <v>1</v>
      </c>
      <c r="AB82" s="411">
        <v>1</v>
      </c>
      <c r="AC82" s="400">
        <v>0</v>
      </c>
      <c r="AD82" s="408"/>
      <c r="AE82" s="408"/>
      <c r="AF82" s="412"/>
      <c r="AG82" s="405">
        <v>42859</v>
      </c>
      <c r="AH82" s="406">
        <v>0.4012384259259259</v>
      </c>
    </row>
    <row r="83" spans="1:34" ht="15.75" customHeight="1">
      <c r="A83" s="413">
        <v>74</v>
      </c>
      <c r="B83" s="414" t="s">
        <v>886</v>
      </c>
      <c r="C83" s="415" t="s">
        <v>994</v>
      </c>
      <c r="D83" s="411"/>
      <c r="E83" s="411">
        <v>39</v>
      </c>
      <c r="F83" s="411" t="s">
        <v>1400</v>
      </c>
      <c r="G83" s="411">
        <v>14</v>
      </c>
      <c r="H83" s="411">
        <v>1</v>
      </c>
      <c r="I83" s="411">
        <v>0</v>
      </c>
      <c r="J83" s="411">
        <v>0</v>
      </c>
      <c r="K83" s="411">
        <v>0</v>
      </c>
      <c r="L83" s="411">
        <v>0</v>
      </c>
      <c r="M83" s="411">
        <v>1</v>
      </c>
      <c r="N83" s="411">
        <v>0</v>
      </c>
      <c r="O83" s="411">
        <v>0</v>
      </c>
      <c r="P83" s="411">
        <v>0</v>
      </c>
      <c r="Q83" s="411">
        <v>0</v>
      </c>
      <c r="R83" s="411">
        <v>0</v>
      </c>
      <c r="S83" s="411">
        <v>0</v>
      </c>
      <c r="T83" s="411">
        <v>0</v>
      </c>
      <c r="U83" s="411">
        <v>0</v>
      </c>
      <c r="V83" s="411">
        <v>0</v>
      </c>
      <c r="W83" s="411">
        <v>1</v>
      </c>
      <c r="X83" s="411">
        <v>0</v>
      </c>
      <c r="Y83" s="411">
        <v>0</v>
      </c>
      <c r="Z83" s="411">
        <v>1</v>
      </c>
      <c r="AA83" s="411">
        <v>1</v>
      </c>
      <c r="AB83" s="411">
        <v>1</v>
      </c>
      <c r="AC83" s="400">
        <v>0</v>
      </c>
      <c r="AD83" s="408"/>
      <c r="AE83" s="408"/>
      <c r="AF83" s="412"/>
      <c r="AG83" s="405">
        <v>42859</v>
      </c>
      <c r="AH83" s="406">
        <v>0.40136574074074072</v>
      </c>
    </row>
    <row r="84" spans="1:34" ht="15.75" customHeight="1">
      <c r="A84" s="413">
        <v>75</v>
      </c>
      <c r="B84" s="414" t="s">
        <v>886</v>
      </c>
      <c r="C84" s="415" t="s">
        <v>994</v>
      </c>
      <c r="D84" s="411"/>
      <c r="E84" s="411">
        <v>40</v>
      </c>
      <c r="F84" s="411" t="s">
        <v>1400</v>
      </c>
      <c r="G84" s="411">
        <v>12</v>
      </c>
      <c r="H84" s="411">
        <v>1</v>
      </c>
      <c r="I84" s="411">
        <v>0</v>
      </c>
      <c r="J84" s="411">
        <v>0</v>
      </c>
      <c r="K84" s="411">
        <v>0</v>
      </c>
      <c r="L84" s="411">
        <v>0</v>
      </c>
      <c r="M84" s="411">
        <v>1</v>
      </c>
      <c r="N84" s="411">
        <v>0</v>
      </c>
      <c r="O84" s="411">
        <v>0</v>
      </c>
      <c r="P84" s="411">
        <v>0</v>
      </c>
      <c r="Q84" s="411">
        <v>0</v>
      </c>
      <c r="R84" s="411">
        <v>0</v>
      </c>
      <c r="S84" s="411">
        <v>0</v>
      </c>
      <c r="T84" s="411">
        <v>0</v>
      </c>
      <c r="U84" s="411">
        <v>0</v>
      </c>
      <c r="V84" s="411">
        <v>0</v>
      </c>
      <c r="W84" s="411">
        <v>1</v>
      </c>
      <c r="X84" s="411">
        <v>0</v>
      </c>
      <c r="Y84" s="411">
        <v>0</v>
      </c>
      <c r="Z84" s="411">
        <v>1</v>
      </c>
      <c r="AA84" s="411">
        <v>1</v>
      </c>
      <c r="AB84" s="411">
        <v>1</v>
      </c>
      <c r="AC84" s="400">
        <v>0</v>
      </c>
      <c r="AD84" s="408"/>
      <c r="AE84" s="408"/>
      <c r="AF84" s="412"/>
      <c r="AG84" s="405">
        <v>42859</v>
      </c>
      <c r="AH84" s="406">
        <v>0.40222222222222226</v>
      </c>
    </row>
    <row r="85" spans="1:34" ht="15.75" customHeight="1">
      <c r="A85" s="413">
        <v>76</v>
      </c>
      <c r="B85" s="414" t="s">
        <v>886</v>
      </c>
      <c r="C85" s="415" t="s">
        <v>994</v>
      </c>
      <c r="D85" s="411"/>
      <c r="E85" s="411">
        <v>41</v>
      </c>
      <c r="F85" s="411" t="s">
        <v>1400</v>
      </c>
      <c r="G85" s="411">
        <v>12</v>
      </c>
      <c r="H85" s="411">
        <v>1</v>
      </c>
      <c r="I85" s="411">
        <v>0</v>
      </c>
      <c r="J85" s="411">
        <v>0</v>
      </c>
      <c r="K85" s="411">
        <v>0</v>
      </c>
      <c r="L85" s="411">
        <v>0</v>
      </c>
      <c r="M85" s="411">
        <v>1</v>
      </c>
      <c r="N85" s="411">
        <v>0</v>
      </c>
      <c r="O85" s="411">
        <v>0</v>
      </c>
      <c r="P85" s="411">
        <v>0</v>
      </c>
      <c r="Q85" s="411">
        <v>0</v>
      </c>
      <c r="R85" s="411">
        <v>0</v>
      </c>
      <c r="S85" s="411">
        <v>0</v>
      </c>
      <c r="T85" s="411">
        <v>0</v>
      </c>
      <c r="U85" s="411">
        <v>0</v>
      </c>
      <c r="V85" s="411">
        <v>0</v>
      </c>
      <c r="W85" s="411">
        <v>1</v>
      </c>
      <c r="X85" s="411">
        <v>0</v>
      </c>
      <c r="Y85" s="411">
        <v>0</v>
      </c>
      <c r="Z85" s="411">
        <v>1</v>
      </c>
      <c r="AA85" s="411">
        <v>1</v>
      </c>
      <c r="AB85" s="411">
        <v>1</v>
      </c>
      <c r="AC85" s="400">
        <v>0</v>
      </c>
      <c r="AD85" s="408"/>
      <c r="AE85" s="408"/>
      <c r="AF85" s="412"/>
      <c r="AG85" s="405">
        <v>42859</v>
      </c>
      <c r="AH85" s="406">
        <v>0.40243055555555557</v>
      </c>
    </row>
    <row r="86" spans="1:34" ht="15.75" customHeight="1">
      <c r="A86" s="413">
        <v>77</v>
      </c>
      <c r="B86" s="414" t="s">
        <v>886</v>
      </c>
      <c r="C86" s="415" t="s">
        <v>994</v>
      </c>
      <c r="D86" s="411"/>
      <c r="E86" s="411">
        <v>42</v>
      </c>
      <c r="F86" s="411" t="s">
        <v>1400</v>
      </c>
      <c r="G86" s="411">
        <v>12</v>
      </c>
      <c r="H86" s="411">
        <v>1</v>
      </c>
      <c r="I86" s="411">
        <v>0</v>
      </c>
      <c r="J86" s="411">
        <v>0</v>
      </c>
      <c r="K86" s="411">
        <v>0</v>
      </c>
      <c r="L86" s="411">
        <v>0</v>
      </c>
      <c r="M86" s="411">
        <v>1</v>
      </c>
      <c r="N86" s="411">
        <v>0</v>
      </c>
      <c r="O86" s="411">
        <v>0</v>
      </c>
      <c r="P86" s="411">
        <v>0</v>
      </c>
      <c r="Q86" s="411">
        <v>0</v>
      </c>
      <c r="R86" s="411">
        <v>0</v>
      </c>
      <c r="S86" s="411">
        <v>0</v>
      </c>
      <c r="T86" s="411">
        <v>0</v>
      </c>
      <c r="U86" s="411">
        <v>0</v>
      </c>
      <c r="V86" s="411">
        <v>0</v>
      </c>
      <c r="W86" s="411">
        <v>1</v>
      </c>
      <c r="X86" s="411">
        <v>0</v>
      </c>
      <c r="Y86" s="411">
        <v>0</v>
      </c>
      <c r="Z86" s="411">
        <v>1</v>
      </c>
      <c r="AA86" s="411">
        <v>1</v>
      </c>
      <c r="AB86" s="411">
        <v>1</v>
      </c>
      <c r="AC86" s="400">
        <v>0</v>
      </c>
      <c r="AD86" s="408"/>
      <c r="AE86" s="408"/>
      <c r="AF86" s="412"/>
      <c r="AG86" s="405">
        <v>42859</v>
      </c>
      <c r="AH86" s="406">
        <v>0.40269675925925924</v>
      </c>
    </row>
    <row r="87" spans="1:34" ht="15.75" customHeight="1">
      <c r="A87" s="413">
        <v>78</v>
      </c>
      <c r="B87" s="414" t="s">
        <v>886</v>
      </c>
      <c r="C87" s="415" t="s">
        <v>994</v>
      </c>
      <c r="D87" s="411"/>
      <c r="E87" s="411">
        <v>43</v>
      </c>
      <c r="F87" s="411" t="s">
        <v>1400</v>
      </c>
      <c r="G87" s="411">
        <v>10</v>
      </c>
      <c r="H87" s="411">
        <v>1</v>
      </c>
      <c r="I87" s="411">
        <v>0</v>
      </c>
      <c r="J87" s="411">
        <v>0</v>
      </c>
      <c r="K87" s="411">
        <v>0</v>
      </c>
      <c r="L87" s="411">
        <v>0</v>
      </c>
      <c r="M87" s="411">
        <v>1</v>
      </c>
      <c r="N87" s="411">
        <v>0</v>
      </c>
      <c r="O87" s="411">
        <v>0</v>
      </c>
      <c r="P87" s="411">
        <v>0</v>
      </c>
      <c r="Q87" s="411">
        <v>0</v>
      </c>
      <c r="R87" s="411">
        <v>0</v>
      </c>
      <c r="S87" s="411">
        <v>0</v>
      </c>
      <c r="T87" s="411">
        <v>0</v>
      </c>
      <c r="U87" s="411">
        <v>0</v>
      </c>
      <c r="V87" s="411">
        <v>0</v>
      </c>
      <c r="W87" s="411">
        <v>1</v>
      </c>
      <c r="X87" s="411">
        <v>0</v>
      </c>
      <c r="Y87" s="411">
        <v>0</v>
      </c>
      <c r="Z87" s="411">
        <v>1</v>
      </c>
      <c r="AA87" s="411">
        <v>1</v>
      </c>
      <c r="AB87" s="411">
        <v>1</v>
      </c>
      <c r="AC87" s="400">
        <v>0</v>
      </c>
      <c r="AD87" s="408"/>
      <c r="AE87" s="408"/>
      <c r="AF87" s="412"/>
      <c r="AG87" s="405">
        <v>42859</v>
      </c>
      <c r="AH87" s="406">
        <v>0.4036689814814815</v>
      </c>
    </row>
    <row r="88" spans="1:34" ht="15.75" customHeight="1">
      <c r="A88" s="413">
        <v>79</v>
      </c>
      <c r="B88" s="414" t="s">
        <v>886</v>
      </c>
      <c r="C88" s="415" t="s">
        <v>994</v>
      </c>
      <c r="D88" s="411"/>
      <c r="E88" s="411">
        <v>44</v>
      </c>
      <c r="F88" s="411" t="s">
        <v>1400</v>
      </c>
      <c r="G88" s="411">
        <v>11</v>
      </c>
      <c r="H88" s="411">
        <v>1</v>
      </c>
      <c r="I88" s="411">
        <v>0</v>
      </c>
      <c r="J88" s="411">
        <v>0</v>
      </c>
      <c r="K88" s="411">
        <v>0</v>
      </c>
      <c r="L88" s="411">
        <v>0</v>
      </c>
      <c r="M88" s="411">
        <v>1</v>
      </c>
      <c r="N88" s="411">
        <v>0</v>
      </c>
      <c r="O88" s="411">
        <v>0</v>
      </c>
      <c r="P88" s="411">
        <v>0</v>
      </c>
      <c r="Q88" s="411">
        <v>0</v>
      </c>
      <c r="R88" s="411">
        <v>0</v>
      </c>
      <c r="S88" s="411">
        <v>0</v>
      </c>
      <c r="T88" s="411">
        <v>0</v>
      </c>
      <c r="U88" s="411">
        <v>0</v>
      </c>
      <c r="V88" s="411">
        <v>0</v>
      </c>
      <c r="W88" s="411">
        <v>1</v>
      </c>
      <c r="X88" s="411">
        <v>0</v>
      </c>
      <c r="Y88" s="411">
        <v>0</v>
      </c>
      <c r="Z88" s="411">
        <v>1</v>
      </c>
      <c r="AA88" s="411">
        <v>1</v>
      </c>
      <c r="AB88" s="411">
        <v>1</v>
      </c>
      <c r="AC88" s="400">
        <v>0</v>
      </c>
      <c r="AD88" s="408"/>
      <c r="AE88" s="408"/>
      <c r="AF88" s="412"/>
      <c r="AG88" s="405">
        <v>42859</v>
      </c>
      <c r="AH88" s="406">
        <v>0.40402777777777782</v>
      </c>
    </row>
    <row r="89" spans="1:34" ht="15.75" customHeight="1">
      <c r="A89" s="413">
        <v>80</v>
      </c>
      <c r="B89" s="414" t="s">
        <v>886</v>
      </c>
      <c r="C89" s="415" t="s">
        <v>994</v>
      </c>
      <c r="D89" s="411"/>
      <c r="E89" s="411">
        <v>45</v>
      </c>
      <c r="F89" s="411" t="s">
        <v>1400</v>
      </c>
      <c r="G89" s="411">
        <v>17</v>
      </c>
      <c r="H89" s="411">
        <v>1</v>
      </c>
      <c r="I89" s="411">
        <v>0</v>
      </c>
      <c r="J89" s="411">
        <v>0</v>
      </c>
      <c r="K89" s="411">
        <v>0</v>
      </c>
      <c r="L89" s="411">
        <v>0</v>
      </c>
      <c r="M89" s="411">
        <v>1</v>
      </c>
      <c r="N89" s="411">
        <v>0</v>
      </c>
      <c r="O89" s="411">
        <v>0</v>
      </c>
      <c r="P89" s="411">
        <v>0</v>
      </c>
      <c r="Q89" s="411">
        <v>0</v>
      </c>
      <c r="R89" s="411">
        <v>0</v>
      </c>
      <c r="S89" s="411">
        <v>0</v>
      </c>
      <c r="T89" s="411">
        <v>0</v>
      </c>
      <c r="U89" s="411">
        <v>0</v>
      </c>
      <c r="V89" s="411">
        <v>0</v>
      </c>
      <c r="W89" s="411">
        <v>1</v>
      </c>
      <c r="X89" s="411">
        <v>0</v>
      </c>
      <c r="Y89" s="411">
        <v>0</v>
      </c>
      <c r="Z89" s="411">
        <v>1</v>
      </c>
      <c r="AA89" s="411">
        <v>1</v>
      </c>
      <c r="AB89" s="411">
        <v>1</v>
      </c>
      <c r="AC89" s="400">
        <v>0</v>
      </c>
      <c r="AD89" s="408"/>
      <c r="AE89" s="408"/>
      <c r="AF89" s="412"/>
      <c r="AG89" s="405">
        <v>42859</v>
      </c>
      <c r="AH89" s="406">
        <v>0.4042824074074074</v>
      </c>
    </row>
    <row r="90" spans="1:34" ht="15.75" customHeight="1">
      <c r="A90" s="413">
        <v>81</v>
      </c>
      <c r="B90" s="414" t="s">
        <v>886</v>
      </c>
      <c r="C90" s="415" t="s">
        <v>994</v>
      </c>
      <c r="D90" s="411"/>
      <c r="E90" s="411">
        <v>46</v>
      </c>
      <c r="F90" s="411" t="s">
        <v>1400</v>
      </c>
      <c r="G90" s="411">
        <v>11</v>
      </c>
      <c r="H90" s="411">
        <v>1</v>
      </c>
      <c r="I90" s="411">
        <v>0</v>
      </c>
      <c r="J90" s="411">
        <v>0</v>
      </c>
      <c r="K90" s="411">
        <v>0</v>
      </c>
      <c r="L90" s="411">
        <v>0</v>
      </c>
      <c r="M90" s="411">
        <v>1</v>
      </c>
      <c r="N90" s="411">
        <v>0</v>
      </c>
      <c r="O90" s="411">
        <v>0</v>
      </c>
      <c r="P90" s="411">
        <v>0</v>
      </c>
      <c r="Q90" s="411">
        <v>0</v>
      </c>
      <c r="R90" s="411">
        <v>0</v>
      </c>
      <c r="S90" s="411">
        <v>0</v>
      </c>
      <c r="T90" s="411">
        <v>0</v>
      </c>
      <c r="U90" s="411">
        <v>0</v>
      </c>
      <c r="V90" s="411">
        <v>0</v>
      </c>
      <c r="W90" s="411">
        <v>1</v>
      </c>
      <c r="X90" s="411">
        <v>0</v>
      </c>
      <c r="Y90" s="411">
        <v>0</v>
      </c>
      <c r="Z90" s="411">
        <v>1</v>
      </c>
      <c r="AA90" s="411">
        <v>1</v>
      </c>
      <c r="AB90" s="411">
        <v>1</v>
      </c>
      <c r="AC90" s="400">
        <v>0</v>
      </c>
      <c r="AD90" s="408"/>
      <c r="AE90" s="408"/>
      <c r="AF90" s="412"/>
      <c r="AG90" s="405">
        <v>42859</v>
      </c>
      <c r="AH90" s="406">
        <v>0.40438657407407402</v>
      </c>
    </row>
    <row r="91" spans="1:34" ht="15.75" customHeight="1">
      <c r="A91" s="413">
        <v>82</v>
      </c>
      <c r="B91" s="414" t="s">
        <v>886</v>
      </c>
      <c r="C91" s="415" t="s">
        <v>994</v>
      </c>
      <c r="D91" s="411"/>
      <c r="E91" s="411">
        <v>47</v>
      </c>
      <c r="F91" s="411" t="s">
        <v>1400</v>
      </c>
      <c r="G91" s="411">
        <v>11</v>
      </c>
      <c r="H91" s="411">
        <v>1</v>
      </c>
      <c r="I91" s="411">
        <v>0</v>
      </c>
      <c r="J91" s="411">
        <v>0</v>
      </c>
      <c r="K91" s="411">
        <v>0</v>
      </c>
      <c r="L91" s="411">
        <v>0</v>
      </c>
      <c r="M91" s="411">
        <v>1</v>
      </c>
      <c r="N91" s="411">
        <v>0</v>
      </c>
      <c r="O91" s="411">
        <v>0</v>
      </c>
      <c r="P91" s="411">
        <v>0</v>
      </c>
      <c r="Q91" s="411">
        <v>0</v>
      </c>
      <c r="R91" s="411">
        <v>0</v>
      </c>
      <c r="S91" s="411">
        <v>0</v>
      </c>
      <c r="T91" s="411">
        <v>0</v>
      </c>
      <c r="U91" s="411">
        <v>0</v>
      </c>
      <c r="V91" s="411">
        <v>0</v>
      </c>
      <c r="W91" s="411">
        <v>1</v>
      </c>
      <c r="X91" s="411">
        <v>0</v>
      </c>
      <c r="Y91" s="411">
        <v>0</v>
      </c>
      <c r="Z91" s="411">
        <v>1</v>
      </c>
      <c r="AA91" s="411">
        <v>1</v>
      </c>
      <c r="AB91" s="411">
        <v>1</v>
      </c>
      <c r="AC91" s="400">
        <v>0</v>
      </c>
      <c r="AD91" s="408"/>
      <c r="AE91" s="408"/>
      <c r="AF91" s="412"/>
      <c r="AG91" s="405">
        <v>42859</v>
      </c>
      <c r="AH91" s="406">
        <v>0.40478009259259262</v>
      </c>
    </row>
    <row r="92" spans="1:34" ht="15.75" customHeight="1">
      <c r="A92" s="413">
        <v>83</v>
      </c>
      <c r="B92" s="414" t="s">
        <v>886</v>
      </c>
      <c r="C92" s="415" t="s">
        <v>994</v>
      </c>
      <c r="D92" s="411"/>
      <c r="E92" s="411">
        <v>48</v>
      </c>
      <c r="F92" s="411" t="s">
        <v>1400</v>
      </c>
      <c r="G92" s="411">
        <v>12</v>
      </c>
      <c r="H92" s="411">
        <v>1</v>
      </c>
      <c r="I92" s="411">
        <v>0</v>
      </c>
      <c r="J92" s="411">
        <v>0</v>
      </c>
      <c r="K92" s="411">
        <v>0</v>
      </c>
      <c r="L92" s="411">
        <v>0</v>
      </c>
      <c r="M92" s="411">
        <v>1</v>
      </c>
      <c r="N92" s="411">
        <v>0</v>
      </c>
      <c r="O92" s="411">
        <v>0</v>
      </c>
      <c r="P92" s="411">
        <v>0</v>
      </c>
      <c r="Q92" s="411">
        <v>0</v>
      </c>
      <c r="R92" s="411">
        <v>0</v>
      </c>
      <c r="S92" s="411">
        <v>0</v>
      </c>
      <c r="T92" s="411">
        <v>0</v>
      </c>
      <c r="U92" s="411">
        <v>0</v>
      </c>
      <c r="V92" s="411">
        <v>0</v>
      </c>
      <c r="W92" s="411">
        <v>1</v>
      </c>
      <c r="X92" s="411">
        <v>0</v>
      </c>
      <c r="Y92" s="411">
        <v>0</v>
      </c>
      <c r="Z92" s="411">
        <v>1</v>
      </c>
      <c r="AA92" s="411">
        <v>1</v>
      </c>
      <c r="AB92" s="411">
        <v>1</v>
      </c>
      <c r="AC92" s="400">
        <v>0</v>
      </c>
      <c r="AD92" s="408"/>
      <c r="AE92" s="408"/>
      <c r="AF92" s="412"/>
      <c r="AG92" s="405">
        <v>42859</v>
      </c>
      <c r="AH92" s="406">
        <v>0.40740740740740744</v>
      </c>
    </row>
    <row r="93" spans="1:34" ht="15.75" customHeight="1">
      <c r="A93" s="413">
        <v>84</v>
      </c>
      <c r="B93" s="414" t="s">
        <v>886</v>
      </c>
      <c r="C93" s="415" t="s">
        <v>994</v>
      </c>
      <c r="D93" s="411"/>
      <c r="E93" s="411">
        <v>49</v>
      </c>
      <c r="F93" s="411" t="s">
        <v>1400</v>
      </c>
      <c r="G93" s="411">
        <v>15</v>
      </c>
      <c r="H93" s="411">
        <v>1</v>
      </c>
      <c r="I93" s="411">
        <v>0</v>
      </c>
      <c r="J93" s="411">
        <v>0</v>
      </c>
      <c r="K93" s="411">
        <v>0</v>
      </c>
      <c r="L93" s="411">
        <v>0</v>
      </c>
      <c r="M93" s="411">
        <v>1</v>
      </c>
      <c r="N93" s="411">
        <v>0</v>
      </c>
      <c r="O93" s="411">
        <v>0</v>
      </c>
      <c r="P93" s="411">
        <v>0</v>
      </c>
      <c r="Q93" s="411">
        <v>0</v>
      </c>
      <c r="R93" s="411">
        <v>0</v>
      </c>
      <c r="S93" s="411">
        <v>0</v>
      </c>
      <c r="T93" s="411">
        <v>0</v>
      </c>
      <c r="U93" s="411">
        <v>0</v>
      </c>
      <c r="V93" s="411">
        <v>0</v>
      </c>
      <c r="W93" s="411">
        <v>1</v>
      </c>
      <c r="X93" s="411">
        <v>0</v>
      </c>
      <c r="Y93" s="411">
        <v>0</v>
      </c>
      <c r="Z93" s="411">
        <v>1</v>
      </c>
      <c r="AA93" s="411">
        <v>1</v>
      </c>
      <c r="AB93" s="411">
        <v>1</v>
      </c>
      <c r="AC93" s="400">
        <v>0</v>
      </c>
      <c r="AD93" s="408"/>
      <c r="AE93" s="408"/>
      <c r="AF93" s="412"/>
      <c r="AG93" s="405">
        <v>42859</v>
      </c>
      <c r="AH93" s="406">
        <v>0.40752314814814811</v>
      </c>
    </row>
    <row r="94" spans="1:34" ht="15.75" customHeight="1">
      <c r="A94" s="413">
        <v>85</v>
      </c>
      <c r="B94" s="414" t="s">
        <v>886</v>
      </c>
      <c r="C94" s="415" t="s">
        <v>994</v>
      </c>
      <c r="D94" s="411"/>
      <c r="E94" s="411">
        <v>50</v>
      </c>
      <c r="F94" s="411" t="s">
        <v>1400</v>
      </c>
      <c r="G94" s="411">
        <v>12</v>
      </c>
      <c r="H94" s="411">
        <v>1</v>
      </c>
      <c r="I94" s="411">
        <v>0</v>
      </c>
      <c r="J94" s="411">
        <v>0</v>
      </c>
      <c r="K94" s="411">
        <v>0</v>
      </c>
      <c r="L94" s="411">
        <v>0</v>
      </c>
      <c r="M94" s="411">
        <v>1</v>
      </c>
      <c r="N94" s="411">
        <v>0</v>
      </c>
      <c r="O94" s="411">
        <v>0</v>
      </c>
      <c r="P94" s="411">
        <v>0</v>
      </c>
      <c r="Q94" s="411">
        <v>0</v>
      </c>
      <c r="R94" s="411">
        <v>0</v>
      </c>
      <c r="S94" s="411">
        <v>0</v>
      </c>
      <c r="T94" s="411">
        <v>0</v>
      </c>
      <c r="U94" s="411">
        <v>0</v>
      </c>
      <c r="V94" s="411">
        <v>0</v>
      </c>
      <c r="W94" s="411">
        <v>1</v>
      </c>
      <c r="X94" s="411">
        <v>0</v>
      </c>
      <c r="Y94" s="411">
        <v>0</v>
      </c>
      <c r="Z94" s="411">
        <v>1</v>
      </c>
      <c r="AA94" s="411">
        <v>1</v>
      </c>
      <c r="AB94" s="411">
        <v>1</v>
      </c>
      <c r="AC94" s="400">
        <v>0</v>
      </c>
      <c r="AD94" s="408"/>
      <c r="AE94" s="408"/>
      <c r="AF94" s="412"/>
      <c r="AG94" s="405">
        <v>42859</v>
      </c>
      <c r="AH94" s="406">
        <v>0.40774305555555551</v>
      </c>
    </row>
    <row r="95" spans="1:34" ht="15.75" customHeight="1">
      <c r="A95" s="413">
        <v>86</v>
      </c>
      <c r="B95" s="414" t="s">
        <v>886</v>
      </c>
      <c r="C95" s="415" t="s">
        <v>994</v>
      </c>
      <c r="D95" s="411"/>
      <c r="E95" s="411">
        <v>51</v>
      </c>
      <c r="F95" s="411" t="s">
        <v>1400</v>
      </c>
      <c r="G95" s="411">
        <v>13</v>
      </c>
      <c r="H95" s="411">
        <v>1</v>
      </c>
      <c r="I95" s="411">
        <v>0</v>
      </c>
      <c r="J95" s="411">
        <v>0</v>
      </c>
      <c r="K95" s="411">
        <v>0</v>
      </c>
      <c r="L95" s="411">
        <v>0</v>
      </c>
      <c r="M95" s="411">
        <v>1</v>
      </c>
      <c r="N95" s="411">
        <v>0</v>
      </c>
      <c r="O95" s="411">
        <v>0</v>
      </c>
      <c r="P95" s="411">
        <v>0</v>
      </c>
      <c r="Q95" s="411">
        <v>0</v>
      </c>
      <c r="R95" s="411">
        <v>0</v>
      </c>
      <c r="S95" s="411">
        <v>0</v>
      </c>
      <c r="T95" s="411">
        <v>0</v>
      </c>
      <c r="U95" s="411">
        <v>0</v>
      </c>
      <c r="V95" s="411">
        <v>0</v>
      </c>
      <c r="W95" s="411">
        <v>1</v>
      </c>
      <c r="X95" s="411">
        <v>0</v>
      </c>
      <c r="Y95" s="411">
        <v>0</v>
      </c>
      <c r="Z95" s="411">
        <v>1</v>
      </c>
      <c r="AA95" s="411">
        <v>1</v>
      </c>
      <c r="AB95" s="411">
        <v>1</v>
      </c>
      <c r="AC95" s="400">
        <v>0</v>
      </c>
      <c r="AD95" s="408"/>
      <c r="AE95" s="408"/>
      <c r="AF95" s="412"/>
      <c r="AG95" s="405">
        <v>42859</v>
      </c>
      <c r="AH95" s="406">
        <v>0.40780092592592593</v>
      </c>
    </row>
    <row r="96" spans="1:34" ht="15.75" customHeight="1">
      <c r="A96" s="413">
        <v>87</v>
      </c>
      <c r="B96" s="414" t="s">
        <v>886</v>
      </c>
      <c r="C96" s="415" t="s">
        <v>994</v>
      </c>
      <c r="D96" s="411"/>
      <c r="E96" s="411">
        <v>52</v>
      </c>
      <c r="F96" s="411" t="s">
        <v>1400</v>
      </c>
      <c r="G96" s="411">
        <v>15</v>
      </c>
      <c r="H96" s="411">
        <v>1</v>
      </c>
      <c r="I96" s="411">
        <v>0</v>
      </c>
      <c r="J96" s="411">
        <v>0</v>
      </c>
      <c r="K96" s="411">
        <v>0</v>
      </c>
      <c r="L96" s="411">
        <v>0</v>
      </c>
      <c r="M96" s="411">
        <v>1</v>
      </c>
      <c r="N96" s="411">
        <v>0</v>
      </c>
      <c r="O96" s="411">
        <v>0</v>
      </c>
      <c r="P96" s="411">
        <v>0</v>
      </c>
      <c r="Q96" s="411">
        <v>0</v>
      </c>
      <c r="R96" s="411">
        <v>0</v>
      </c>
      <c r="S96" s="411">
        <v>0</v>
      </c>
      <c r="T96" s="411">
        <v>0</v>
      </c>
      <c r="U96" s="411">
        <v>0</v>
      </c>
      <c r="V96" s="411">
        <v>0</v>
      </c>
      <c r="W96" s="411">
        <v>1</v>
      </c>
      <c r="X96" s="411">
        <v>0</v>
      </c>
      <c r="Y96" s="411">
        <v>0</v>
      </c>
      <c r="Z96" s="411">
        <v>1</v>
      </c>
      <c r="AA96" s="411">
        <v>1</v>
      </c>
      <c r="AB96" s="411">
        <v>1</v>
      </c>
      <c r="AC96" s="400">
        <v>0</v>
      </c>
      <c r="AD96" s="408"/>
      <c r="AE96" s="408"/>
      <c r="AF96" s="412"/>
      <c r="AG96" s="405">
        <v>42859</v>
      </c>
      <c r="AH96" s="406">
        <v>0.4089930555555556</v>
      </c>
    </row>
    <row r="97" spans="1:34" ht="15.75" customHeight="1">
      <c r="A97" s="413">
        <v>88</v>
      </c>
      <c r="B97" s="414" t="s">
        <v>886</v>
      </c>
      <c r="C97" s="415" t="s">
        <v>994</v>
      </c>
      <c r="D97" s="411"/>
      <c r="E97" s="411">
        <v>53</v>
      </c>
      <c r="F97" s="411" t="s">
        <v>1400</v>
      </c>
      <c r="G97" s="411">
        <v>15</v>
      </c>
      <c r="H97" s="411">
        <v>1</v>
      </c>
      <c r="I97" s="411">
        <v>0</v>
      </c>
      <c r="J97" s="411">
        <v>0</v>
      </c>
      <c r="K97" s="411">
        <v>0</v>
      </c>
      <c r="L97" s="411">
        <v>0</v>
      </c>
      <c r="M97" s="411">
        <v>1</v>
      </c>
      <c r="N97" s="411">
        <v>0</v>
      </c>
      <c r="O97" s="411">
        <v>0</v>
      </c>
      <c r="P97" s="411">
        <v>0</v>
      </c>
      <c r="Q97" s="411">
        <v>0</v>
      </c>
      <c r="R97" s="411">
        <v>0</v>
      </c>
      <c r="S97" s="411">
        <v>0</v>
      </c>
      <c r="T97" s="411">
        <v>0</v>
      </c>
      <c r="U97" s="411">
        <v>0</v>
      </c>
      <c r="V97" s="411">
        <v>0</v>
      </c>
      <c r="W97" s="411">
        <v>1</v>
      </c>
      <c r="X97" s="411">
        <v>0</v>
      </c>
      <c r="Y97" s="411">
        <v>0</v>
      </c>
      <c r="Z97" s="411">
        <v>1</v>
      </c>
      <c r="AA97" s="411">
        <v>1</v>
      </c>
      <c r="AB97" s="411">
        <v>1</v>
      </c>
      <c r="AC97" s="400">
        <v>0</v>
      </c>
      <c r="AD97" s="408"/>
      <c r="AE97" s="408"/>
      <c r="AF97" s="412"/>
      <c r="AG97" s="405">
        <v>42859</v>
      </c>
      <c r="AH97" s="406">
        <v>0.40939814814814812</v>
      </c>
    </row>
    <row r="98" spans="1:34" ht="15.75" customHeight="1">
      <c r="A98" s="413">
        <v>89</v>
      </c>
      <c r="B98" s="414" t="s">
        <v>886</v>
      </c>
      <c r="C98" s="415" t="s">
        <v>994</v>
      </c>
      <c r="D98" s="411"/>
      <c r="E98" s="411">
        <v>54</v>
      </c>
      <c r="F98" s="411" t="s">
        <v>1400</v>
      </c>
      <c r="G98" s="411">
        <v>16</v>
      </c>
      <c r="H98" s="411">
        <v>1</v>
      </c>
      <c r="I98" s="411">
        <v>0</v>
      </c>
      <c r="J98" s="411">
        <v>0</v>
      </c>
      <c r="K98" s="411">
        <v>0</v>
      </c>
      <c r="L98" s="411">
        <v>0</v>
      </c>
      <c r="M98" s="411">
        <v>1</v>
      </c>
      <c r="N98" s="411">
        <v>0</v>
      </c>
      <c r="O98" s="411">
        <v>0</v>
      </c>
      <c r="P98" s="411">
        <v>0</v>
      </c>
      <c r="Q98" s="411">
        <v>0</v>
      </c>
      <c r="R98" s="411">
        <v>0</v>
      </c>
      <c r="S98" s="411">
        <v>0</v>
      </c>
      <c r="T98" s="411">
        <v>0</v>
      </c>
      <c r="U98" s="411">
        <v>0</v>
      </c>
      <c r="V98" s="411">
        <v>0</v>
      </c>
      <c r="W98" s="411">
        <v>1</v>
      </c>
      <c r="X98" s="411">
        <v>0</v>
      </c>
      <c r="Y98" s="411">
        <v>0</v>
      </c>
      <c r="Z98" s="411">
        <v>1</v>
      </c>
      <c r="AA98" s="411">
        <v>1</v>
      </c>
      <c r="AB98" s="411">
        <v>1</v>
      </c>
      <c r="AC98" s="400">
        <v>0</v>
      </c>
      <c r="AD98" s="408"/>
      <c r="AE98" s="408"/>
      <c r="AF98" s="412"/>
      <c r="AG98" s="405">
        <v>42859</v>
      </c>
      <c r="AH98" s="406">
        <v>0.40954861111111113</v>
      </c>
    </row>
    <row r="99" spans="1:34" ht="15.75" customHeight="1">
      <c r="A99" s="413">
        <v>90</v>
      </c>
      <c r="B99" s="414" t="s">
        <v>886</v>
      </c>
      <c r="C99" s="415" t="s">
        <v>994</v>
      </c>
      <c r="D99" s="411"/>
      <c r="E99" s="411">
        <v>55</v>
      </c>
      <c r="F99" s="411" t="s">
        <v>1400</v>
      </c>
      <c r="G99" s="411">
        <v>10</v>
      </c>
      <c r="H99" s="411">
        <v>1</v>
      </c>
      <c r="I99" s="411">
        <v>0</v>
      </c>
      <c r="J99" s="411">
        <v>0</v>
      </c>
      <c r="K99" s="411">
        <v>0</v>
      </c>
      <c r="L99" s="411">
        <v>0</v>
      </c>
      <c r="M99" s="411">
        <v>1</v>
      </c>
      <c r="N99" s="411">
        <v>0</v>
      </c>
      <c r="O99" s="411">
        <v>0</v>
      </c>
      <c r="P99" s="411">
        <v>0</v>
      </c>
      <c r="Q99" s="411">
        <v>0</v>
      </c>
      <c r="R99" s="411">
        <v>0</v>
      </c>
      <c r="S99" s="411">
        <v>0</v>
      </c>
      <c r="T99" s="411">
        <v>0</v>
      </c>
      <c r="U99" s="411">
        <v>0</v>
      </c>
      <c r="V99" s="411">
        <v>0</v>
      </c>
      <c r="W99" s="411">
        <v>1</v>
      </c>
      <c r="X99" s="411">
        <v>0</v>
      </c>
      <c r="Y99" s="411">
        <v>0</v>
      </c>
      <c r="Z99" s="411">
        <v>1</v>
      </c>
      <c r="AA99" s="411">
        <v>1</v>
      </c>
      <c r="AB99" s="411">
        <v>1</v>
      </c>
      <c r="AC99" s="400">
        <v>0</v>
      </c>
      <c r="AD99" s="408"/>
      <c r="AE99" s="408"/>
      <c r="AF99" s="412"/>
      <c r="AG99" s="405">
        <v>42859</v>
      </c>
      <c r="AH99" s="406">
        <v>0.40960648148148149</v>
      </c>
    </row>
    <row r="100" spans="1:34" ht="15.75" customHeight="1">
      <c r="A100" s="413">
        <v>91</v>
      </c>
      <c r="B100" s="414" t="s">
        <v>886</v>
      </c>
      <c r="C100" s="415" t="s">
        <v>994</v>
      </c>
      <c r="D100" s="411"/>
      <c r="E100" s="411">
        <v>56</v>
      </c>
      <c r="F100" s="411" t="s">
        <v>1400</v>
      </c>
      <c r="G100" s="411">
        <v>10</v>
      </c>
      <c r="H100" s="411">
        <v>1</v>
      </c>
      <c r="I100" s="411">
        <v>0</v>
      </c>
      <c r="J100" s="411">
        <v>0</v>
      </c>
      <c r="K100" s="411">
        <v>0</v>
      </c>
      <c r="L100" s="411">
        <v>0</v>
      </c>
      <c r="M100" s="411">
        <v>1</v>
      </c>
      <c r="N100" s="411">
        <v>0</v>
      </c>
      <c r="O100" s="411">
        <v>0</v>
      </c>
      <c r="P100" s="411">
        <v>0</v>
      </c>
      <c r="Q100" s="411">
        <v>0</v>
      </c>
      <c r="R100" s="411">
        <v>0</v>
      </c>
      <c r="S100" s="411">
        <v>0</v>
      </c>
      <c r="T100" s="411">
        <v>0</v>
      </c>
      <c r="U100" s="411">
        <v>0</v>
      </c>
      <c r="V100" s="411">
        <v>0</v>
      </c>
      <c r="W100" s="411">
        <v>1</v>
      </c>
      <c r="X100" s="411">
        <v>0</v>
      </c>
      <c r="Y100" s="411">
        <v>0</v>
      </c>
      <c r="Z100" s="411">
        <v>1</v>
      </c>
      <c r="AA100" s="411">
        <v>1</v>
      </c>
      <c r="AB100" s="411">
        <v>1</v>
      </c>
      <c r="AC100" s="400">
        <v>0</v>
      </c>
      <c r="AD100" s="408"/>
      <c r="AE100" s="408"/>
      <c r="AF100" s="412"/>
      <c r="AG100" s="405">
        <v>42859</v>
      </c>
      <c r="AH100" s="406">
        <v>0.40976851851851853</v>
      </c>
    </row>
    <row r="101" spans="1:34" ht="15.75" customHeight="1">
      <c r="A101" s="413">
        <v>92</v>
      </c>
      <c r="B101" s="414" t="s">
        <v>886</v>
      </c>
      <c r="C101" s="415" t="s">
        <v>994</v>
      </c>
      <c r="D101" s="411"/>
      <c r="E101" s="411">
        <v>57</v>
      </c>
      <c r="F101" s="411" t="s">
        <v>1400</v>
      </c>
      <c r="G101" s="411">
        <v>11</v>
      </c>
      <c r="H101" s="411">
        <v>1</v>
      </c>
      <c r="I101" s="411">
        <v>0</v>
      </c>
      <c r="J101" s="411">
        <v>0</v>
      </c>
      <c r="K101" s="411">
        <v>0</v>
      </c>
      <c r="L101" s="411">
        <v>0</v>
      </c>
      <c r="M101" s="411">
        <v>1</v>
      </c>
      <c r="N101" s="411">
        <v>0</v>
      </c>
      <c r="O101" s="411">
        <v>0</v>
      </c>
      <c r="P101" s="411">
        <v>0</v>
      </c>
      <c r="Q101" s="411">
        <v>0</v>
      </c>
      <c r="R101" s="411">
        <v>0</v>
      </c>
      <c r="S101" s="411">
        <v>0</v>
      </c>
      <c r="T101" s="411">
        <v>0</v>
      </c>
      <c r="U101" s="411">
        <v>0</v>
      </c>
      <c r="V101" s="411">
        <v>0</v>
      </c>
      <c r="W101" s="411">
        <v>1</v>
      </c>
      <c r="X101" s="411">
        <v>0</v>
      </c>
      <c r="Y101" s="411">
        <v>0</v>
      </c>
      <c r="Z101" s="411">
        <v>1</v>
      </c>
      <c r="AA101" s="411">
        <v>1</v>
      </c>
      <c r="AB101" s="411">
        <v>1</v>
      </c>
      <c r="AC101" s="400">
        <v>0</v>
      </c>
      <c r="AD101" s="408"/>
      <c r="AE101" s="408"/>
      <c r="AF101" s="412"/>
      <c r="AG101" s="405">
        <v>42859</v>
      </c>
      <c r="AH101" s="406">
        <v>0.41027777777777774</v>
      </c>
    </row>
    <row r="102" spans="1:34" ht="15.75" customHeight="1">
      <c r="A102" s="413">
        <v>93</v>
      </c>
      <c r="B102" s="414" t="s">
        <v>886</v>
      </c>
      <c r="C102" s="415" t="s">
        <v>994</v>
      </c>
      <c r="D102" s="411"/>
      <c r="E102" s="411">
        <v>58</v>
      </c>
      <c r="F102" s="411" t="s">
        <v>1400</v>
      </c>
      <c r="G102" s="411">
        <v>10</v>
      </c>
      <c r="H102" s="411">
        <v>1</v>
      </c>
      <c r="I102" s="411">
        <v>0</v>
      </c>
      <c r="J102" s="411">
        <v>0</v>
      </c>
      <c r="K102" s="411">
        <v>0</v>
      </c>
      <c r="L102" s="411">
        <v>0</v>
      </c>
      <c r="M102" s="411">
        <v>1</v>
      </c>
      <c r="N102" s="411">
        <v>0</v>
      </c>
      <c r="O102" s="411">
        <v>0</v>
      </c>
      <c r="P102" s="411">
        <v>0</v>
      </c>
      <c r="Q102" s="411">
        <v>0</v>
      </c>
      <c r="R102" s="411">
        <v>0</v>
      </c>
      <c r="S102" s="411">
        <v>0</v>
      </c>
      <c r="T102" s="411">
        <v>0</v>
      </c>
      <c r="U102" s="411">
        <v>0</v>
      </c>
      <c r="V102" s="411">
        <v>0</v>
      </c>
      <c r="W102" s="411">
        <v>1</v>
      </c>
      <c r="X102" s="411">
        <v>0</v>
      </c>
      <c r="Y102" s="411">
        <v>0</v>
      </c>
      <c r="Z102" s="411">
        <v>1</v>
      </c>
      <c r="AA102" s="411">
        <v>1</v>
      </c>
      <c r="AB102" s="411">
        <v>1</v>
      </c>
      <c r="AC102" s="400">
        <v>0</v>
      </c>
      <c r="AD102" s="408"/>
      <c r="AE102" s="408"/>
      <c r="AF102" s="412"/>
      <c r="AG102" s="405">
        <v>42859</v>
      </c>
      <c r="AH102" s="406">
        <v>0.41040509259259261</v>
      </c>
    </row>
    <row r="103" spans="1:34" ht="15.75" customHeight="1">
      <c r="A103" s="413">
        <v>94</v>
      </c>
      <c r="B103" s="414" t="s">
        <v>886</v>
      </c>
      <c r="C103" s="415" t="s">
        <v>994</v>
      </c>
      <c r="D103" s="411"/>
      <c r="E103" s="411">
        <v>59</v>
      </c>
      <c r="F103" s="411" t="s">
        <v>1400</v>
      </c>
      <c r="G103" s="411">
        <v>10</v>
      </c>
      <c r="H103" s="411">
        <v>1</v>
      </c>
      <c r="I103" s="411">
        <v>0</v>
      </c>
      <c r="J103" s="411">
        <v>0</v>
      </c>
      <c r="K103" s="411">
        <v>0</v>
      </c>
      <c r="L103" s="411">
        <v>0</v>
      </c>
      <c r="M103" s="411">
        <v>1</v>
      </c>
      <c r="N103" s="411">
        <v>0</v>
      </c>
      <c r="O103" s="411">
        <v>0</v>
      </c>
      <c r="P103" s="411">
        <v>0</v>
      </c>
      <c r="Q103" s="411">
        <v>0</v>
      </c>
      <c r="R103" s="411">
        <v>0</v>
      </c>
      <c r="S103" s="411">
        <v>0</v>
      </c>
      <c r="T103" s="411">
        <v>0</v>
      </c>
      <c r="U103" s="411">
        <v>0</v>
      </c>
      <c r="V103" s="411">
        <v>0</v>
      </c>
      <c r="W103" s="411">
        <v>1</v>
      </c>
      <c r="X103" s="411">
        <v>0</v>
      </c>
      <c r="Y103" s="411">
        <v>0</v>
      </c>
      <c r="Z103" s="411">
        <v>1</v>
      </c>
      <c r="AA103" s="411">
        <v>1</v>
      </c>
      <c r="AB103" s="411">
        <v>1</v>
      </c>
      <c r="AC103" s="400">
        <v>0</v>
      </c>
      <c r="AD103" s="408"/>
      <c r="AE103" s="408"/>
      <c r="AF103" s="412"/>
      <c r="AG103" s="405">
        <v>42859</v>
      </c>
      <c r="AH103" s="406">
        <v>0.41145833333333331</v>
      </c>
    </row>
    <row r="104" spans="1:34" ht="15.75" customHeight="1">
      <c r="A104" s="413">
        <v>95</v>
      </c>
      <c r="B104" s="414" t="s">
        <v>886</v>
      </c>
      <c r="C104" s="415" t="s">
        <v>994</v>
      </c>
      <c r="D104" s="411"/>
      <c r="E104" s="411">
        <v>60</v>
      </c>
      <c r="F104" s="411" t="s">
        <v>1400</v>
      </c>
      <c r="G104" s="411">
        <v>9</v>
      </c>
      <c r="H104" s="411">
        <v>1</v>
      </c>
      <c r="I104" s="411">
        <v>0</v>
      </c>
      <c r="J104" s="411">
        <v>0</v>
      </c>
      <c r="K104" s="411">
        <v>0</v>
      </c>
      <c r="L104" s="411">
        <v>0</v>
      </c>
      <c r="M104" s="411">
        <v>1</v>
      </c>
      <c r="N104" s="411">
        <v>0</v>
      </c>
      <c r="O104" s="411">
        <v>0</v>
      </c>
      <c r="P104" s="411">
        <v>0</v>
      </c>
      <c r="Q104" s="411">
        <v>0</v>
      </c>
      <c r="R104" s="411">
        <v>0</v>
      </c>
      <c r="S104" s="411">
        <v>0</v>
      </c>
      <c r="T104" s="411">
        <v>0</v>
      </c>
      <c r="U104" s="411">
        <v>0</v>
      </c>
      <c r="V104" s="411">
        <v>0</v>
      </c>
      <c r="W104" s="411">
        <v>1</v>
      </c>
      <c r="X104" s="411">
        <v>0</v>
      </c>
      <c r="Y104" s="411">
        <v>0</v>
      </c>
      <c r="Z104" s="411">
        <v>1</v>
      </c>
      <c r="AA104" s="411">
        <v>1</v>
      </c>
      <c r="AB104" s="411">
        <v>1</v>
      </c>
      <c r="AC104" s="400">
        <v>0</v>
      </c>
      <c r="AD104" s="408"/>
      <c r="AE104" s="408"/>
      <c r="AF104" s="412"/>
      <c r="AG104" s="405">
        <v>42859</v>
      </c>
      <c r="AH104" s="406">
        <v>0.41195601851851849</v>
      </c>
    </row>
    <row r="105" spans="1:34" ht="15.75" customHeight="1">
      <c r="A105" s="413">
        <v>96</v>
      </c>
      <c r="B105" s="414" t="s">
        <v>886</v>
      </c>
      <c r="C105" s="415" t="s">
        <v>994</v>
      </c>
      <c r="D105" s="411"/>
      <c r="E105" s="411">
        <v>61</v>
      </c>
      <c r="F105" s="411" t="s">
        <v>1400</v>
      </c>
      <c r="G105" s="411">
        <v>10</v>
      </c>
      <c r="H105" s="411">
        <v>1</v>
      </c>
      <c r="I105" s="411">
        <v>0</v>
      </c>
      <c r="J105" s="411">
        <v>0</v>
      </c>
      <c r="K105" s="411">
        <v>0</v>
      </c>
      <c r="L105" s="411">
        <v>0</v>
      </c>
      <c r="M105" s="411">
        <v>1</v>
      </c>
      <c r="N105" s="411">
        <v>0</v>
      </c>
      <c r="O105" s="411">
        <v>0</v>
      </c>
      <c r="P105" s="411">
        <v>0</v>
      </c>
      <c r="Q105" s="411">
        <v>0</v>
      </c>
      <c r="R105" s="411">
        <v>0</v>
      </c>
      <c r="S105" s="411">
        <v>0</v>
      </c>
      <c r="T105" s="411">
        <v>0</v>
      </c>
      <c r="U105" s="411">
        <v>0</v>
      </c>
      <c r="V105" s="411">
        <v>0</v>
      </c>
      <c r="W105" s="411">
        <v>1</v>
      </c>
      <c r="X105" s="411">
        <v>0</v>
      </c>
      <c r="Y105" s="411">
        <v>0</v>
      </c>
      <c r="Z105" s="411">
        <v>1</v>
      </c>
      <c r="AA105" s="411">
        <v>1</v>
      </c>
      <c r="AB105" s="411">
        <v>1</v>
      </c>
      <c r="AC105" s="400">
        <v>0</v>
      </c>
      <c r="AD105" s="408"/>
      <c r="AE105" s="408"/>
      <c r="AF105" s="412"/>
      <c r="AG105" s="405">
        <v>42859</v>
      </c>
      <c r="AH105" s="406">
        <v>0.41211805555555553</v>
      </c>
    </row>
    <row r="106" spans="1:34" ht="15.75" customHeight="1">
      <c r="A106" s="413">
        <v>97</v>
      </c>
      <c r="B106" s="414" t="s">
        <v>886</v>
      </c>
      <c r="C106" s="415" t="s">
        <v>994</v>
      </c>
      <c r="D106" s="411"/>
      <c r="E106" s="411">
        <v>62</v>
      </c>
      <c r="F106" s="411" t="s">
        <v>1400</v>
      </c>
      <c r="G106" s="411">
        <v>25</v>
      </c>
      <c r="H106" s="411">
        <v>1</v>
      </c>
      <c r="I106" s="411">
        <v>0</v>
      </c>
      <c r="J106" s="411">
        <v>0</v>
      </c>
      <c r="K106" s="411">
        <v>0</v>
      </c>
      <c r="L106" s="411">
        <v>0</v>
      </c>
      <c r="M106" s="411">
        <v>1</v>
      </c>
      <c r="N106" s="411">
        <v>0</v>
      </c>
      <c r="O106" s="411">
        <v>0</v>
      </c>
      <c r="P106" s="411">
        <v>0</v>
      </c>
      <c r="Q106" s="411">
        <v>0</v>
      </c>
      <c r="R106" s="411">
        <v>0</v>
      </c>
      <c r="S106" s="411">
        <v>0</v>
      </c>
      <c r="T106" s="411">
        <v>0</v>
      </c>
      <c r="U106" s="411">
        <v>0</v>
      </c>
      <c r="V106" s="411">
        <v>0</v>
      </c>
      <c r="W106" s="411">
        <v>1</v>
      </c>
      <c r="X106" s="411">
        <v>0</v>
      </c>
      <c r="Y106" s="411">
        <v>0</v>
      </c>
      <c r="Z106" s="411">
        <v>1</v>
      </c>
      <c r="AA106" s="411">
        <v>1</v>
      </c>
      <c r="AB106" s="411">
        <v>1</v>
      </c>
      <c r="AC106" s="400">
        <v>0</v>
      </c>
      <c r="AD106" s="408"/>
      <c r="AE106" s="408"/>
      <c r="AF106" s="412"/>
      <c r="AG106" s="405">
        <v>42859</v>
      </c>
      <c r="AH106" s="406">
        <v>0.41226851851851848</v>
      </c>
    </row>
    <row r="107" spans="1:34" ht="15.75" customHeight="1">
      <c r="A107" s="413">
        <v>98</v>
      </c>
      <c r="B107" s="414" t="s">
        <v>886</v>
      </c>
      <c r="C107" s="415" t="s">
        <v>994</v>
      </c>
      <c r="D107" s="411"/>
      <c r="E107" s="411">
        <v>63</v>
      </c>
      <c r="F107" s="411" t="s">
        <v>1400</v>
      </c>
      <c r="G107" s="411">
        <v>11</v>
      </c>
      <c r="H107" s="411">
        <v>1</v>
      </c>
      <c r="I107" s="411">
        <v>0</v>
      </c>
      <c r="J107" s="411">
        <v>0</v>
      </c>
      <c r="K107" s="411">
        <v>0</v>
      </c>
      <c r="L107" s="411">
        <v>0</v>
      </c>
      <c r="M107" s="411">
        <v>1</v>
      </c>
      <c r="N107" s="411">
        <v>0</v>
      </c>
      <c r="O107" s="411">
        <v>0</v>
      </c>
      <c r="P107" s="411">
        <v>0</v>
      </c>
      <c r="Q107" s="411">
        <v>0</v>
      </c>
      <c r="R107" s="411">
        <v>0</v>
      </c>
      <c r="S107" s="411">
        <v>0</v>
      </c>
      <c r="T107" s="411">
        <v>0</v>
      </c>
      <c r="U107" s="411">
        <v>0</v>
      </c>
      <c r="V107" s="411">
        <v>0</v>
      </c>
      <c r="W107" s="411">
        <v>1</v>
      </c>
      <c r="X107" s="411">
        <v>0</v>
      </c>
      <c r="Y107" s="411">
        <v>0</v>
      </c>
      <c r="Z107" s="411">
        <v>1</v>
      </c>
      <c r="AA107" s="411">
        <v>1</v>
      </c>
      <c r="AB107" s="411">
        <v>1</v>
      </c>
      <c r="AC107" s="400">
        <v>0</v>
      </c>
      <c r="AD107" s="408"/>
      <c r="AE107" s="408"/>
      <c r="AF107" s="412"/>
      <c r="AG107" s="405">
        <v>42859</v>
      </c>
      <c r="AH107" s="406">
        <v>0.41240740740740739</v>
      </c>
    </row>
    <row r="108" spans="1:34" ht="15.75" customHeight="1">
      <c r="A108" s="413">
        <v>99</v>
      </c>
      <c r="B108" s="414" t="s">
        <v>886</v>
      </c>
      <c r="C108" s="415" t="s">
        <v>994</v>
      </c>
      <c r="D108" s="411"/>
      <c r="E108" s="411">
        <v>64</v>
      </c>
      <c r="F108" s="411" t="s">
        <v>1400</v>
      </c>
      <c r="G108" s="411">
        <v>11</v>
      </c>
      <c r="H108" s="411">
        <v>1</v>
      </c>
      <c r="I108" s="411">
        <v>0</v>
      </c>
      <c r="J108" s="411">
        <v>0</v>
      </c>
      <c r="K108" s="411">
        <v>0</v>
      </c>
      <c r="L108" s="411">
        <v>0</v>
      </c>
      <c r="M108" s="411">
        <v>1</v>
      </c>
      <c r="N108" s="411">
        <v>0</v>
      </c>
      <c r="O108" s="411">
        <v>0</v>
      </c>
      <c r="P108" s="411">
        <v>0</v>
      </c>
      <c r="Q108" s="411">
        <v>0</v>
      </c>
      <c r="R108" s="411">
        <v>0</v>
      </c>
      <c r="S108" s="411">
        <v>0</v>
      </c>
      <c r="T108" s="411">
        <v>0</v>
      </c>
      <c r="U108" s="411">
        <v>0</v>
      </c>
      <c r="V108" s="411">
        <v>0</v>
      </c>
      <c r="W108" s="411">
        <v>1</v>
      </c>
      <c r="X108" s="411">
        <v>0</v>
      </c>
      <c r="Y108" s="411">
        <v>0</v>
      </c>
      <c r="Z108" s="411">
        <v>1</v>
      </c>
      <c r="AA108" s="411">
        <v>1</v>
      </c>
      <c r="AB108" s="411">
        <v>1</v>
      </c>
      <c r="AC108" s="400">
        <v>0</v>
      </c>
      <c r="AD108" s="408"/>
      <c r="AE108" s="408"/>
      <c r="AF108" s="412"/>
      <c r="AG108" s="405">
        <v>42859</v>
      </c>
      <c r="AH108" s="406">
        <v>0.41265046296296298</v>
      </c>
    </row>
    <row r="109" spans="1:34" ht="15.75" customHeight="1">
      <c r="A109" s="413">
        <v>100</v>
      </c>
      <c r="B109" s="414" t="s">
        <v>886</v>
      </c>
      <c r="C109" s="415" t="s">
        <v>994</v>
      </c>
      <c r="D109" s="411"/>
      <c r="E109" s="411">
        <v>65</v>
      </c>
      <c r="F109" s="411" t="s">
        <v>1400</v>
      </c>
      <c r="G109" s="411">
        <v>11</v>
      </c>
      <c r="H109" s="411">
        <v>1</v>
      </c>
      <c r="I109" s="411">
        <v>0</v>
      </c>
      <c r="J109" s="411">
        <v>0</v>
      </c>
      <c r="K109" s="411">
        <v>0</v>
      </c>
      <c r="L109" s="411">
        <v>0</v>
      </c>
      <c r="M109" s="411">
        <v>1</v>
      </c>
      <c r="N109" s="411">
        <v>0</v>
      </c>
      <c r="O109" s="411">
        <v>0</v>
      </c>
      <c r="P109" s="411">
        <v>0</v>
      </c>
      <c r="Q109" s="411">
        <v>0</v>
      </c>
      <c r="R109" s="411">
        <v>0</v>
      </c>
      <c r="S109" s="411">
        <v>0</v>
      </c>
      <c r="T109" s="411">
        <v>0</v>
      </c>
      <c r="U109" s="411">
        <v>0</v>
      </c>
      <c r="V109" s="411">
        <v>0</v>
      </c>
      <c r="W109" s="411">
        <v>1</v>
      </c>
      <c r="X109" s="411">
        <v>0</v>
      </c>
      <c r="Y109" s="411">
        <v>0</v>
      </c>
      <c r="Z109" s="411">
        <v>1</v>
      </c>
      <c r="AA109" s="411">
        <v>1</v>
      </c>
      <c r="AB109" s="411">
        <v>1</v>
      </c>
      <c r="AC109" s="400">
        <v>0</v>
      </c>
      <c r="AD109" s="408"/>
      <c r="AE109" s="408"/>
      <c r="AF109" s="412"/>
      <c r="AG109" s="405">
        <v>42859</v>
      </c>
      <c r="AH109" s="406">
        <v>0.41378472222222223</v>
      </c>
    </row>
    <row r="110" spans="1:34" ht="15.75" customHeight="1">
      <c r="A110" s="413">
        <v>101</v>
      </c>
      <c r="B110" s="414" t="s">
        <v>886</v>
      </c>
      <c r="C110" s="415" t="s">
        <v>994</v>
      </c>
      <c r="D110" s="411"/>
      <c r="E110" s="411">
        <v>66</v>
      </c>
      <c r="F110" s="411" t="s">
        <v>1400</v>
      </c>
      <c r="G110" s="411">
        <v>11</v>
      </c>
      <c r="H110" s="411">
        <v>1</v>
      </c>
      <c r="I110" s="411">
        <v>0</v>
      </c>
      <c r="J110" s="411">
        <v>0</v>
      </c>
      <c r="K110" s="411">
        <v>0</v>
      </c>
      <c r="L110" s="411">
        <v>0</v>
      </c>
      <c r="M110" s="411">
        <v>1</v>
      </c>
      <c r="N110" s="411">
        <v>0</v>
      </c>
      <c r="O110" s="411">
        <v>0</v>
      </c>
      <c r="P110" s="411">
        <v>0</v>
      </c>
      <c r="Q110" s="411">
        <v>0</v>
      </c>
      <c r="R110" s="411">
        <v>0</v>
      </c>
      <c r="S110" s="411">
        <v>0</v>
      </c>
      <c r="T110" s="411">
        <v>0</v>
      </c>
      <c r="U110" s="411">
        <v>0</v>
      </c>
      <c r="V110" s="411">
        <v>0</v>
      </c>
      <c r="W110" s="411">
        <v>1</v>
      </c>
      <c r="X110" s="411">
        <v>0</v>
      </c>
      <c r="Y110" s="411">
        <v>0</v>
      </c>
      <c r="Z110" s="411">
        <v>1</v>
      </c>
      <c r="AA110" s="411">
        <v>1</v>
      </c>
      <c r="AB110" s="411">
        <v>1</v>
      </c>
      <c r="AC110" s="400">
        <v>0</v>
      </c>
      <c r="AD110" s="408"/>
      <c r="AE110" s="408"/>
      <c r="AF110" s="412"/>
      <c r="AG110" s="405">
        <v>42859</v>
      </c>
      <c r="AH110" s="406">
        <v>0.4138425925925926</v>
      </c>
    </row>
    <row r="111" spans="1:34" ht="15.75" customHeight="1">
      <c r="A111" s="413">
        <v>102</v>
      </c>
      <c r="B111" s="414" t="s">
        <v>886</v>
      </c>
      <c r="C111" s="415" t="s">
        <v>994</v>
      </c>
      <c r="D111" s="411"/>
      <c r="E111" s="411">
        <v>67</v>
      </c>
      <c r="F111" s="411" t="s">
        <v>1400</v>
      </c>
      <c r="G111" s="411">
        <v>11</v>
      </c>
      <c r="H111" s="411">
        <v>1</v>
      </c>
      <c r="I111" s="411">
        <v>0</v>
      </c>
      <c r="J111" s="411">
        <v>0</v>
      </c>
      <c r="K111" s="411">
        <v>0</v>
      </c>
      <c r="L111" s="411">
        <v>0</v>
      </c>
      <c r="M111" s="411">
        <v>1</v>
      </c>
      <c r="N111" s="411">
        <v>0</v>
      </c>
      <c r="O111" s="411">
        <v>0</v>
      </c>
      <c r="P111" s="411">
        <v>0</v>
      </c>
      <c r="Q111" s="411">
        <v>0</v>
      </c>
      <c r="R111" s="411">
        <v>0</v>
      </c>
      <c r="S111" s="411">
        <v>0</v>
      </c>
      <c r="T111" s="411">
        <v>0</v>
      </c>
      <c r="U111" s="411">
        <v>0</v>
      </c>
      <c r="V111" s="411">
        <v>0</v>
      </c>
      <c r="W111" s="411">
        <v>1</v>
      </c>
      <c r="X111" s="411">
        <v>0</v>
      </c>
      <c r="Y111" s="411">
        <v>0</v>
      </c>
      <c r="Z111" s="411">
        <v>1</v>
      </c>
      <c r="AA111" s="411">
        <v>1</v>
      </c>
      <c r="AB111" s="411">
        <v>1</v>
      </c>
      <c r="AC111" s="400">
        <v>0</v>
      </c>
      <c r="AD111" s="408"/>
      <c r="AE111" s="408"/>
      <c r="AF111" s="412"/>
      <c r="AG111" s="405">
        <v>42859</v>
      </c>
      <c r="AH111" s="406">
        <v>0.41395833333333337</v>
      </c>
    </row>
    <row r="112" spans="1:34" ht="15.75" customHeight="1">
      <c r="A112" s="413">
        <v>103</v>
      </c>
      <c r="B112" s="414" t="s">
        <v>886</v>
      </c>
      <c r="C112" s="415" t="s">
        <v>994</v>
      </c>
      <c r="D112" s="411"/>
      <c r="E112" s="411">
        <v>68</v>
      </c>
      <c r="F112" s="411" t="s">
        <v>1400</v>
      </c>
      <c r="G112" s="411">
        <v>17</v>
      </c>
      <c r="H112" s="411">
        <v>1</v>
      </c>
      <c r="I112" s="411">
        <v>0</v>
      </c>
      <c r="J112" s="411">
        <v>0</v>
      </c>
      <c r="K112" s="411">
        <v>0</v>
      </c>
      <c r="L112" s="411">
        <v>0</v>
      </c>
      <c r="M112" s="411">
        <v>1</v>
      </c>
      <c r="N112" s="411">
        <v>0</v>
      </c>
      <c r="O112" s="411">
        <v>0</v>
      </c>
      <c r="P112" s="411">
        <v>0</v>
      </c>
      <c r="Q112" s="411">
        <v>0</v>
      </c>
      <c r="R112" s="411">
        <v>0</v>
      </c>
      <c r="S112" s="411">
        <v>0</v>
      </c>
      <c r="T112" s="411">
        <v>0</v>
      </c>
      <c r="U112" s="411">
        <v>0</v>
      </c>
      <c r="V112" s="411">
        <v>0</v>
      </c>
      <c r="W112" s="411">
        <v>1</v>
      </c>
      <c r="X112" s="411">
        <v>0</v>
      </c>
      <c r="Y112" s="411">
        <v>0</v>
      </c>
      <c r="Z112" s="411">
        <v>1</v>
      </c>
      <c r="AA112" s="411">
        <v>1</v>
      </c>
      <c r="AB112" s="411">
        <v>1</v>
      </c>
      <c r="AC112" s="400">
        <v>0</v>
      </c>
      <c r="AD112" s="408"/>
      <c r="AE112" s="408"/>
      <c r="AF112" s="412"/>
      <c r="AG112" s="405">
        <v>42859</v>
      </c>
      <c r="AH112" s="406">
        <v>0.41400462962962964</v>
      </c>
    </row>
    <row r="113" spans="1:34" ht="15.75" customHeight="1">
      <c r="A113" s="413">
        <v>104</v>
      </c>
      <c r="B113" s="414" t="s">
        <v>886</v>
      </c>
      <c r="C113" s="415" t="s">
        <v>994</v>
      </c>
      <c r="D113" s="411"/>
      <c r="E113" s="411">
        <v>69</v>
      </c>
      <c r="F113" s="411" t="s">
        <v>1400</v>
      </c>
      <c r="G113" s="411">
        <v>15</v>
      </c>
      <c r="H113" s="411">
        <v>1</v>
      </c>
      <c r="I113" s="411">
        <v>0</v>
      </c>
      <c r="J113" s="411">
        <v>0</v>
      </c>
      <c r="K113" s="411">
        <v>0</v>
      </c>
      <c r="L113" s="411">
        <v>0</v>
      </c>
      <c r="M113" s="411">
        <v>1</v>
      </c>
      <c r="N113" s="411">
        <v>0</v>
      </c>
      <c r="O113" s="411">
        <v>0</v>
      </c>
      <c r="P113" s="411">
        <v>0</v>
      </c>
      <c r="Q113" s="411">
        <v>0</v>
      </c>
      <c r="R113" s="411">
        <v>0</v>
      </c>
      <c r="S113" s="411">
        <v>0</v>
      </c>
      <c r="T113" s="411">
        <v>0</v>
      </c>
      <c r="U113" s="411">
        <v>0</v>
      </c>
      <c r="V113" s="411">
        <v>0</v>
      </c>
      <c r="W113" s="411">
        <v>1</v>
      </c>
      <c r="X113" s="411">
        <v>0</v>
      </c>
      <c r="Y113" s="411">
        <v>0</v>
      </c>
      <c r="Z113" s="411">
        <v>1</v>
      </c>
      <c r="AA113" s="411">
        <v>1</v>
      </c>
      <c r="AB113" s="411">
        <v>1</v>
      </c>
      <c r="AC113" s="400">
        <v>0</v>
      </c>
      <c r="AD113" s="408"/>
      <c r="AE113" s="408"/>
      <c r="AF113" s="412"/>
      <c r="AG113" s="405">
        <v>42859</v>
      </c>
      <c r="AH113" s="406">
        <v>0.41421296296296295</v>
      </c>
    </row>
    <row r="114" spans="1:34" ht="15.75" customHeight="1">
      <c r="A114" s="413">
        <v>105</v>
      </c>
      <c r="B114" s="414" t="s">
        <v>886</v>
      </c>
      <c r="C114" s="415" t="s">
        <v>994</v>
      </c>
      <c r="D114" s="411"/>
      <c r="E114" s="411">
        <v>70</v>
      </c>
      <c r="F114" s="411" t="s">
        <v>1400</v>
      </c>
      <c r="G114" s="411">
        <v>10</v>
      </c>
      <c r="H114" s="411">
        <v>1</v>
      </c>
      <c r="I114" s="411">
        <v>0</v>
      </c>
      <c r="J114" s="411">
        <v>0</v>
      </c>
      <c r="K114" s="411">
        <v>0</v>
      </c>
      <c r="L114" s="411">
        <v>0</v>
      </c>
      <c r="M114" s="411">
        <v>1</v>
      </c>
      <c r="N114" s="411">
        <v>0</v>
      </c>
      <c r="O114" s="411">
        <v>0</v>
      </c>
      <c r="P114" s="411">
        <v>0</v>
      </c>
      <c r="Q114" s="411">
        <v>0</v>
      </c>
      <c r="R114" s="411">
        <v>0</v>
      </c>
      <c r="S114" s="411">
        <v>0</v>
      </c>
      <c r="T114" s="411">
        <v>0</v>
      </c>
      <c r="U114" s="411">
        <v>0</v>
      </c>
      <c r="V114" s="411">
        <v>0</v>
      </c>
      <c r="W114" s="411">
        <v>1</v>
      </c>
      <c r="X114" s="411">
        <v>0</v>
      </c>
      <c r="Y114" s="411">
        <v>0</v>
      </c>
      <c r="Z114" s="411">
        <v>1</v>
      </c>
      <c r="AA114" s="411">
        <v>1</v>
      </c>
      <c r="AB114" s="411">
        <v>1</v>
      </c>
      <c r="AC114" s="400">
        <v>0</v>
      </c>
      <c r="AD114" s="408"/>
      <c r="AE114" s="408"/>
      <c r="AF114" s="412"/>
      <c r="AG114" s="405">
        <v>42859</v>
      </c>
      <c r="AH114" s="406">
        <v>0.41440972222222222</v>
      </c>
    </row>
    <row r="115" spans="1:34" ht="15.75" customHeight="1">
      <c r="A115" s="413">
        <v>106</v>
      </c>
      <c r="B115" s="414" t="s">
        <v>886</v>
      </c>
      <c r="C115" s="415" t="s">
        <v>994</v>
      </c>
      <c r="D115" s="411"/>
      <c r="E115" s="411">
        <v>71</v>
      </c>
      <c r="F115" s="411" t="s">
        <v>1400</v>
      </c>
      <c r="G115" s="411">
        <v>10</v>
      </c>
      <c r="H115" s="411">
        <v>1</v>
      </c>
      <c r="I115" s="411">
        <v>0</v>
      </c>
      <c r="J115" s="411">
        <v>0</v>
      </c>
      <c r="K115" s="411">
        <v>0</v>
      </c>
      <c r="L115" s="411">
        <v>0</v>
      </c>
      <c r="M115" s="411">
        <v>1</v>
      </c>
      <c r="N115" s="411">
        <v>0</v>
      </c>
      <c r="O115" s="411">
        <v>0</v>
      </c>
      <c r="P115" s="411">
        <v>0</v>
      </c>
      <c r="Q115" s="411">
        <v>0</v>
      </c>
      <c r="R115" s="411">
        <v>0</v>
      </c>
      <c r="S115" s="411">
        <v>0</v>
      </c>
      <c r="T115" s="411">
        <v>0</v>
      </c>
      <c r="U115" s="411">
        <v>0</v>
      </c>
      <c r="V115" s="411">
        <v>0</v>
      </c>
      <c r="W115" s="411">
        <v>1</v>
      </c>
      <c r="X115" s="411">
        <v>0</v>
      </c>
      <c r="Y115" s="411">
        <v>0</v>
      </c>
      <c r="Z115" s="411">
        <v>1</v>
      </c>
      <c r="AA115" s="411">
        <v>1</v>
      </c>
      <c r="AB115" s="411">
        <v>1</v>
      </c>
      <c r="AC115" s="400">
        <v>0</v>
      </c>
      <c r="AD115" s="408"/>
      <c r="AE115" s="408"/>
      <c r="AF115" s="412"/>
      <c r="AG115" s="405">
        <v>42859</v>
      </c>
      <c r="AH115" s="406">
        <v>0.41545138888888888</v>
      </c>
    </row>
    <row r="116" spans="1:34" ht="15.75" customHeight="1">
      <c r="A116" s="413">
        <v>107</v>
      </c>
      <c r="B116" s="414" t="s">
        <v>886</v>
      </c>
      <c r="C116" s="415" t="s">
        <v>994</v>
      </c>
      <c r="D116" s="411"/>
      <c r="E116" s="411">
        <v>72</v>
      </c>
      <c r="F116" s="411" t="s">
        <v>1400</v>
      </c>
      <c r="G116" s="411">
        <v>13</v>
      </c>
      <c r="H116" s="411">
        <v>1</v>
      </c>
      <c r="I116" s="411">
        <v>0</v>
      </c>
      <c r="J116" s="411">
        <v>0</v>
      </c>
      <c r="K116" s="411">
        <v>0</v>
      </c>
      <c r="L116" s="411">
        <v>0</v>
      </c>
      <c r="M116" s="411">
        <v>1</v>
      </c>
      <c r="N116" s="411">
        <v>0</v>
      </c>
      <c r="O116" s="411">
        <v>0</v>
      </c>
      <c r="P116" s="411">
        <v>0</v>
      </c>
      <c r="Q116" s="411">
        <v>0</v>
      </c>
      <c r="R116" s="411">
        <v>0</v>
      </c>
      <c r="S116" s="411">
        <v>0</v>
      </c>
      <c r="T116" s="411">
        <v>0</v>
      </c>
      <c r="U116" s="411">
        <v>0</v>
      </c>
      <c r="V116" s="411">
        <v>0</v>
      </c>
      <c r="W116" s="411">
        <v>1</v>
      </c>
      <c r="X116" s="411">
        <v>0</v>
      </c>
      <c r="Y116" s="411">
        <v>0</v>
      </c>
      <c r="Z116" s="411">
        <v>1</v>
      </c>
      <c r="AA116" s="411">
        <v>1</v>
      </c>
      <c r="AB116" s="411">
        <v>1</v>
      </c>
      <c r="AC116" s="400">
        <v>0</v>
      </c>
      <c r="AD116" s="408"/>
      <c r="AE116" s="408"/>
      <c r="AF116" s="412"/>
      <c r="AG116" s="405">
        <v>42859</v>
      </c>
      <c r="AH116" s="406">
        <v>0.41567129629629629</v>
      </c>
    </row>
    <row r="117" spans="1:34" ht="15.75" customHeight="1">
      <c r="A117" s="413">
        <v>108</v>
      </c>
      <c r="B117" s="414" t="s">
        <v>886</v>
      </c>
      <c r="C117" s="415" t="s">
        <v>994</v>
      </c>
      <c r="D117" s="411"/>
      <c r="E117" s="411">
        <v>73</v>
      </c>
      <c r="F117" s="411" t="s">
        <v>1400</v>
      </c>
      <c r="G117" s="411">
        <v>10</v>
      </c>
      <c r="H117" s="411">
        <v>1</v>
      </c>
      <c r="I117" s="411">
        <v>0</v>
      </c>
      <c r="J117" s="411">
        <v>0</v>
      </c>
      <c r="K117" s="411">
        <v>0</v>
      </c>
      <c r="L117" s="411">
        <v>0</v>
      </c>
      <c r="M117" s="411">
        <v>1</v>
      </c>
      <c r="N117" s="411">
        <v>0</v>
      </c>
      <c r="O117" s="411">
        <v>0</v>
      </c>
      <c r="P117" s="411">
        <v>0</v>
      </c>
      <c r="Q117" s="411">
        <v>0</v>
      </c>
      <c r="R117" s="411">
        <v>0</v>
      </c>
      <c r="S117" s="411">
        <v>0</v>
      </c>
      <c r="T117" s="411">
        <v>0</v>
      </c>
      <c r="U117" s="411">
        <v>0</v>
      </c>
      <c r="V117" s="411">
        <v>0</v>
      </c>
      <c r="W117" s="411">
        <v>1</v>
      </c>
      <c r="X117" s="411">
        <v>0</v>
      </c>
      <c r="Y117" s="411">
        <v>0</v>
      </c>
      <c r="Z117" s="411">
        <v>1</v>
      </c>
      <c r="AA117" s="411">
        <v>1</v>
      </c>
      <c r="AB117" s="411">
        <v>1</v>
      </c>
      <c r="AC117" s="400">
        <v>0</v>
      </c>
      <c r="AD117" s="408"/>
      <c r="AE117" s="408"/>
      <c r="AF117" s="412"/>
      <c r="AG117" s="405">
        <v>42859</v>
      </c>
      <c r="AH117" s="406">
        <v>0.41585648148148152</v>
      </c>
    </row>
    <row r="118" spans="1:34" ht="15.75" customHeight="1">
      <c r="A118" s="413">
        <v>109</v>
      </c>
      <c r="B118" s="414" t="s">
        <v>886</v>
      </c>
      <c r="C118" s="415" t="s">
        <v>994</v>
      </c>
      <c r="D118" s="411"/>
      <c r="E118" s="411">
        <v>74</v>
      </c>
      <c r="F118" s="411" t="s">
        <v>1400</v>
      </c>
      <c r="G118" s="411">
        <v>9</v>
      </c>
      <c r="H118" s="411">
        <v>1</v>
      </c>
      <c r="I118" s="411">
        <v>0</v>
      </c>
      <c r="J118" s="411">
        <v>0</v>
      </c>
      <c r="K118" s="411">
        <v>0</v>
      </c>
      <c r="L118" s="411">
        <v>0</v>
      </c>
      <c r="M118" s="411">
        <v>1</v>
      </c>
      <c r="N118" s="411">
        <v>0</v>
      </c>
      <c r="O118" s="411">
        <v>0</v>
      </c>
      <c r="P118" s="411">
        <v>0</v>
      </c>
      <c r="Q118" s="411">
        <v>0</v>
      </c>
      <c r="R118" s="411">
        <v>0</v>
      </c>
      <c r="S118" s="411">
        <v>0</v>
      </c>
      <c r="T118" s="411">
        <v>0</v>
      </c>
      <c r="U118" s="411">
        <v>0</v>
      </c>
      <c r="V118" s="411">
        <v>0</v>
      </c>
      <c r="W118" s="411">
        <v>1</v>
      </c>
      <c r="X118" s="411">
        <v>0</v>
      </c>
      <c r="Y118" s="411">
        <v>0</v>
      </c>
      <c r="Z118" s="411">
        <v>1</v>
      </c>
      <c r="AA118" s="411">
        <v>1</v>
      </c>
      <c r="AB118" s="411">
        <v>1</v>
      </c>
      <c r="AC118" s="400">
        <v>0</v>
      </c>
      <c r="AD118" s="408"/>
      <c r="AE118" s="408"/>
      <c r="AF118" s="412"/>
      <c r="AG118" s="405">
        <v>42859</v>
      </c>
      <c r="AH118" s="406">
        <v>0.41594907407407411</v>
      </c>
    </row>
    <row r="119" spans="1:34" ht="15.75" customHeight="1">
      <c r="A119" s="413">
        <v>110</v>
      </c>
      <c r="B119" s="414" t="s">
        <v>893</v>
      </c>
      <c r="C119" s="415" t="s">
        <v>1019</v>
      </c>
      <c r="D119" s="411"/>
      <c r="E119" s="411">
        <v>1</v>
      </c>
      <c r="F119" s="411" t="s">
        <v>1399</v>
      </c>
      <c r="G119" s="411">
        <v>156</v>
      </c>
      <c r="H119" s="411">
        <v>1</v>
      </c>
      <c r="I119" s="411">
        <v>0</v>
      </c>
      <c r="J119" s="411">
        <v>0</v>
      </c>
      <c r="K119" s="411">
        <v>0</v>
      </c>
      <c r="L119" s="411">
        <v>0</v>
      </c>
      <c r="M119" s="411">
        <v>0</v>
      </c>
      <c r="N119" s="411">
        <v>0</v>
      </c>
      <c r="O119" s="411">
        <v>0</v>
      </c>
      <c r="P119" s="411">
        <v>0</v>
      </c>
      <c r="Q119" s="411">
        <v>0</v>
      </c>
      <c r="R119" s="411">
        <v>0</v>
      </c>
      <c r="S119" s="411">
        <v>0</v>
      </c>
      <c r="T119" s="411">
        <v>0</v>
      </c>
      <c r="U119" s="411">
        <v>0</v>
      </c>
      <c r="V119" s="411">
        <v>0</v>
      </c>
      <c r="W119" s="411">
        <v>1</v>
      </c>
      <c r="X119" s="411">
        <v>0</v>
      </c>
      <c r="Y119" s="411">
        <v>0</v>
      </c>
      <c r="Z119" s="411">
        <v>1</v>
      </c>
      <c r="AA119" s="411">
        <v>1</v>
      </c>
      <c r="AB119" s="411">
        <v>1</v>
      </c>
      <c r="AC119" s="400">
        <v>0</v>
      </c>
      <c r="AD119" s="408"/>
      <c r="AE119" s="408"/>
      <c r="AF119" s="412"/>
      <c r="AG119" s="405">
        <v>42859</v>
      </c>
      <c r="AH119" s="406">
        <v>0.41600694444444447</v>
      </c>
    </row>
    <row r="120" spans="1:34" ht="15.75" customHeight="1">
      <c r="A120" s="413">
        <v>111</v>
      </c>
      <c r="B120" s="414" t="s">
        <v>893</v>
      </c>
      <c r="C120" s="415" t="s">
        <v>1019</v>
      </c>
      <c r="D120" s="411"/>
      <c r="E120" s="411">
        <v>2</v>
      </c>
      <c r="F120" s="411" t="s">
        <v>1399</v>
      </c>
      <c r="G120" s="411">
        <v>200</v>
      </c>
      <c r="H120" s="411">
        <v>1</v>
      </c>
      <c r="I120" s="411">
        <v>0</v>
      </c>
      <c r="J120" s="411">
        <v>0</v>
      </c>
      <c r="K120" s="411">
        <v>0</v>
      </c>
      <c r="L120" s="411">
        <v>0</v>
      </c>
      <c r="M120" s="411">
        <v>0</v>
      </c>
      <c r="N120" s="411">
        <v>0</v>
      </c>
      <c r="O120" s="411">
        <v>0</v>
      </c>
      <c r="P120" s="411">
        <v>0</v>
      </c>
      <c r="Q120" s="411">
        <v>0</v>
      </c>
      <c r="R120" s="411">
        <v>0</v>
      </c>
      <c r="S120" s="411">
        <v>0</v>
      </c>
      <c r="T120" s="411">
        <v>0</v>
      </c>
      <c r="U120" s="411">
        <v>0</v>
      </c>
      <c r="V120" s="411">
        <v>0</v>
      </c>
      <c r="W120" s="411">
        <v>1</v>
      </c>
      <c r="X120" s="411">
        <v>0</v>
      </c>
      <c r="Y120" s="411">
        <v>0</v>
      </c>
      <c r="Z120" s="411">
        <v>1</v>
      </c>
      <c r="AA120" s="411">
        <v>0</v>
      </c>
      <c r="AB120" s="411">
        <v>1</v>
      </c>
      <c r="AC120" s="400">
        <v>0</v>
      </c>
      <c r="AD120" s="408"/>
      <c r="AE120" s="408"/>
      <c r="AF120" s="412"/>
      <c r="AG120" s="405">
        <v>42859</v>
      </c>
      <c r="AH120" s="406">
        <v>0.41606481481481478</v>
      </c>
    </row>
    <row r="121" spans="1:34" ht="15.75" customHeight="1">
      <c r="A121" s="413">
        <v>112</v>
      </c>
      <c r="B121" s="414" t="s">
        <v>893</v>
      </c>
      <c r="C121" s="415" t="s">
        <v>1019</v>
      </c>
      <c r="D121" s="411"/>
      <c r="E121" s="411">
        <v>3</v>
      </c>
      <c r="F121" s="411" t="s">
        <v>1399</v>
      </c>
      <c r="G121" s="411">
        <v>44</v>
      </c>
      <c r="H121" s="411">
        <v>1</v>
      </c>
      <c r="I121" s="411">
        <v>0</v>
      </c>
      <c r="J121" s="411">
        <v>0</v>
      </c>
      <c r="K121" s="411">
        <v>0</v>
      </c>
      <c r="L121" s="411">
        <v>0</v>
      </c>
      <c r="M121" s="411">
        <v>0</v>
      </c>
      <c r="N121" s="411">
        <v>0</v>
      </c>
      <c r="O121" s="411">
        <v>0</v>
      </c>
      <c r="P121" s="411">
        <v>0</v>
      </c>
      <c r="Q121" s="411">
        <v>0</v>
      </c>
      <c r="R121" s="411">
        <v>0</v>
      </c>
      <c r="S121" s="411">
        <v>0</v>
      </c>
      <c r="T121" s="411">
        <v>0</v>
      </c>
      <c r="U121" s="411">
        <v>0</v>
      </c>
      <c r="V121" s="411">
        <v>0</v>
      </c>
      <c r="W121" s="411">
        <v>1</v>
      </c>
      <c r="X121" s="411">
        <v>0</v>
      </c>
      <c r="Y121" s="411">
        <v>0</v>
      </c>
      <c r="Z121" s="411">
        <v>1</v>
      </c>
      <c r="AA121" s="411">
        <v>0</v>
      </c>
      <c r="AB121" s="411">
        <v>1</v>
      </c>
      <c r="AC121" s="400">
        <v>0</v>
      </c>
      <c r="AD121" s="408"/>
      <c r="AE121" s="408"/>
      <c r="AF121" s="412"/>
      <c r="AG121" s="405">
        <v>42859</v>
      </c>
      <c r="AH121" s="406">
        <v>0.41832175925925924</v>
      </c>
    </row>
    <row r="122" spans="1:34" ht="15.75" customHeight="1">
      <c r="A122" s="413">
        <v>113</v>
      </c>
      <c r="B122" s="414" t="s">
        <v>893</v>
      </c>
      <c r="C122" s="415" t="s">
        <v>1019</v>
      </c>
      <c r="D122" s="411"/>
      <c r="E122" s="411">
        <v>4</v>
      </c>
      <c r="F122" s="411" t="s">
        <v>1399</v>
      </c>
      <c r="G122" s="411">
        <v>176</v>
      </c>
      <c r="H122" s="411">
        <v>1</v>
      </c>
      <c r="I122" s="411">
        <v>0</v>
      </c>
      <c r="J122" s="411">
        <v>0</v>
      </c>
      <c r="K122" s="411">
        <v>0</v>
      </c>
      <c r="L122" s="411">
        <v>0</v>
      </c>
      <c r="M122" s="411">
        <v>0</v>
      </c>
      <c r="N122" s="411">
        <v>0</v>
      </c>
      <c r="O122" s="411">
        <v>0</v>
      </c>
      <c r="P122" s="411">
        <v>0</v>
      </c>
      <c r="Q122" s="411">
        <v>0</v>
      </c>
      <c r="R122" s="411">
        <v>0</v>
      </c>
      <c r="S122" s="411">
        <v>0</v>
      </c>
      <c r="T122" s="411">
        <v>0</v>
      </c>
      <c r="U122" s="411">
        <v>0</v>
      </c>
      <c r="V122" s="411">
        <v>0</v>
      </c>
      <c r="W122" s="411">
        <v>1</v>
      </c>
      <c r="X122" s="411">
        <v>0</v>
      </c>
      <c r="Y122" s="411">
        <v>0</v>
      </c>
      <c r="Z122" s="411">
        <v>1</v>
      </c>
      <c r="AA122" s="411">
        <v>0</v>
      </c>
      <c r="AB122" s="411">
        <v>1</v>
      </c>
      <c r="AC122" s="400">
        <v>0</v>
      </c>
      <c r="AD122" s="408"/>
      <c r="AE122" s="408"/>
      <c r="AF122" s="412"/>
      <c r="AG122" s="405">
        <v>42859</v>
      </c>
      <c r="AH122" s="406">
        <v>0.41870370370370374</v>
      </c>
    </row>
    <row r="123" spans="1:34" ht="15.75" customHeight="1">
      <c r="A123" s="413">
        <v>114</v>
      </c>
      <c r="B123" s="414" t="s">
        <v>893</v>
      </c>
      <c r="C123" s="415" t="s">
        <v>1019</v>
      </c>
      <c r="D123" s="411"/>
      <c r="E123" s="411">
        <v>5</v>
      </c>
      <c r="F123" s="411" t="s">
        <v>1399</v>
      </c>
      <c r="G123" s="411">
        <v>169</v>
      </c>
      <c r="H123" s="411">
        <v>1</v>
      </c>
      <c r="I123" s="411">
        <v>0</v>
      </c>
      <c r="J123" s="411">
        <v>0</v>
      </c>
      <c r="K123" s="411">
        <v>0</v>
      </c>
      <c r="L123" s="411">
        <v>0</v>
      </c>
      <c r="M123" s="411">
        <v>0</v>
      </c>
      <c r="N123" s="411">
        <v>0</v>
      </c>
      <c r="O123" s="411">
        <v>0</v>
      </c>
      <c r="P123" s="411">
        <v>0</v>
      </c>
      <c r="Q123" s="411">
        <v>0</v>
      </c>
      <c r="R123" s="411">
        <v>0</v>
      </c>
      <c r="S123" s="411">
        <v>0</v>
      </c>
      <c r="T123" s="411">
        <v>0</v>
      </c>
      <c r="U123" s="411">
        <v>0</v>
      </c>
      <c r="V123" s="411">
        <v>0</v>
      </c>
      <c r="W123" s="411">
        <v>1</v>
      </c>
      <c r="X123" s="411">
        <v>0</v>
      </c>
      <c r="Y123" s="411">
        <v>0</v>
      </c>
      <c r="Z123" s="411">
        <v>1</v>
      </c>
      <c r="AA123" s="411">
        <v>0</v>
      </c>
      <c r="AB123" s="411">
        <v>1</v>
      </c>
      <c r="AC123" s="400">
        <v>0</v>
      </c>
      <c r="AD123" s="408"/>
      <c r="AE123" s="408"/>
      <c r="AF123" s="412"/>
      <c r="AG123" s="405">
        <v>42859</v>
      </c>
      <c r="AH123" s="406">
        <v>0.41975694444444445</v>
      </c>
    </row>
    <row r="124" spans="1:34" ht="15.75" customHeight="1">
      <c r="A124" s="413">
        <v>115</v>
      </c>
      <c r="B124" s="414" t="s">
        <v>893</v>
      </c>
      <c r="C124" s="415" t="s">
        <v>1019</v>
      </c>
      <c r="D124" s="411"/>
      <c r="E124" s="411">
        <v>6</v>
      </c>
      <c r="F124" s="411" t="s">
        <v>1399</v>
      </c>
      <c r="G124" s="411">
        <v>173</v>
      </c>
      <c r="H124" s="411">
        <v>1</v>
      </c>
      <c r="I124" s="411">
        <v>0</v>
      </c>
      <c r="J124" s="411">
        <v>0</v>
      </c>
      <c r="K124" s="411">
        <v>0</v>
      </c>
      <c r="L124" s="411">
        <v>0</v>
      </c>
      <c r="M124" s="411">
        <v>0</v>
      </c>
      <c r="N124" s="411">
        <v>0</v>
      </c>
      <c r="O124" s="411">
        <v>0</v>
      </c>
      <c r="P124" s="411">
        <v>0</v>
      </c>
      <c r="Q124" s="411">
        <v>0</v>
      </c>
      <c r="R124" s="411">
        <v>0</v>
      </c>
      <c r="S124" s="411">
        <v>0</v>
      </c>
      <c r="T124" s="411">
        <v>0</v>
      </c>
      <c r="U124" s="411">
        <v>0</v>
      </c>
      <c r="V124" s="411">
        <v>0</v>
      </c>
      <c r="W124" s="411">
        <v>1</v>
      </c>
      <c r="X124" s="411">
        <v>0</v>
      </c>
      <c r="Y124" s="411">
        <v>0</v>
      </c>
      <c r="Z124" s="411">
        <v>1</v>
      </c>
      <c r="AA124" s="411">
        <v>0</v>
      </c>
      <c r="AB124" s="411">
        <v>1</v>
      </c>
      <c r="AC124" s="400">
        <v>0</v>
      </c>
      <c r="AD124" s="408"/>
      <c r="AE124" s="408"/>
      <c r="AF124" s="412"/>
      <c r="AG124" s="405">
        <v>42859</v>
      </c>
      <c r="AH124" s="406">
        <v>0.41991898148148149</v>
      </c>
    </row>
    <row r="125" spans="1:34" ht="15.75" customHeight="1">
      <c r="A125" s="413">
        <v>116</v>
      </c>
      <c r="B125" s="414" t="s">
        <v>893</v>
      </c>
      <c r="C125" s="415" t="s">
        <v>1019</v>
      </c>
      <c r="D125" s="411"/>
      <c r="E125" s="411">
        <v>7</v>
      </c>
      <c r="F125" s="411" t="s">
        <v>1399</v>
      </c>
      <c r="G125" s="411">
        <v>159</v>
      </c>
      <c r="H125" s="411">
        <v>1</v>
      </c>
      <c r="I125" s="411">
        <v>0</v>
      </c>
      <c r="J125" s="411">
        <v>0</v>
      </c>
      <c r="K125" s="411">
        <v>0</v>
      </c>
      <c r="L125" s="411">
        <v>0</v>
      </c>
      <c r="M125" s="411">
        <v>0</v>
      </c>
      <c r="N125" s="411">
        <v>0</v>
      </c>
      <c r="O125" s="411">
        <v>0</v>
      </c>
      <c r="P125" s="411">
        <v>0</v>
      </c>
      <c r="Q125" s="411">
        <v>0</v>
      </c>
      <c r="R125" s="411">
        <v>0</v>
      </c>
      <c r="S125" s="411">
        <v>0</v>
      </c>
      <c r="T125" s="411">
        <v>0</v>
      </c>
      <c r="U125" s="411">
        <v>0</v>
      </c>
      <c r="V125" s="411">
        <v>0</v>
      </c>
      <c r="W125" s="411">
        <v>1</v>
      </c>
      <c r="X125" s="411">
        <v>0</v>
      </c>
      <c r="Y125" s="411">
        <v>0</v>
      </c>
      <c r="Z125" s="411">
        <v>1</v>
      </c>
      <c r="AA125" s="411">
        <v>0</v>
      </c>
      <c r="AB125" s="411">
        <v>1</v>
      </c>
      <c r="AC125" s="400">
        <v>0</v>
      </c>
      <c r="AD125" s="408"/>
      <c r="AE125" s="408"/>
      <c r="AF125" s="412"/>
      <c r="AG125" s="405">
        <v>42859</v>
      </c>
      <c r="AH125" s="406">
        <v>0.42005787037037035</v>
      </c>
    </row>
    <row r="126" spans="1:34" ht="15.75" customHeight="1">
      <c r="A126" s="413">
        <v>117</v>
      </c>
      <c r="B126" s="414" t="s">
        <v>893</v>
      </c>
      <c r="C126" s="415" t="s">
        <v>1019</v>
      </c>
      <c r="D126" s="411"/>
      <c r="E126" s="411">
        <v>8</v>
      </c>
      <c r="F126" s="411" t="s">
        <v>1399</v>
      </c>
      <c r="G126" s="411">
        <v>96</v>
      </c>
      <c r="H126" s="411">
        <v>1</v>
      </c>
      <c r="I126" s="411">
        <v>0</v>
      </c>
      <c r="J126" s="411">
        <v>0</v>
      </c>
      <c r="K126" s="411">
        <v>0</v>
      </c>
      <c r="L126" s="411">
        <v>0</v>
      </c>
      <c r="M126" s="411">
        <v>0</v>
      </c>
      <c r="N126" s="411">
        <v>0</v>
      </c>
      <c r="O126" s="411">
        <v>0</v>
      </c>
      <c r="P126" s="411">
        <v>0</v>
      </c>
      <c r="Q126" s="411">
        <v>0</v>
      </c>
      <c r="R126" s="411">
        <v>0</v>
      </c>
      <c r="S126" s="411">
        <v>0</v>
      </c>
      <c r="T126" s="411">
        <v>0</v>
      </c>
      <c r="U126" s="411">
        <v>0</v>
      </c>
      <c r="V126" s="411">
        <v>0</v>
      </c>
      <c r="W126" s="411">
        <v>1</v>
      </c>
      <c r="X126" s="411">
        <v>0</v>
      </c>
      <c r="Y126" s="411">
        <v>0</v>
      </c>
      <c r="Z126" s="411">
        <v>1</v>
      </c>
      <c r="AA126" s="411">
        <v>0</v>
      </c>
      <c r="AB126" s="411">
        <v>1</v>
      </c>
      <c r="AC126" s="400">
        <v>0</v>
      </c>
      <c r="AD126" s="408"/>
      <c r="AE126" s="408"/>
      <c r="AF126" s="412"/>
      <c r="AG126" s="405">
        <v>42859</v>
      </c>
      <c r="AH126" s="406">
        <v>0.42011574074074076</v>
      </c>
    </row>
    <row r="127" spans="1:34" ht="15.75" customHeight="1">
      <c r="A127" s="413">
        <v>118</v>
      </c>
      <c r="B127" s="414" t="s">
        <v>893</v>
      </c>
      <c r="C127" s="415" t="s">
        <v>1019</v>
      </c>
      <c r="D127" s="411"/>
      <c r="E127" s="411">
        <v>9</v>
      </c>
      <c r="F127" s="411" t="s">
        <v>1399</v>
      </c>
      <c r="G127" s="411">
        <v>96</v>
      </c>
      <c r="H127" s="411">
        <v>1</v>
      </c>
      <c r="I127" s="411">
        <v>0</v>
      </c>
      <c r="J127" s="411">
        <v>0</v>
      </c>
      <c r="K127" s="411">
        <v>0</v>
      </c>
      <c r="L127" s="411">
        <v>0</v>
      </c>
      <c r="M127" s="411">
        <v>0</v>
      </c>
      <c r="N127" s="411">
        <v>0</v>
      </c>
      <c r="O127" s="411">
        <v>0</v>
      </c>
      <c r="P127" s="411">
        <v>0</v>
      </c>
      <c r="Q127" s="411">
        <v>0</v>
      </c>
      <c r="R127" s="411">
        <v>0</v>
      </c>
      <c r="S127" s="411">
        <v>0</v>
      </c>
      <c r="T127" s="411">
        <v>0</v>
      </c>
      <c r="U127" s="411">
        <v>0</v>
      </c>
      <c r="V127" s="411">
        <v>0</v>
      </c>
      <c r="W127" s="411">
        <v>1</v>
      </c>
      <c r="X127" s="411">
        <v>0</v>
      </c>
      <c r="Y127" s="411">
        <v>0</v>
      </c>
      <c r="Z127" s="411">
        <v>1</v>
      </c>
      <c r="AA127" s="411">
        <v>0</v>
      </c>
      <c r="AB127" s="411">
        <v>1</v>
      </c>
      <c r="AC127" s="400">
        <v>0</v>
      </c>
      <c r="AD127" s="408"/>
      <c r="AE127" s="408"/>
      <c r="AF127" s="412"/>
      <c r="AG127" s="405">
        <v>42859</v>
      </c>
      <c r="AH127" s="406">
        <v>0.42021990740740739</v>
      </c>
    </row>
    <row r="128" spans="1:34" ht="15.75" customHeight="1">
      <c r="A128" s="413">
        <v>119</v>
      </c>
      <c r="B128" s="414" t="s">
        <v>893</v>
      </c>
      <c r="C128" s="415" t="s">
        <v>1019</v>
      </c>
      <c r="D128" s="411"/>
      <c r="E128" s="411">
        <v>10</v>
      </c>
      <c r="F128" s="411" t="s">
        <v>1399</v>
      </c>
      <c r="G128" s="411">
        <v>80</v>
      </c>
      <c r="H128" s="411">
        <v>1</v>
      </c>
      <c r="I128" s="411">
        <v>0</v>
      </c>
      <c r="J128" s="411">
        <v>0</v>
      </c>
      <c r="K128" s="411">
        <v>0</v>
      </c>
      <c r="L128" s="411">
        <v>0</v>
      </c>
      <c r="M128" s="411">
        <v>0</v>
      </c>
      <c r="N128" s="411">
        <v>0</v>
      </c>
      <c r="O128" s="411">
        <v>0</v>
      </c>
      <c r="P128" s="411">
        <v>0</v>
      </c>
      <c r="Q128" s="411">
        <v>0</v>
      </c>
      <c r="R128" s="411">
        <v>0</v>
      </c>
      <c r="S128" s="411">
        <v>0</v>
      </c>
      <c r="T128" s="411">
        <v>0</v>
      </c>
      <c r="U128" s="411">
        <v>0</v>
      </c>
      <c r="V128" s="411">
        <v>0</v>
      </c>
      <c r="W128" s="411">
        <v>1</v>
      </c>
      <c r="X128" s="411">
        <v>0</v>
      </c>
      <c r="Y128" s="411">
        <v>0</v>
      </c>
      <c r="Z128" s="411">
        <v>1</v>
      </c>
      <c r="AA128" s="411">
        <v>0</v>
      </c>
      <c r="AB128" s="411">
        <v>1</v>
      </c>
      <c r="AC128" s="400">
        <v>0</v>
      </c>
      <c r="AD128" s="408"/>
      <c r="AE128" s="408"/>
      <c r="AF128" s="412"/>
      <c r="AG128" s="405">
        <v>42859</v>
      </c>
      <c r="AH128" s="406">
        <v>0.42027777777777775</v>
      </c>
    </row>
    <row r="129" spans="1:34" ht="15.75" customHeight="1">
      <c r="A129" s="413">
        <v>120</v>
      </c>
      <c r="B129" s="414" t="s">
        <v>893</v>
      </c>
      <c r="C129" s="415" t="s">
        <v>1019</v>
      </c>
      <c r="D129" s="411"/>
      <c r="E129" s="411">
        <v>11</v>
      </c>
      <c r="F129" s="411" t="s">
        <v>1399</v>
      </c>
      <c r="G129" s="411">
        <v>80</v>
      </c>
      <c r="H129" s="411">
        <v>1</v>
      </c>
      <c r="I129" s="411">
        <v>0</v>
      </c>
      <c r="J129" s="411">
        <v>0</v>
      </c>
      <c r="K129" s="411">
        <v>0</v>
      </c>
      <c r="L129" s="411">
        <v>0</v>
      </c>
      <c r="M129" s="411">
        <v>0</v>
      </c>
      <c r="N129" s="411">
        <v>0</v>
      </c>
      <c r="O129" s="411">
        <v>0</v>
      </c>
      <c r="P129" s="411">
        <v>0</v>
      </c>
      <c r="Q129" s="411">
        <v>0</v>
      </c>
      <c r="R129" s="411">
        <v>0</v>
      </c>
      <c r="S129" s="411">
        <v>0</v>
      </c>
      <c r="T129" s="411">
        <v>0</v>
      </c>
      <c r="U129" s="411">
        <v>0</v>
      </c>
      <c r="V129" s="411">
        <v>0</v>
      </c>
      <c r="W129" s="411">
        <v>1</v>
      </c>
      <c r="X129" s="411">
        <v>0</v>
      </c>
      <c r="Y129" s="411">
        <v>0</v>
      </c>
      <c r="Z129" s="411">
        <v>1</v>
      </c>
      <c r="AA129" s="411">
        <v>0</v>
      </c>
      <c r="AB129" s="411">
        <v>1</v>
      </c>
      <c r="AC129" s="400">
        <v>0</v>
      </c>
      <c r="AD129" s="408"/>
      <c r="AE129" s="408"/>
      <c r="AF129" s="412"/>
      <c r="AG129" s="405">
        <v>42859</v>
      </c>
      <c r="AH129" s="406">
        <v>0.42138888888888887</v>
      </c>
    </row>
    <row r="130" spans="1:34" ht="15.75" customHeight="1">
      <c r="A130" s="413">
        <v>121</v>
      </c>
      <c r="B130" s="414" t="s">
        <v>893</v>
      </c>
      <c r="C130" s="415" t="s">
        <v>1019</v>
      </c>
      <c r="D130" s="411"/>
      <c r="E130" s="411">
        <v>12</v>
      </c>
      <c r="F130" s="411" t="s">
        <v>1399</v>
      </c>
      <c r="G130" s="411">
        <v>83</v>
      </c>
      <c r="H130" s="411">
        <v>1</v>
      </c>
      <c r="I130" s="411">
        <v>0</v>
      </c>
      <c r="J130" s="411">
        <v>0</v>
      </c>
      <c r="K130" s="411">
        <v>0</v>
      </c>
      <c r="L130" s="411">
        <v>0</v>
      </c>
      <c r="M130" s="411">
        <v>0</v>
      </c>
      <c r="N130" s="411">
        <v>0</v>
      </c>
      <c r="O130" s="411">
        <v>0</v>
      </c>
      <c r="P130" s="411">
        <v>0</v>
      </c>
      <c r="Q130" s="411">
        <v>0</v>
      </c>
      <c r="R130" s="411">
        <v>0</v>
      </c>
      <c r="S130" s="411">
        <v>0</v>
      </c>
      <c r="T130" s="411">
        <v>0</v>
      </c>
      <c r="U130" s="411">
        <v>0</v>
      </c>
      <c r="V130" s="411">
        <v>0</v>
      </c>
      <c r="W130" s="411">
        <v>1</v>
      </c>
      <c r="X130" s="411">
        <v>0</v>
      </c>
      <c r="Y130" s="411">
        <v>0</v>
      </c>
      <c r="Z130" s="411">
        <v>1</v>
      </c>
      <c r="AA130" s="411">
        <v>0</v>
      </c>
      <c r="AB130" s="411">
        <v>1</v>
      </c>
      <c r="AC130" s="400">
        <v>0</v>
      </c>
      <c r="AD130" s="408"/>
      <c r="AE130" s="408"/>
      <c r="AF130" s="412"/>
      <c r="AG130" s="405">
        <v>42859</v>
      </c>
      <c r="AH130" s="406">
        <v>0.42145833333333332</v>
      </c>
    </row>
    <row r="131" spans="1:34" ht="15.75" customHeight="1">
      <c r="A131" s="413">
        <v>122</v>
      </c>
      <c r="B131" s="414" t="s">
        <v>893</v>
      </c>
      <c r="C131" s="415" t="s">
        <v>1019</v>
      </c>
      <c r="D131" s="411"/>
      <c r="E131" s="411">
        <v>13</v>
      </c>
      <c r="F131" s="411" t="s">
        <v>1399</v>
      </c>
      <c r="G131" s="411">
        <v>42</v>
      </c>
      <c r="H131" s="411">
        <v>1</v>
      </c>
      <c r="I131" s="411">
        <v>0</v>
      </c>
      <c r="J131" s="411">
        <v>0</v>
      </c>
      <c r="K131" s="411">
        <v>0</v>
      </c>
      <c r="L131" s="411">
        <v>0</v>
      </c>
      <c r="M131" s="411">
        <v>0</v>
      </c>
      <c r="N131" s="411">
        <v>0</v>
      </c>
      <c r="O131" s="411">
        <v>0</v>
      </c>
      <c r="P131" s="411">
        <v>0</v>
      </c>
      <c r="Q131" s="411">
        <v>0</v>
      </c>
      <c r="R131" s="411">
        <v>0</v>
      </c>
      <c r="S131" s="411">
        <v>0</v>
      </c>
      <c r="T131" s="411">
        <v>0</v>
      </c>
      <c r="U131" s="411">
        <v>0</v>
      </c>
      <c r="V131" s="411">
        <v>0</v>
      </c>
      <c r="W131" s="411">
        <v>1</v>
      </c>
      <c r="X131" s="411">
        <v>0</v>
      </c>
      <c r="Y131" s="411">
        <v>0</v>
      </c>
      <c r="Z131" s="411">
        <v>1</v>
      </c>
      <c r="AA131" s="411">
        <v>0</v>
      </c>
      <c r="AB131" s="411">
        <v>1</v>
      </c>
      <c r="AC131" s="400">
        <v>0</v>
      </c>
      <c r="AD131" s="408"/>
      <c r="AE131" s="408"/>
      <c r="AF131" s="412"/>
      <c r="AG131" s="405">
        <v>42859</v>
      </c>
      <c r="AH131" s="406">
        <v>0.42149305555555555</v>
      </c>
    </row>
    <row r="132" spans="1:34" ht="15.75" customHeight="1">
      <c r="A132" s="413">
        <v>123</v>
      </c>
      <c r="B132" s="414" t="s">
        <v>893</v>
      </c>
      <c r="C132" s="415" t="s">
        <v>1019</v>
      </c>
      <c r="D132" s="411"/>
      <c r="E132" s="411">
        <v>14</v>
      </c>
      <c r="F132" s="411" t="s">
        <v>1399</v>
      </c>
      <c r="G132" s="411">
        <v>38</v>
      </c>
      <c r="H132" s="411">
        <v>1</v>
      </c>
      <c r="I132" s="411">
        <v>0</v>
      </c>
      <c r="J132" s="411">
        <v>0</v>
      </c>
      <c r="K132" s="411">
        <v>0</v>
      </c>
      <c r="L132" s="411">
        <v>0</v>
      </c>
      <c r="M132" s="411">
        <v>0</v>
      </c>
      <c r="N132" s="411">
        <v>0</v>
      </c>
      <c r="O132" s="411">
        <v>0</v>
      </c>
      <c r="P132" s="411">
        <v>0</v>
      </c>
      <c r="Q132" s="411">
        <v>0</v>
      </c>
      <c r="R132" s="411">
        <v>0</v>
      </c>
      <c r="S132" s="411">
        <v>0</v>
      </c>
      <c r="T132" s="411">
        <v>0</v>
      </c>
      <c r="U132" s="411">
        <v>0</v>
      </c>
      <c r="V132" s="411">
        <v>0</v>
      </c>
      <c r="W132" s="411">
        <v>1</v>
      </c>
      <c r="X132" s="411">
        <v>0</v>
      </c>
      <c r="Y132" s="411">
        <v>0</v>
      </c>
      <c r="Z132" s="411">
        <v>1</v>
      </c>
      <c r="AA132" s="411">
        <v>0</v>
      </c>
      <c r="AB132" s="411">
        <v>1</v>
      </c>
      <c r="AC132" s="400">
        <v>0</v>
      </c>
      <c r="AD132" s="408"/>
      <c r="AE132" s="408"/>
      <c r="AF132" s="412"/>
      <c r="AG132" s="405">
        <v>42859</v>
      </c>
      <c r="AH132" s="406">
        <v>0.42153935185185182</v>
      </c>
    </row>
    <row r="133" spans="1:34" ht="15.75" customHeight="1">
      <c r="A133" s="413">
        <v>124</v>
      </c>
      <c r="B133" s="414" t="s">
        <v>893</v>
      </c>
      <c r="C133" s="415" t="s">
        <v>1019</v>
      </c>
      <c r="D133" s="411"/>
      <c r="E133" s="411">
        <v>15</v>
      </c>
      <c r="F133" s="411" t="s">
        <v>1399</v>
      </c>
      <c r="G133" s="411">
        <v>29</v>
      </c>
      <c r="H133" s="411">
        <v>1</v>
      </c>
      <c r="I133" s="411">
        <v>0</v>
      </c>
      <c r="J133" s="411">
        <v>0</v>
      </c>
      <c r="K133" s="411">
        <v>0</v>
      </c>
      <c r="L133" s="411">
        <v>0</v>
      </c>
      <c r="M133" s="411">
        <v>0</v>
      </c>
      <c r="N133" s="411">
        <v>0</v>
      </c>
      <c r="O133" s="411">
        <v>0</v>
      </c>
      <c r="P133" s="411">
        <v>0</v>
      </c>
      <c r="Q133" s="411">
        <v>0</v>
      </c>
      <c r="R133" s="411">
        <v>0</v>
      </c>
      <c r="S133" s="411">
        <v>0</v>
      </c>
      <c r="T133" s="411">
        <v>0</v>
      </c>
      <c r="U133" s="411">
        <v>0</v>
      </c>
      <c r="V133" s="411">
        <v>0</v>
      </c>
      <c r="W133" s="411">
        <v>1</v>
      </c>
      <c r="X133" s="411">
        <v>0</v>
      </c>
      <c r="Y133" s="411">
        <v>0</v>
      </c>
      <c r="Z133" s="411">
        <v>1</v>
      </c>
      <c r="AA133" s="411">
        <v>0</v>
      </c>
      <c r="AB133" s="411">
        <v>1</v>
      </c>
      <c r="AC133" s="400">
        <v>0</v>
      </c>
      <c r="AD133" s="408"/>
      <c r="AE133" s="408"/>
      <c r="AF133" s="412"/>
      <c r="AG133" s="405">
        <v>42859</v>
      </c>
      <c r="AH133" s="406">
        <v>0.4215740740740741</v>
      </c>
    </row>
    <row r="134" spans="1:34" ht="15.75" customHeight="1">
      <c r="A134" s="413">
        <v>125</v>
      </c>
      <c r="B134" s="414" t="s">
        <v>893</v>
      </c>
      <c r="C134" s="415" t="s">
        <v>1019</v>
      </c>
      <c r="D134" s="411"/>
      <c r="E134" s="411">
        <v>16</v>
      </c>
      <c r="F134" s="411" t="s">
        <v>1399</v>
      </c>
      <c r="G134" s="411">
        <v>29</v>
      </c>
      <c r="H134" s="411">
        <v>1</v>
      </c>
      <c r="I134" s="411">
        <v>0</v>
      </c>
      <c r="J134" s="411">
        <v>0</v>
      </c>
      <c r="K134" s="411">
        <v>0</v>
      </c>
      <c r="L134" s="411">
        <v>0</v>
      </c>
      <c r="M134" s="411">
        <v>0</v>
      </c>
      <c r="N134" s="411">
        <v>0</v>
      </c>
      <c r="O134" s="411">
        <v>0</v>
      </c>
      <c r="P134" s="411">
        <v>0</v>
      </c>
      <c r="Q134" s="411">
        <v>0</v>
      </c>
      <c r="R134" s="411">
        <v>0</v>
      </c>
      <c r="S134" s="411">
        <v>0</v>
      </c>
      <c r="T134" s="411">
        <v>0</v>
      </c>
      <c r="U134" s="411">
        <v>0</v>
      </c>
      <c r="V134" s="411">
        <v>0</v>
      </c>
      <c r="W134" s="411">
        <v>1</v>
      </c>
      <c r="X134" s="411">
        <v>0</v>
      </c>
      <c r="Y134" s="411">
        <v>0</v>
      </c>
      <c r="Z134" s="411">
        <v>1</v>
      </c>
      <c r="AA134" s="411">
        <v>0</v>
      </c>
      <c r="AB134" s="411">
        <v>1</v>
      </c>
      <c r="AC134" s="400">
        <v>0</v>
      </c>
      <c r="AD134" s="408"/>
      <c r="AE134" s="408"/>
      <c r="AF134" s="412"/>
      <c r="AG134" s="405">
        <v>42859</v>
      </c>
      <c r="AH134" s="406">
        <v>0.42349537037037038</v>
      </c>
    </row>
    <row r="135" spans="1:34" ht="15.75" customHeight="1">
      <c r="A135" s="413">
        <v>126</v>
      </c>
      <c r="B135" s="414" t="s">
        <v>893</v>
      </c>
      <c r="C135" s="415" t="s">
        <v>1019</v>
      </c>
      <c r="D135" s="411"/>
      <c r="E135" s="411">
        <v>17</v>
      </c>
      <c r="F135" s="411" t="s">
        <v>1399</v>
      </c>
      <c r="G135" s="411">
        <v>24</v>
      </c>
      <c r="H135" s="411">
        <v>1</v>
      </c>
      <c r="I135" s="411">
        <v>0</v>
      </c>
      <c r="J135" s="411">
        <v>0</v>
      </c>
      <c r="K135" s="411">
        <v>0</v>
      </c>
      <c r="L135" s="411">
        <v>0</v>
      </c>
      <c r="M135" s="411">
        <v>0</v>
      </c>
      <c r="N135" s="411">
        <v>0</v>
      </c>
      <c r="O135" s="411">
        <v>0</v>
      </c>
      <c r="P135" s="411">
        <v>0</v>
      </c>
      <c r="Q135" s="411">
        <v>0</v>
      </c>
      <c r="R135" s="411">
        <v>0</v>
      </c>
      <c r="S135" s="411">
        <v>0</v>
      </c>
      <c r="T135" s="411">
        <v>0</v>
      </c>
      <c r="U135" s="411">
        <v>0</v>
      </c>
      <c r="V135" s="411">
        <v>0</v>
      </c>
      <c r="W135" s="411">
        <v>1</v>
      </c>
      <c r="X135" s="411">
        <v>0</v>
      </c>
      <c r="Y135" s="411">
        <v>0</v>
      </c>
      <c r="Z135" s="411">
        <v>1</v>
      </c>
      <c r="AA135" s="411">
        <v>0</v>
      </c>
      <c r="AB135" s="411">
        <v>1</v>
      </c>
      <c r="AC135" s="400">
        <v>0</v>
      </c>
      <c r="AD135" s="408"/>
      <c r="AE135" s="408"/>
      <c r="AF135" s="412"/>
      <c r="AG135" s="405">
        <v>42859</v>
      </c>
      <c r="AH135" s="406">
        <v>0.42356481481481478</v>
      </c>
    </row>
    <row r="136" spans="1:34" ht="15.75" customHeight="1">
      <c r="A136" s="413">
        <v>127</v>
      </c>
      <c r="B136" s="414" t="s">
        <v>893</v>
      </c>
      <c r="C136" s="415" t="s">
        <v>1019</v>
      </c>
      <c r="D136" s="411"/>
      <c r="E136" s="411">
        <v>18</v>
      </c>
      <c r="F136" s="411" t="s">
        <v>1399</v>
      </c>
      <c r="G136" s="411">
        <v>20</v>
      </c>
      <c r="H136" s="411">
        <v>1</v>
      </c>
      <c r="I136" s="411">
        <v>0</v>
      </c>
      <c r="J136" s="411">
        <v>0</v>
      </c>
      <c r="K136" s="411">
        <v>0</v>
      </c>
      <c r="L136" s="411">
        <v>0</v>
      </c>
      <c r="M136" s="411">
        <v>0</v>
      </c>
      <c r="N136" s="411">
        <v>0</v>
      </c>
      <c r="O136" s="411">
        <v>0</v>
      </c>
      <c r="P136" s="411">
        <v>0</v>
      </c>
      <c r="Q136" s="411">
        <v>0</v>
      </c>
      <c r="R136" s="411">
        <v>0</v>
      </c>
      <c r="S136" s="411">
        <v>0</v>
      </c>
      <c r="T136" s="411">
        <v>0</v>
      </c>
      <c r="U136" s="411">
        <v>0</v>
      </c>
      <c r="V136" s="411">
        <v>0</v>
      </c>
      <c r="W136" s="411">
        <v>1</v>
      </c>
      <c r="X136" s="411">
        <v>0</v>
      </c>
      <c r="Y136" s="411">
        <v>0</v>
      </c>
      <c r="Z136" s="411">
        <v>1</v>
      </c>
      <c r="AA136" s="411">
        <v>0</v>
      </c>
      <c r="AB136" s="411">
        <v>1</v>
      </c>
      <c r="AC136" s="400">
        <v>0</v>
      </c>
      <c r="AD136" s="408"/>
      <c r="AE136" s="408"/>
      <c r="AF136" s="412"/>
      <c r="AG136" s="405">
        <v>42859</v>
      </c>
      <c r="AH136" s="406">
        <v>0.42365740740740737</v>
      </c>
    </row>
    <row r="137" spans="1:34" ht="15.75" customHeight="1">
      <c r="A137" s="413">
        <v>128</v>
      </c>
      <c r="B137" s="414" t="s">
        <v>893</v>
      </c>
      <c r="C137" s="415" t="s">
        <v>1019</v>
      </c>
      <c r="D137" s="411"/>
      <c r="E137" s="411">
        <v>19</v>
      </c>
      <c r="F137" s="411" t="s">
        <v>1399</v>
      </c>
      <c r="G137" s="411">
        <v>17</v>
      </c>
      <c r="H137" s="411">
        <v>1</v>
      </c>
      <c r="I137" s="411">
        <v>0</v>
      </c>
      <c r="J137" s="411">
        <v>0</v>
      </c>
      <c r="K137" s="411">
        <v>0</v>
      </c>
      <c r="L137" s="411">
        <v>0</v>
      </c>
      <c r="M137" s="411">
        <v>0</v>
      </c>
      <c r="N137" s="411">
        <v>0</v>
      </c>
      <c r="O137" s="411">
        <v>0</v>
      </c>
      <c r="P137" s="411">
        <v>0</v>
      </c>
      <c r="Q137" s="411">
        <v>0</v>
      </c>
      <c r="R137" s="411">
        <v>0</v>
      </c>
      <c r="S137" s="411">
        <v>0</v>
      </c>
      <c r="T137" s="411">
        <v>0</v>
      </c>
      <c r="U137" s="411">
        <v>0</v>
      </c>
      <c r="V137" s="411">
        <v>0</v>
      </c>
      <c r="W137" s="411">
        <v>1</v>
      </c>
      <c r="X137" s="411">
        <v>0</v>
      </c>
      <c r="Y137" s="411">
        <v>0</v>
      </c>
      <c r="Z137" s="411">
        <v>1</v>
      </c>
      <c r="AA137" s="411">
        <v>0</v>
      </c>
      <c r="AB137" s="411">
        <v>1</v>
      </c>
      <c r="AC137" s="400">
        <v>0</v>
      </c>
      <c r="AD137" s="408"/>
      <c r="AE137" s="408"/>
      <c r="AF137" s="412"/>
      <c r="AG137" s="405">
        <v>42859</v>
      </c>
      <c r="AH137" s="406">
        <v>0.42459490740740741</v>
      </c>
    </row>
    <row r="138" spans="1:34" ht="15.75" customHeight="1">
      <c r="A138" s="413">
        <v>129</v>
      </c>
      <c r="B138" s="414" t="s">
        <v>893</v>
      </c>
      <c r="C138" s="415" t="s">
        <v>1019</v>
      </c>
      <c r="D138" s="411"/>
      <c r="E138" s="411">
        <v>20</v>
      </c>
      <c r="F138" s="411" t="s">
        <v>1399</v>
      </c>
      <c r="G138" s="411">
        <v>8</v>
      </c>
      <c r="H138" s="411">
        <v>1</v>
      </c>
      <c r="I138" s="411">
        <v>0</v>
      </c>
      <c r="J138" s="411">
        <v>0</v>
      </c>
      <c r="K138" s="411">
        <v>0</v>
      </c>
      <c r="L138" s="411">
        <v>0</v>
      </c>
      <c r="M138" s="411">
        <v>0</v>
      </c>
      <c r="N138" s="411">
        <v>0</v>
      </c>
      <c r="O138" s="411">
        <v>0</v>
      </c>
      <c r="P138" s="411">
        <v>0</v>
      </c>
      <c r="Q138" s="411">
        <v>0</v>
      </c>
      <c r="R138" s="411">
        <v>0</v>
      </c>
      <c r="S138" s="411">
        <v>0</v>
      </c>
      <c r="T138" s="411">
        <v>0</v>
      </c>
      <c r="U138" s="411">
        <v>0</v>
      </c>
      <c r="V138" s="411">
        <v>0</v>
      </c>
      <c r="W138" s="411">
        <v>1</v>
      </c>
      <c r="X138" s="411">
        <v>0</v>
      </c>
      <c r="Y138" s="411">
        <v>0</v>
      </c>
      <c r="Z138" s="411">
        <v>1</v>
      </c>
      <c r="AA138" s="411">
        <v>0</v>
      </c>
      <c r="AB138" s="411">
        <v>1</v>
      </c>
      <c r="AC138" s="400">
        <v>0</v>
      </c>
      <c r="AD138" s="408"/>
      <c r="AE138" s="408"/>
      <c r="AF138" s="412"/>
      <c r="AG138" s="405">
        <v>42859</v>
      </c>
      <c r="AH138" s="406">
        <v>0.42471064814814818</v>
      </c>
    </row>
    <row r="139" spans="1:34" ht="15.75" customHeight="1">
      <c r="A139" s="413">
        <v>130</v>
      </c>
      <c r="B139" s="414" t="s">
        <v>893</v>
      </c>
      <c r="C139" s="415" t="s">
        <v>1019</v>
      </c>
      <c r="D139" s="411"/>
      <c r="E139" s="411">
        <v>21</v>
      </c>
      <c r="F139" s="411" t="s">
        <v>1399</v>
      </c>
      <c r="G139" s="411">
        <v>3</v>
      </c>
      <c r="H139" s="411">
        <v>1</v>
      </c>
      <c r="I139" s="411">
        <v>0</v>
      </c>
      <c r="J139" s="411">
        <v>0</v>
      </c>
      <c r="K139" s="411">
        <v>0</v>
      </c>
      <c r="L139" s="411">
        <v>0</v>
      </c>
      <c r="M139" s="411">
        <v>0</v>
      </c>
      <c r="N139" s="411">
        <v>0</v>
      </c>
      <c r="O139" s="411">
        <v>0</v>
      </c>
      <c r="P139" s="411">
        <v>0</v>
      </c>
      <c r="Q139" s="411">
        <v>0</v>
      </c>
      <c r="R139" s="411">
        <v>0</v>
      </c>
      <c r="S139" s="411">
        <v>0</v>
      </c>
      <c r="T139" s="411">
        <v>0</v>
      </c>
      <c r="U139" s="411">
        <v>0</v>
      </c>
      <c r="V139" s="411">
        <v>0</v>
      </c>
      <c r="W139" s="411">
        <v>1</v>
      </c>
      <c r="X139" s="411">
        <v>0</v>
      </c>
      <c r="Y139" s="411">
        <v>0</v>
      </c>
      <c r="Z139" s="411">
        <v>1</v>
      </c>
      <c r="AA139" s="411">
        <v>0</v>
      </c>
      <c r="AB139" s="411">
        <v>1</v>
      </c>
      <c r="AC139" s="400">
        <v>0</v>
      </c>
      <c r="AD139" s="408"/>
      <c r="AE139" s="408"/>
      <c r="AF139" s="412"/>
      <c r="AG139" s="405">
        <v>42859</v>
      </c>
      <c r="AH139" s="406">
        <v>0.42480324074074072</v>
      </c>
    </row>
    <row r="140" spans="1:34" ht="15.75" customHeight="1">
      <c r="A140" s="413">
        <v>131</v>
      </c>
      <c r="B140" s="414" t="s">
        <v>893</v>
      </c>
      <c r="C140" s="415" t="s">
        <v>1019</v>
      </c>
      <c r="D140" s="411"/>
      <c r="E140" s="411">
        <v>22</v>
      </c>
      <c r="F140" s="411" t="s">
        <v>1399</v>
      </c>
      <c r="G140" s="411">
        <v>191</v>
      </c>
      <c r="H140" s="411">
        <v>1</v>
      </c>
      <c r="I140" s="411">
        <v>0</v>
      </c>
      <c r="J140" s="411">
        <v>0</v>
      </c>
      <c r="K140" s="411">
        <v>0</v>
      </c>
      <c r="L140" s="411">
        <v>0</v>
      </c>
      <c r="M140" s="411">
        <v>0</v>
      </c>
      <c r="N140" s="411">
        <v>0</v>
      </c>
      <c r="O140" s="411">
        <v>0</v>
      </c>
      <c r="P140" s="411">
        <v>0</v>
      </c>
      <c r="Q140" s="411">
        <v>0</v>
      </c>
      <c r="R140" s="411">
        <v>0</v>
      </c>
      <c r="S140" s="411">
        <v>0</v>
      </c>
      <c r="T140" s="411">
        <v>0</v>
      </c>
      <c r="U140" s="411">
        <v>0</v>
      </c>
      <c r="V140" s="411">
        <v>0</v>
      </c>
      <c r="W140" s="411">
        <v>1</v>
      </c>
      <c r="X140" s="411">
        <v>0</v>
      </c>
      <c r="Y140" s="411">
        <v>0</v>
      </c>
      <c r="Z140" s="411">
        <v>1</v>
      </c>
      <c r="AA140" s="411">
        <v>0</v>
      </c>
      <c r="AB140" s="411">
        <v>1</v>
      </c>
      <c r="AC140" s="400">
        <v>0</v>
      </c>
      <c r="AD140" s="408"/>
      <c r="AE140" s="408"/>
      <c r="AF140" s="412"/>
      <c r="AG140" s="405">
        <v>42859</v>
      </c>
      <c r="AH140" s="406">
        <v>0.42489583333333331</v>
      </c>
    </row>
    <row r="141" spans="1:34" ht="15.75" customHeight="1">
      <c r="A141" s="413">
        <v>132</v>
      </c>
      <c r="B141" s="414" t="s">
        <v>893</v>
      </c>
      <c r="C141" s="415" t="s">
        <v>1019</v>
      </c>
      <c r="D141" s="411"/>
      <c r="E141" s="411">
        <v>23</v>
      </c>
      <c r="F141" s="411" t="s">
        <v>1399</v>
      </c>
      <c r="G141" s="411">
        <v>219</v>
      </c>
      <c r="H141" s="411">
        <v>1</v>
      </c>
      <c r="I141" s="411">
        <v>0</v>
      </c>
      <c r="J141" s="411">
        <v>0</v>
      </c>
      <c r="K141" s="411">
        <v>0</v>
      </c>
      <c r="L141" s="411">
        <v>0</v>
      </c>
      <c r="M141" s="411">
        <v>0</v>
      </c>
      <c r="N141" s="411">
        <v>0</v>
      </c>
      <c r="O141" s="411">
        <v>0</v>
      </c>
      <c r="P141" s="411">
        <v>0</v>
      </c>
      <c r="Q141" s="411">
        <v>0</v>
      </c>
      <c r="R141" s="411">
        <v>0</v>
      </c>
      <c r="S141" s="411">
        <v>0</v>
      </c>
      <c r="T141" s="411">
        <v>0</v>
      </c>
      <c r="U141" s="411">
        <v>0</v>
      </c>
      <c r="V141" s="411">
        <v>0</v>
      </c>
      <c r="W141" s="411">
        <v>1</v>
      </c>
      <c r="X141" s="411">
        <v>0</v>
      </c>
      <c r="Y141" s="411">
        <v>0</v>
      </c>
      <c r="Z141" s="411">
        <v>1</v>
      </c>
      <c r="AA141" s="411">
        <v>0</v>
      </c>
      <c r="AB141" s="411">
        <v>1</v>
      </c>
      <c r="AC141" s="400">
        <v>0</v>
      </c>
      <c r="AD141" s="408"/>
      <c r="AE141" s="408"/>
      <c r="AF141" s="412"/>
      <c r="AG141" s="405">
        <v>42859</v>
      </c>
      <c r="AH141" s="406">
        <v>0.4249768518518518</v>
      </c>
    </row>
    <row r="142" spans="1:34" ht="15.75" customHeight="1">
      <c r="A142" s="413">
        <v>133</v>
      </c>
      <c r="B142" s="414" t="s">
        <v>1401</v>
      </c>
      <c r="C142" s="415" t="s">
        <v>1402</v>
      </c>
      <c r="D142" s="411"/>
      <c r="E142" s="411">
        <v>1</v>
      </c>
      <c r="F142" s="411" t="s">
        <v>1399</v>
      </c>
      <c r="G142" s="411">
        <v>200</v>
      </c>
      <c r="H142" s="411">
        <v>1</v>
      </c>
      <c r="I142" s="411">
        <v>0</v>
      </c>
      <c r="J142" s="411">
        <v>0</v>
      </c>
      <c r="K142" s="411">
        <v>0</v>
      </c>
      <c r="L142" s="411">
        <v>0</v>
      </c>
      <c r="M142" s="411">
        <v>0</v>
      </c>
      <c r="N142" s="411">
        <v>0</v>
      </c>
      <c r="O142" s="411">
        <v>0</v>
      </c>
      <c r="P142" s="411">
        <v>0</v>
      </c>
      <c r="Q142" s="411">
        <v>0</v>
      </c>
      <c r="R142" s="411">
        <v>0</v>
      </c>
      <c r="S142" s="411">
        <v>0</v>
      </c>
      <c r="T142" s="411">
        <v>0</v>
      </c>
      <c r="U142" s="411">
        <v>0</v>
      </c>
      <c r="V142" s="411">
        <v>0</v>
      </c>
      <c r="W142" s="411">
        <v>0</v>
      </c>
      <c r="X142" s="411">
        <v>0</v>
      </c>
      <c r="Y142" s="411">
        <v>0</v>
      </c>
      <c r="Z142" s="411">
        <v>1</v>
      </c>
      <c r="AA142" s="411">
        <v>1</v>
      </c>
      <c r="AB142" s="411">
        <v>1</v>
      </c>
      <c r="AC142" s="400">
        <v>0</v>
      </c>
      <c r="AD142" s="408"/>
      <c r="AE142" s="408"/>
      <c r="AF142" s="412"/>
      <c r="AG142" s="405">
        <v>42859</v>
      </c>
      <c r="AH142" s="406">
        <v>0.4251388888888889</v>
      </c>
    </row>
    <row r="143" spans="1:34" ht="15.75" customHeight="1">
      <c r="A143" s="413">
        <v>134</v>
      </c>
      <c r="B143" s="414" t="s">
        <v>1401</v>
      </c>
      <c r="C143" s="415" t="s">
        <v>1402</v>
      </c>
      <c r="D143" s="411"/>
      <c r="E143" s="411">
        <v>2</v>
      </c>
      <c r="F143" s="411" t="s">
        <v>1399</v>
      </c>
      <c r="G143" s="411">
        <v>200</v>
      </c>
      <c r="H143" s="411">
        <v>1</v>
      </c>
      <c r="I143" s="411">
        <v>0</v>
      </c>
      <c r="J143" s="411">
        <v>0</v>
      </c>
      <c r="K143" s="411">
        <v>0</v>
      </c>
      <c r="L143" s="411">
        <v>0</v>
      </c>
      <c r="M143" s="411">
        <v>0</v>
      </c>
      <c r="N143" s="411">
        <v>0</v>
      </c>
      <c r="O143" s="411">
        <v>0</v>
      </c>
      <c r="P143" s="411">
        <v>0</v>
      </c>
      <c r="Q143" s="411">
        <v>0</v>
      </c>
      <c r="R143" s="411">
        <v>0</v>
      </c>
      <c r="S143" s="411">
        <v>0</v>
      </c>
      <c r="T143" s="411">
        <v>0</v>
      </c>
      <c r="U143" s="411">
        <v>0</v>
      </c>
      <c r="V143" s="411">
        <v>0</v>
      </c>
      <c r="W143" s="411">
        <v>0</v>
      </c>
      <c r="X143" s="411">
        <v>0</v>
      </c>
      <c r="Y143" s="411">
        <v>0</v>
      </c>
      <c r="Z143" s="411">
        <v>1</v>
      </c>
      <c r="AA143" s="411">
        <v>1</v>
      </c>
      <c r="AB143" s="411">
        <v>1</v>
      </c>
      <c r="AC143" s="400">
        <v>0</v>
      </c>
      <c r="AD143" s="408"/>
      <c r="AE143" s="408"/>
      <c r="AF143" s="412"/>
      <c r="AG143" s="405">
        <v>42859</v>
      </c>
      <c r="AH143" s="406">
        <v>0.42532407407407408</v>
      </c>
    </row>
    <row r="144" spans="1:34" ht="15.75" customHeight="1">
      <c r="A144" s="413">
        <v>135</v>
      </c>
      <c r="B144" s="414" t="s">
        <v>1401</v>
      </c>
      <c r="C144" s="415" t="s">
        <v>1402</v>
      </c>
      <c r="D144" s="411"/>
      <c r="E144" s="411">
        <v>3</v>
      </c>
      <c r="F144" s="411" t="s">
        <v>1399</v>
      </c>
      <c r="G144" s="411">
        <v>200</v>
      </c>
      <c r="H144" s="411">
        <v>1</v>
      </c>
      <c r="I144" s="411">
        <v>0</v>
      </c>
      <c r="J144" s="411">
        <v>0</v>
      </c>
      <c r="K144" s="411">
        <v>0</v>
      </c>
      <c r="L144" s="411">
        <v>0</v>
      </c>
      <c r="M144" s="411">
        <v>0</v>
      </c>
      <c r="N144" s="411">
        <v>0</v>
      </c>
      <c r="O144" s="411">
        <v>0</v>
      </c>
      <c r="P144" s="411">
        <v>0</v>
      </c>
      <c r="Q144" s="411">
        <v>0</v>
      </c>
      <c r="R144" s="411">
        <v>0</v>
      </c>
      <c r="S144" s="411">
        <v>0</v>
      </c>
      <c r="T144" s="411">
        <v>0</v>
      </c>
      <c r="U144" s="411">
        <v>0</v>
      </c>
      <c r="V144" s="411">
        <v>0</v>
      </c>
      <c r="W144" s="411">
        <v>0</v>
      </c>
      <c r="X144" s="411">
        <v>0</v>
      </c>
      <c r="Y144" s="411">
        <v>0</v>
      </c>
      <c r="Z144" s="411">
        <v>1</v>
      </c>
      <c r="AA144" s="411">
        <v>1</v>
      </c>
      <c r="AB144" s="411">
        <v>1</v>
      </c>
      <c r="AC144" s="400">
        <v>0</v>
      </c>
      <c r="AD144" s="408"/>
      <c r="AE144" s="408"/>
      <c r="AF144" s="412"/>
      <c r="AG144" s="405">
        <v>42859</v>
      </c>
      <c r="AH144" s="406">
        <v>0.42631944444444447</v>
      </c>
    </row>
    <row r="145" spans="1:34" ht="15.75" customHeight="1">
      <c r="A145" s="413">
        <v>136</v>
      </c>
      <c r="B145" s="414" t="s">
        <v>1401</v>
      </c>
      <c r="C145" s="415" t="s">
        <v>1402</v>
      </c>
      <c r="D145" s="411"/>
      <c r="E145" s="411">
        <v>4</v>
      </c>
      <c r="F145" s="411" t="s">
        <v>1399</v>
      </c>
      <c r="G145" s="411">
        <v>200</v>
      </c>
      <c r="H145" s="411">
        <v>1</v>
      </c>
      <c r="I145" s="411">
        <v>0</v>
      </c>
      <c r="J145" s="411">
        <v>0</v>
      </c>
      <c r="K145" s="411">
        <v>0</v>
      </c>
      <c r="L145" s="411">
        <v>0</v>
      </c>
      <c r="M145" s="411">
        <v>0</v>
      </c>
      <c r="N145" s="411">
        <v>0</v>
      </c>
      <c r="O145" s="411">
        <v>0</v>
      </c>
      <c r="P145" s="411">
        <v>0</v>
      </c>
      <c r="Q145" s="411">
        <v>0</v>
      </c>
      <c r="R145" s="411">
        <v>0</v>
      </c>
      <c r="S145" s="411">
        <v>0</v>
      </c>
      <c r="T145" s="411">
        <v>0</v>
      </c>
      <c r="U145" s="411">
        <v>0</v>
      </c>
      <c r="V145" s="411">
        <v>0</v>
      </c>
      <c r="W145" s="411">
        <v>0</v>
      </c>
      <c r="X145" s="411">
        <v>0</v>
      </c>
      <c r="Y145" s="411">
        <v>0</v>
      </c>
      <c r="Z145" s="411">
        <v>1</v>
      </c>
      <c r="AA145" s="411">
        <v>1</v>
      </c>
      <c r="AB145" s="411">
        <v>1</v>
      </c>
      <c r="AC145" s="400">
        <v>0</v>
      </c>
      <c r="AD145" s="408"/>
      <c r="AE145" s="408"/>
      <c r="AF145" s="412"/>
      <c r="AG145" s="405">
        <v>42859</v>
      </c>
      <c r="AH145" s="406">
        <v>0.42651620370370374</v>
      </c>
    </row>
    <row r="146" spans="1:34" ht="15.75" customHeight="1">
      <c r="A146" s="413">
        <v>137</v>
      </c>
      <c r="B146" s="414" t="s">
        <v>1401</v>
      </c>
      <c r="C146" s="415" t="s">
        <v>1402</v>
      </c>
      <c r="D146" s="411"/>
      <c r="E146" s="411">
        <v>5</v>
      </c>
      <c r="F146" s="411" t="s">
        <v>1399</v>
      </c>
      <c r="G146" s="411">
        <v>206</v>
      </c>
      <c r="H146" s="411">
        <v>1</v>
      </c>
      <c r="I146" s="411">
        <v>0</v>
      </c>
      <c r="J146" s="411">
        <v>0</v>
      </c>
      <c r="K146" s="411">
        <v>0</v>
      </c>
      <c r="L146" s="411">
        <v>0</v>
      </c>
      <c r="M146" s="411">
        <v>0</v>
      </c>
      <c r="N146" s="411">
        <v>0</v>
      </c>
      <c r="O146" s="411">
        <v>0</v>
      </c>
      <c r="P146" s="411">
        <v>0</v>
      </c>
      <c r="Q146" s="411">
        <v>0</v>
      </c>
      <c r="R146" s="411">
        <v>0</v>
      </c>
      <c r="S146" s="411">
        <v>0</v>
      </c>
      <c r="T146" s="411">
        <v>0</v>
      </c>
      <c r="U146" s="411">
        <v>0</v>
      </c>
      <c r="V146" s="411">
        <v>0</v>
      </c>
      <c r="W146" s="411">
        <v>0</v>
      </c>
      <c r="X146" s="411">
        <v>0</v>
      </c>
      <c r="Y146" s="411">
        <v>0</v>
      </c>
      <c r="Z146" s="411">
        <v>1</v>
      </c>
      <c r="AA146" s="411">
        <v>1</v>
      </c>
      <c r="AB146" s="411">
        <v>1</v>
      </c>
      <c r="AC146" s="400">
        <v>0</v>
      </c>
      <c r="AD146" s="408"/>
      <c r="AE146" s="408"/>
      <c r="AF146" s="412"/>
      <c r="AG146" s="405">
        <v>42859</v>
      </c>
      <c r="AH146" s="406">
        <v>0.4265856481481482</v>
      </c>
    </row>
    <row r="147" spans="1:34" ht="15.75" customHeight="1">
      <c r="A147" s="413">
        <v>138</v>
      </c>
      <c r="B147" s="414" t="s">
        <v>1401</v>
      </c>
      <c r="C147" s="415" t="s">
        <v>1402</v>
      </c>
      <c r="D147" s="411"/>
      <c r="E147" s="411">
        <v>6</v>
      </c>
      <c r="F147" s="411" t="s">
        <v>1399</v>
      </c>
      <c r="G147" s="411">
        <v>158</v>
      </c>
      <c r="H147" s="411">
        <v>1</v>
      </c>
      <c r="I147" s="411">
        <v>0</v>
      </c>
      <c r="J147" s="411">
        <v>0</v>
      </c>
      <c r="K147" s="411">
        <v>0</v>
      </c>
      <c r="L147" s="411">
        <v>0</v>
      </c>
      <c r="M147" s="411">
        <v>0</v>
      </c>
      <c r="N147" s="411">
        <v>0</v>
      </c>
      <c r="O147" s="411">
        <v>0</v>
      </c>
      <c r="P147" s="411">
        <v>0</v>
      </c>
      <c r="Q147" s="411">
        <v>0</v>
      </c>
      <c r="R147" s="411">
        <v>0</v>
      </c>
      <c r="S147" s="411">
        <v>0</v>
      </c>
      <c r="T147" s="411">
        <v>0</v>
      </c>
      <c r="U147" s="411">
        <v>0</v>
      </c>
      <c r="V147" s="411">
        <v>0</v>
      </c>
      <c r="W147" s="411">
        <v>0</v>
      </c>
      <c r="X147" s="411">
        <v>0</v>
      </c>
      <c r="Y147" s="411">
        <v>0</v>
      </c>
      <c r="Z147" s="411">
        <v>1</v>
      </c>
      <c r="AA147" s="411">
        <v>1</v>
      </c>
      <c r="AB147" s="411">
        <v>1</v>
      </c>
      <c r="AC147" s="400">
        <v>0</v>
      </c>
      <c r="AD147" s="408"/>
      <c r="AE147" s="408"/>
      <c r="AF147" s="412"/>
      <c r="AG147" s="405">
        <v>42859</v>
      </c>
      <c r="AH147" s="406">
        <v>0.42668981481481483</v>
      </c>
    </row>
    <row r="148" spans="1:34" ht="15.75" customHeight="1">
      <c r="A148" s="413">
        <v>139</v>
      </c>
      <c r="B148" s="414" t="s">
        <v>1401</v>
      </c>
      <c r="C148" s="415" t="s">
        <v>1402</v>
      </c>
      <c r="D148" s="411"/>
      <c r="E148" s="411">
        <v>7</v>
      </c>
      <c r="F148" s="411" t="s">
        <v>1399</v>
      </c>
      <c r="G148" s="411">
        <v>240</v>
      </c>
      <c r="H148" s="411">
        <v>1</v>
      </c>
      <c r="I148" s="411">
        <v>0</v>
      </c>
      <c r="J148" s="411">
        <v>0</v>
      </c>
      <c r="K148" s="411">
        <v>0</v>
      </c>
      <c r="L148" s="411">
        <v>0</v>
      </c>
      <c r="M148" s="411">
        <v>0</v>
      </c>
      <c r="N148" s="411">
        <v>0</v>
      </c>
      <c r="O148" s="411">
        <v>0</v>
      </c>
      <c r="P148" s="411">
        <v>0</v>
      </c>
      <c r="Q148" s="411">
        <v>0</v>
      </c>
      <c r="R148" s="411">
        <v>0</v>
      </c>
      <c r="S148" s="411">
        <v>0</v>
      </c>
      <c r="T148" s="411">
        <v>0</v>
      </c>
      <c r="U148" s="411">
        <v>0</v>
      </c>
      <c r="V148" s="411">
        <v>0</v>
      </c>
      <c r="W148" s="411">
        <v>0</v>
      </c>
      <c r="X148" s="411">
        <v>0</v>
      </c>
      <c r="Y148" s="411">
        <v>0</v>
      </c>
      <c r="Z148" s="411">
        <v>1</v>
      </c>
      <c r="AA148" s="411">
        <v>1</v>
      </c>
      <c r="AB148" s="411">
        <v>1</v>
      </c>
      <c r="AC148" s="400">
        <v>0</v>
      </c>
      <c r="AD148" s="408"/>
      <c r="AE148" s="408"/>
      <c r="AF148" s="412"/>
      <c r="AG148" s="405">
        <v>42859</v>
      </c>
      <c r="AH148" s="406">
        <v>0.42674768518518519</v>
      </c>
    </row>
    <row r="149" spans="1:34" ht="15.75" customHeight="1">
      <c r="A149" s="413">
        <v>140</v>
      </c>
      <c r="B149" s="414" t="s">
        <v>1401</v>
      </c>
      <c r="C149" s="415" t="s">
        <v>1402</v>
      </c>
      <c r="D149" s="411"/>
      <c r="E149" s="411">
        <v>8</v>
      </c>
      <c r="F149" s="411" t="s">
        <v>1399</v>
      </c>
      <c r="G149" s="411">
        <v>201</v>
      </c>
      <c r="H149" s="411">
        <v>1</v>
      </c>
      <c r="I149" s="411">
        <v>0</v>
      </c>
      <c r="J149" s="411">
        <v>0</v>
      </c>
      <c r="K149" s="411">
        <v>0</v>
      </c>
      <c r="L149" s="411">
        <v>0</v>
      </c>
      <c r="M149" s="411">
        <v>0</v>
      </c>
      <c r="N149" s="411">
        <v>0</v>
      </c>
      <c r="O149" s="411">
        <v>0</v>
      </c>
      <c r="P149" s="411">
        <v>0</v>
      </c>
      <c r="Q149" s="411">
        <v>0</v>
      </c>
      <c r="R149" s="411">
        <v>0</v>
      </c>
      <c r="S149" s="411">
        <v>0</v>
      </c>
      <c r="T149" s="411">
        <v>0</v>
      </c>
      <c r="U149" s="411">
        <v>0</v>
      </c>
      <c r="V149" s="411">
        <v>0</v>
      </c>
      <c r="W149" s="411">
        <v>0</v>
      </c>
      <c r="X149" s="411">
        <v>0</v>
      </c>
      <c r="Y149" s="411">
        <v>0</v>
      </c>
      <c r="Z149" s="411">
        <v>1</v>
      </c>
      <c r="AA149" s="411">
        <v>1</v>
      </c>
      <c r="AB149" s="411">
        <v>1</v>
      </c>
      <c r="AC149" s="400">
        <v>0</v>
      </c>
      <c r="AD149" s="408"/>
      <c r="AE149" s="408"/>
      <c r="AF149" s="412"/>
      <c r="AG149" s="405">
        <v>42859</v>
      </c>
      <c r="AH149" s="406">
        <v>0.42686342592592591</v>
      </c>
    </row>
    <row r="150" spans="1:34" ht="15.75" customHeight="1">
      <c r="A150" s="413">
        <v>141</v>
      </c>
      <c r="B150" s="414" t="s">
        <v>1401</v>
      </c>
      <c r="C150" s="415" t="s">
        <v>1402</v>
      </c>
      <c r="D150" s="411"/>
      <c r="E150" s="411">
        <v>9</v>
      </c>
      <c r="F150" s="411" t="s">
        <v>1399</v>
      </c>
      <c r="G150" s="411">
        <v>213</v>
      </c>
      <c r="H150" s="411">
        <v>1</v>
      </c>
      <c r="I150" s="411">
        <v>0</v>
      </c>
      <c r="J150" s="411">
        <v>0</v>
      </c>
      <c r="K150" s="411">
        <v>0</v>
      </c>
      <c r="L150" s="411">
        <v>0</v>
      </c>
      <c r="M150" s="411">
        <v>0</v>
      </c>
      <c r="N150" s="411">
        <v>0</v>
      </c>
      <c r="O150" s="411">
        <v>0</v>
      </c>
      <c r="P150" s="411">
        <v>0</v>
      </c>
      <c r="Q150" s="411">
        <v>0</v>
      </c>
      <c r="R150" s="411">
        <v>0</v>
      </c>
      <c r="S150" s="411">
        <v>0</v>
      </c>
      <c r="T150" s="411">
        <v>0</v>
      </c>
      <c r="U150" s="411">
        <v>0</v>
      </c>
      <c r="V150" s="411">
        <v>0</v>
      </c>
      <c r="W150" s="411">
        <v>0</v>
      </c>
      <c r="X150" s="411">
        <v>0</v>
      </c>
      <c r="Y150" s="411">
        <v>0</v>
      </c>
      <c r="Z150" s="411">
        <v>1</v>
      </c>
      <c r="AA150" s="411">
        <v>1</v>
      </c>
      <c r="AB150" s="411">
        <v>1</v>
      </c>
      <c r="AC150" s="400">
        <v>0</v>
      </c>
      <c r="AD150" s="408"/>
      <c r="AE150" s="408"/>
      <c r="AF150" s="412"/>
      <c r="AG150" s="405">
        <v>42859</v>
      </c>
      <c r="AH150" s="406">
        <v>0.42758101851851849</v>
      </c>
    </row>
    <row r="151" spans="1:34" ht="15.75" customHeight="1">
      <c r="A151" s="413">
        <v>142</v>
      </c>
      <c r="B151" s="414" t="s">
        <v>1401</v>
      </c>
      <c r="C151" s="415" t="s">
        <v>1402</v>
      </c>
      <c r="D151" s="411"/>
      <c r="E151" s="411">
        <v>10</v>
      </c>
      <c r="F151" s="411" t="s">
        <v>1399</v>
      </c>
      <c r="G151" s="411">
        <v>82</v>
      </c>
      <c r="H151" s="411">
        <v>1</v>
      </c>
      <c r="I151" s="411">
        <v>0</v>
      </c>
      <c r="J151" s="411">
        <v>0</v>
      </c>
      <c r="K151" s="411">
        <v>0</v>
      </c>
      <c r="L151" s="411">
        <v>0</v>
      </c>
      <c r="M151" s="411">
        <v>0</v>
      </c>
      <c r="N151" s="411">
        <v>0</v>
      </c>
      <c r="O151" s="411">
        <v>0</v>
      </c>
      <c r="P151" s="411">
        <v>0</v>
      </c>
      <c r="Q151" s="411">
        <v>0</v>
      </c>
      <c r="R151" s="411">
        <v>0</v>
      </c>
      <c r="S151" s="411">
        <v>0</v>
      </c>
      <c r="T151" s="411">
        <v>0</v>
      </c>
      <c r="U151" s="411">
        <v>0</v>
      </c>
      <c r="V151" s="411">
        <v>0</v>
      </c>
      <c r="W151" s="411">
        <v>0</v>
      </c>
      <c r="X151" s="411">
        <v>0</v>
      </c>
      <c r="Y151" s="411">
        <v>0</v>
      </c>
      <c r="Z151" s="411">
        <v>1</v>
      </c>
      <c r="AA151" s="411">
        <v>1</v>
      </c>
      <c r="AB151" s="411">
        <v>1</v>
      </c>
      <c r="AC151" s="400">
        <v>0</v>
      </c>
      <c r="AD151" s="408"/>
      <c r="AE151" s="408"/>
      <c r="AF151" s="412"/>
      <c r="AG151" s="405">
        <v>42859</v>
      </c>
      <c r="AH151" s="406">
        <v>0.42770833333333336</v>
      </c>
    </row>
    <row r="152" spans="1:34" ht="15.75" customHeight="1">
      <c r="A152" s="413">
        <v>143</v>
      </c>
      <c r="B152" s="414" t="s">
        <v>1401</v>
      </c>
      <c r="C152" s="415" t="s">
        <v>1402</v>
      </c>
      <c r="D152" s="411"/>
      <c r="E152" s="411">
        <v>11</v>
      </c>
      <c r="F152" s="411" t="s">
        <v>1399</v>
      </c>
      <c r="G152" s="411">
        <v>200</v>
      </c>
      <c r="H152" s="411">
        <v>1</v>
      </c>
      <c r="I152" s="411">
        <v>0</v>
      </c>
      <c r="J152" s="411">
        <v>0</v>
      </c>
      <c r="K152" s="411">
        <v>0</v>
      </c>
      <c r="L152" s="411">
        <v>0</v>
      </c>
      <c r="M152" s="411">
        <v>0</v>
      </c>
      <c r="N152" s="411">
        <v>0</v>
      </c>
      <c r="O152" s="411">
        <v>0</v>
      </c>
      <c r="P152" s="411">
        <v>0</v>
      </c>
      <c r="Q152" s="411">
        <v>0</v>
      </c>
      <c r="R152" s="411">
        <v>0</v>
      </c>
      <c r="S152" s="411">
        <v>0</v>
      </c>
      <c r="T152" s="411">
        <v>0</v>
      </c>
      <c r="U152" s="411">
        <v>0</v>
      </c>
      <c r="V152" s="411">
        <v>0</v>
      </c>
      <c r="W152" s="411">
        <v>0</v>
      </c>
      <c r="X152" s="411">
        <v>0</v>
      </c>
      <c r="Y152" s="411">
        <v>0</v>
      </c>
      <c r="Z152" s="411">
        <v>1</v>
      </c>
      <c r="AA152" s="411">
        <v>1</v>
      </c>
      <c r="AB152" s="411">
        <v>1</v>
      </c>
      <c r="AC152" s="400">
        <v>0</v>
      </c>
      <c r="AD152" s="408"/>
      <c r="AE152" s="408"/>
      <c r="AF152" s="412"/>
      <c r="AG152" s="405">
        <v>42859</v>
      </c>
      <c r="AH152" s="406">
        <v>0.42778935185185185</v>
      </c>
    </row>
    <row r="153" spans="1:34" ht="15.75" customHeight="1">
      <c r="A153" s="413">
        <v>144</v>
      </c>
      <c r="B153" s="414" t="s">
        <v>1401</v>
      </c>
      <c r="C153" s="415" t="s">
        <v>1402</v>
      </c>
      <c r="D153" s="411"/>
      <c r="E153" s="411">
        <v>12</v>
      </c>
      <c r="F153" s="411" t="s">
        <v>1399</v>
      </c>
      <c r="G153" s="411">
        <v>200</v>
      </c>
      <c r="H153" s="411">
        <v>1</v>
      </c>
      <c r="I153" s="411">
        <v>0</v>
      </c>
      <c r="J153" s="411">
        <v>0</v>
      </c>
      <c r="K153" s="411">
        <v>0</v>
      </c>
      <c r="L153" s="411">
        <v>0</v>
      </c>
      <c r="M153" s="411">
        <v>0</v>
      </c>
      <c r="N153" s="411">
        <v>0</v>
      </c>
      <c r="O153" s="411">
        <v>0</v>
      </c>
      <c r="P153" s="411">
        <v>0</v>
      </c>
      <c r="Q153" s="411">
        <v>0</v>
      </c>
      <c r="R153" s="411">
        <v>0</v>
      </c>
      <c r="S153" s="411">
        <v>0</v>
      </c>
      <c r="T153" s="411">
        <v>0</v>
      </c>
      <c r="U153" s="411">
        <v>0</v>
      </c>
      <c r="V153" s="411">
        <v>0</v>
      </c>
      <c r="W153" s="411">
        <v>0</v>
      </c>
      <c r="X153" s="411">
        <v>0</v>
      </c>
      <c r="Y153" s="411">
        <v>0</v>
      </c>
      <c r="Z153" s="411">
        <v>1</v>
      </c>
      <c r="AA153" s="411">
        <v>1</v>
      </c>
      <c r="AB153" s="411">
        <v>1</v>
      </c>
      <c r="AC153" s="400">
        <v>0</v>
      </c>
      <c r="AD153" s="408"/>
      <c r="AE153" s="408"/>
      <c r="AF153" s="412"/>
      <c r="AG153" s="405">
        <v>42859</v>
      </c>
      <c r="AH153" s="406">
        <v>0.42788194444444444</v>
      </c>
    </row>
    <row r="154" spans="1:34" ht="15.75" customHeight="1">
      <c r="A154" s="413">
        <v>145</v>
      </c>
      <c r="B154" s="414" t="s">
        <v>1401</v>
      </c>
      <c r="C154" s="415" t="s">
        <v>1402</v>
      </c>
      <c r="D154" s="411"/>
      <c r="E154" s="411">
        <v>13</v>
      </c>
      <c r="F154" s="411" t="s">
        <v>1399</v>
      </c>
      <c r="G154" s="411">
        <v>202</v>
      </c>
      <c r="H154" s="411">
        <v>1</v>
      </c>
      <c r="I154" s="411">
        <v>0</v>
      </c>
      <c r="J154" s="411">
        <v>0</v>
      </c>
      <c r="K154" s="411">
        <v>0</v>
      </c>
      <c r="L154" s="411">
        <v>0</v>
      </c>
      <c r="M154" s="411">
        <v>0</v>
      </c>
      <c r="N154" s="411">
        <v>0</v>
      </c>
      <c r="O154" s="411">
        <v>0</v>
      </c>
      <c r="P154" s="411">
        <v>0</v>
      </c>
      <c r="Q154" s="411">
        <v>0</v>
      </c>
      <c r="R154" s="411">
        <v>0</v>
      </c>
      <c r="S154" s="411">
        <v>0</v>
      </c>
      <c r="T154" s="411">
        <v>0</v>
      </c>
      <c r="U154" s="411">
        <v>0</v>
      </c>
      <c r="V154" s="411">
        <v>0</v>
      </c>
      <c r="W154" s="411">
        <v>0</v>
      </c>
      <c r="X154" s="411">
        <v>0</v>
      </c>
      <c r="Y154" s="411">
        <v>0</v>
      </c>
      <c r="Z154" s="411">
        <v>1</v>
      </c>
      <c r="AA154" s="411">
        <v>1</v>
      </c>
      <c r="AB154" s="411">
        <v>1</v>
      </c>
      <c r="AC154" s="400">
        <v>0</v>
      </c>
      <c r="AD154" s="408"/>
      <c r="AE154" s="408"/>
      <c r="AF154" s="412"/>
      <c r="AG154" s="405">
        <v>42859</v>
      </c>
      <c r="AH154" s="406">
        <v>0.42798611111111112</v>
      </c>
    </row>
    <row r="155" spans="1:34" ht="15.75" customHeight="1">
      <c r="A155" s="413">
        <v>146</v>
      </c>
      <c r="B155" s="414" t="s">
        <v>1401</v>
      </c>
      <c r="C155" s="415" t="s">
        <v>1402</v>
      </c>
      <c r="D155" s="411"/>
      <c r="E155" s="411">
        <v>14</v>
      </c>
      <c r="F155" s="411" t="s">
        <v>1399</v>
      </c>
      <c r="G155" s="411">
        <v>200</v>
      </c>
      <c r="H155" s="411">
        <v>1</v>
      </c>
      <c r="I155" s="411">
        <v>0</v>
      </c>
      <c r="J155" s="411">
        <v>0</v>
      </c>
      <c r="K155" s="411">
        <v>0</v>
      </c>
      <c r="L155" s="411">
        <v>0</v>
      </c>
      <c r="M155" s="411">
        <v>0</v>
      </c>
      <c r="N155" s="411">
        <v>0</v>
      </c>
      <c r="O155" s="411">
        <v>0</v>
      </c>
      <c r="P155" s="411">
        <v>0</v>
      </c>
      <c r="Q155" s="411">
        <v>0</v>
      </c>
      <c r="R155" s="411">
        <v>0</v>
      </c>
      <c r="S155" s="411">
        <v>0</v>
      </c>
      <c r="T155" s="411">
        <v>0</v>
      </c>
      <c r="U155" s="411">
        <v>0</v>
      </c>
      <c r="V155" s="411">
        <v>0</v>
      </c>
      <c r="W155" s="411">
        <v>0</v>
      </c>
      <c r="X155" s="411">
        <v>0</v>
      </c>
      <c r="Y155" s="411">
        <v>0</v>
      </c>
      <c r="Z155" s="411">
        <v>1</v>
      </c>
      <c r="AA155" s="411">
        <v>1</v>
      </c>
      <c r="AB155" s="411">
        <v>1</v>
      </c>
      <c r="AC155" s="400">
        <v>0</v>
      </c>
      <c r="AD155" s="408"/>
      <c r="AE155" s="408"/>
      <c r="AF155" s="412"/>
      <c r="AG155" s="405">
        <v>42859</v>
      </c>
      <c r="AH155" s="406">
        <v>0.43362268518518521</v>
      </c>
    </row>
    <row r="156" spans="1:34" ht="15.75" customHeight="1">
      <c r="A156" s="413">
        <v>147</v>
      </c>
      <c r="B156" s="414" t="s">
        <v>1401</v>
      </c>
      <c r="C156" s="415" t="s">
        <v>1402</v>
      </c>
      <c r="D156" s="411"/>
      <c r="E156" s="411">
        <v>15</v>
      </c>
      <c r="F156" s="411" t="s">
        <v>1399</v>
      </c>
      <c r="G156" s="411">
        <v>201</v>
      </c>
      <c r="H156" s="411">
        <v>1</v>
      </c>
      <c r="I156" s="411">
        <v>0</v>
      </c>
      <c r="J156" s="411">
        <v>0</v>
      </c>
      <c r="K156" s="411">
        <v>0</v>
      </c>
      <c r="L156" s="411">
        <v>0</v>
      </c>
      <c r="M156" s="411">
        <v>0</v>
      </c>
      <c r="N156" s="411">
        <v>0</v>
      </c>
      <c r="O156" s="411">
        <v>0</v>
      </c>
      <c r="P156" s="411">
        <v>0</v>
      </c>
      <c r="Q156" s="411">
        <v>0</v>
      </c>
      <c r="R156" s="411">
        <v>0</v>
      </c>
      <c r="S156" s="411">
        <v>0</v>
      </c>
      <c r="T156" s="411">
        <v>0</v>
      </c>
      <c r="U156" s="411">
        <v>0</v>
      </c>
      <c r="V156" s="411">
        <v>0</v>
      </c>
      <c r="W156" s="411">
        <v>0</v>
      </c>
      <c r="X156" s="411">
        <v>0</v>
      </c>
      <c r="Y156" s="411">
        <v>0</v>
      </c>
      <c r="Z156" s="411">
        <v>1</v>
      </c>
      <c r="AA156" s="411">
        <v>1</v>
      </c>
      <c r="AB156" s="411">
        <v>1</v>
      </c>
      <c r="AC156" s="400">
        <v>0</v>
      </c>
      <c r="AD156" s="408"/>
      <c r="AE156" s="408"/>
      <c r="AF156" s="412"/>
      <c r="AG156" s="405">
        <v>42859</v>
      </c>
      <c r="AH156" s="406">
        <v>0.43391203703703707</v>
      </c>
    </row>
    <row r="157" spans="1:34" ht="15.75" customHeight="1">
      <c r="A157" s="413">
        <v>148</v>
      </c>
      <c r="B157" s="414"/>
      <c r="C157" s="415"/>
      <c r="D157" s="411"/>
      <c r="E157" s="411"/>
      <c r="F157" s="411"/>
      <c r="G157" s="411"/>
      <c r="H157" s="411"/>
      <c r="I157" s="411"/>
      <c r="J157" s="411"/>
      <c r="K157" s="411"/>
      <c r="L157" s="411"/>
      <c r="M157" s="411"/>
      <c r="N157" s="411"/>
      <c r="O157" s="411"/>
      <c r="P157" s="411"/>
      <c r="Q157" s="411"/>
      <c r="R157" s="411"/>
      <c r="S157" s="411"/>
      <c r="T157" s="411"/>
      <c r="U157" s="411"/>
      <c r="V157" s="411"/>
      <c r="W157" s="411"/>
      <c r="X157" s="411"/>
      <c r="Y157" s="411"/>
      <c r="Z157" s="411"/>
      <c r="AA157" s="411"/>
      <c r="AB157" s="411"/>
      <c r="AC157" s="400"/>
      <c r="AD157" s="408"/>
      <c r="AE157" s="408"/>
      <c r="AF157" s="412"/>
      <c r="AG157" s="405">
        <v>42859</v>
      </c>
      <c r="AH157" s="406">
        <v>0.43402777777777773</v>
      </c>
    </row>
    <row r="158" spans="1:34" ht="15.75" customHeight="1">
      <c r="A158" s="413">
        <v>149</v>
      </c>
      <c r="B158" s="414"/>
      <c r="C158" s="415"/>
      <c r="D158" s="411"/>
      <c r="E158" s="411"/>
      <c r="F158" s="411"/>
      <c r="G158" s="411"/>
      <c r="H158" s="411"/>
      <c r="I158" s="411"/>
      <c r="J158" s="411"/>
      <c r="K158" s="411"/>
      <c r="L158" s="411"/>
      <c r="M158" s="411"/>
      <c r="N158" s="411"/>
      <c r="O158" s="411"/>
      <c r="P158" s="411"/>
      <c r="Q158" s="411"/>
      <c r="R158" s="411"/>
      <c r="S158" s="411"/>
      <c r="T158" s="411"/>
      <c r="U158" s="411"/>
      <c r="V158" s="411"/>
      <c r="W158" s="411"/>
      <c r="X158" s="411"/>
      <c r="Y158" s="411"/>
      <c r="Z158" s="411"/>
      <c r="AA158" s="411"/>
      <c r="AB158" s="411"/>
      <c r="AC158" s="400"/>
      <c r="AD158" s="408"/>
      <c r="AE158" s="408"/>
      <c r="AF158" s="412"/>
      <c r="AG158" s="405">
        <v>42859</v>
      </c>
      <c r="AH158" s="406">
        <v>0.43410879629629634</v>
      </c>
    </row>
    <row r="159" spans="1:34" ht="15.75" customHeight="1">
      <c r="A159" s="413">
        <v>150</v>
      </c>
      <c r="B159" s="414"/>
      <c r="C159" s="415"/>
      <c r="D159" s="411"/>
      <c r="E159" s="411"/>
      <c r="F159" s="411"/>
      <c r="G159" s="411"/>
      <c r="H159" s="411"/>
      <c r="I159" s="411"/>
      <c r="J159" s="411"/>
      <c r="K159" s="411"/>
      <c r="L159" s="411"/>
      <c r="M159" s="411"/>
      <c r="N159" s="411"/>
      <c r="O159" s="411"/>
      <c r="P159" s="411"/>
      <c r="Q159" s="411"/>
      <c r="R159" s="411"/>
      <c r="S159" s="411"/>
      <c r="T159" s="411"/>
      <c r="U159" s="411"/>
      <c r="V159" s="411"/>
      <c r="W159" s="411"/>
      <c r="X159" s="411"/>
      <c r="Y159" s="411"/>
      <c r="Z159" s="411"/>
      <c r="AA159" s="411"/>
      <c r="AB159" s="411"/>
      <c r="AC159" s="400"/>
      <c r="AD159" s="408"/>
      <c r="AE159" s="408"/>
      <c r="AF159" s="412"/>
      <c r="AG159" s="405">
        <v>42859</v>
      </c>
      <c r="AH159" s="406">
        <v>0.43488425925925928</v>
      </c>
    </row>
    <row r="160" spans="1:34" ht="15.75" customHeight="1">
      <c r="A160" s="413">
        <v>151</v>
      </c>
      <c r="B160" s="414"/>
      <c r="C160" s="415"/>
      <c r="D160" s="411"/>
      <c r="E160" s="411"/>
      <c r="F160" s="411"/>
      <c r="G160" s="411"/>
      <c r="H160" s="411"/>
      <c r="I160" s="411"/>
      <c r="J160" s="411"/>
      <c r="K160" s="411"/>
      <c r="L160" s="411"/>
      <c r="M160" s="411"/>
      <c r="N160" s="411"/>
      <c r="O160" s="411"/>
      <c r="P160" s="411"/>
      <c r="Q160" s="411"/>
      <c r="R160" s="411"/>
      <c r="S160" s="411"/>
      <c r="T160" s="411"/>
      <c r="U160" s="411"/>
      <c r="V160" s="411"/>
      <c r="W160" s="411"/>
      <c r="X160" s="411"/>
      <c r="Y160" s="411"/>
      <c r="Z160" s="411"/>
      <c r="AA160" s="411"/>
      <c r="AB160" s="411"/>
      <c r="AC160" s="400"/>
      <c r="AD160" s="408"/>
      <c r="AE160" s="408"/>
      <c r="AF160" s="412"/>
      <c r="AG160" s="405">
        <v>42859</v>
      </c>
      <c r="AH160" s="406">
        <v>0.43501157407407409</v>
      </c>
    </row>
    <row r="161" spans="1:34" ht="15.75" customHeight="1">
      <c r="A161" s="413">
        <v>152</v>
      </c>
      <c r="B161" s="414"/>
      <c r="C161" s="415"/>
      <c r="D161" s="411"/>
      <c r="E161" s="411"/>
      <c r="F161" s="411"/>
      <c r="G161" s="411"/>
      <c r="H161" s="411"/>
      <c r="I161" s="411"/>
      <c r="J161" s="411"/>
      <c r="K161" s="411"/>
      <c r="L161" s="411"/>
      <c r="M161" s="411"/>
      <c r="N161" s="411"/>
      <c r="O161" s="411"/>
      <c r="P161" s="411"/>
      <c r="Q161" s="411"/>
      <c r="R161" s="411"/>
      <c r="S161" s="411"/>
      <c r="T161" s="411"/>
      <c r="U161" s="411"/>
      <c r="V161" s="411"/>
      <c r="W161" s="411"/>
      <c r="X161" s="411"/>
      <c r="Y161" s="411"/>
      <c r="Z161" s="411"/>
      <c r="AA161" s="411"/>
      <c r="AB161" s="411"/>
      <c r="AC161" s="400"/>
      <c r="AD161" s="408"/>
      <c r="AE161" s="408"/>
      <c r="AF161" s="412"/>
      <c r="AG161" s="405">
        <v>42859</v>
      </c>
      <c r="AH161" s="406">
        <v>0.43509259259259259</v>
      </c>
    </row>
    <row r="162" spans="1:34" ht="15.75" customHeight="1">
      <c r="A162" s="413">
        <v>153</v>
      </c>
      <c r="B162" s="414"/>
      <c r="C162" s="415"/>
      <c r="D162" s="411"/>
      <c r="E162" s="411"/>
      <c r="F162" s="411"/>
      <c r="G162" s="411"/>
      <c r="H162" s="411"/>
      <c r="I162" s="411"/>
      <c r="J162" s="411"/>
      <c r="K162" s="411"/>
      <c r="L162" s="411"/>
      <c r="M162" s="411"/>
      <c r="N162" s="411"/>
      <c r="O162" s="411"/>
      <c r="P162" s="411"/>
      <c r="Q162" s="411"/>
      <c r="R162" s="411"/>
      <c r="S162" s="411"/>
      <c r="T162" s="411"/>
      <c r="U162" s="411"/>
      <c r="V162" s="411"/>
      <c r="W162" s="411"/>
      <c r="X162" s="411"/>
      <c r="Y162" s="411"/>
      <c r="Z162" s="411"/>
      <c r="AA162" s="411"/>
      <c r="AB162" s="411"/>
      <c r="AC162" s="400"/>
      <c r="AD162" s="408"/>
      <c r="AE162" s="408"/>
      <c r="AF162" s="412"/>
      <c r="AG162" s="405">
        <v>42859</v>
      </c>
      <c r="AH162" s="406">
        <v>0.43706018518518519</v>
      </c>
    </row>
    <row r="163" spans="1:34" ht="15.75" customHeight="1">
      <c r="A163" s="413">
        <v>154</v>
      </c>
      <c r="B163" s="414"/>
      <c r="C163" s="415"/>
      <c r="D163" s="411"/>
      <c r="E163" s="411"/>
      <c r="F163" s="411"/>
      <c r="G163" s="411"/>
      <c r="H163" s="411"/>
      <c r="I163" s="411"/>
      <c r="J163" s="411"/>
      <c r="K163" s="411"/>
      <c r="L163" s="411"/>
      <c r="M163" s="411"/>
      <c r="N163" s="411"/>
      <c r="O163" s="411"/>
      <c r="P163" s="411"/>
      <c r="Q163" s="411"/>
      <c r="R163" s="411"/>
      <c r="S163" s="411"/>
      <c r="T163" s="411"/>
      <c r="U163" s="411"/>
      <c r="V163" s="411"/>
      <c r="W163" s="411"/>
      <c r="X163" s="411"/>
      <c r="Y163" s="411"/>
      <c r="Z163" s="411"/>
      <c r="AA163" s="411"/>
      <c r="AB163" s="411"/>
      <c r="AC163" s="400"/>
      <c r="AD163" s="408"/>
      <c r="AE163" s="408"/>
      <c r="AF163" s="412"/>
      <c r="AG163" s="405">
        <v>42859</v>
      </c>
      <c r="AH163" s="406">
        <v>0.43722222222222223</v>
      </c>
    </row>
    <row r="164" spans="1:34" ht="15.75" customHeight="1">
      <c r="A164" s="413">
        <v>155</v>
      </c>
      <c r="B164" s="414"/>
      <c r="C164" s="415"/>
      <c r="D164" s="411"/>
      <c r="E164" s="411"/>
      <c r="F164" s="411"/>
      <c r="G164" s="411"/>
      <c r="H164" s="411"/>
      <c r="I164" s="411"/>
      <c r="J164" s="411"/>
      <c r="K164" s="411"/>
      <c r="L164" s="411"/>
      <c r="M164" s="411"/>
      <c r="N164" s="411"/>
      <c r="O164" s="411"/>
      <c r="P164" s="411"/>
      <c r="Q164" s="411"/>
      <c r="R164" s="411"/>
      <c r="S164" s="411"/>
      <c r="T164" s="411"/>
      <c r="U164" s="411"/>
      <c r="V164" s="411"/>
      <c r="W164" s="411"/>
      <c r="X164" s="411"/>
      <c r="Y164" s="411"/>
      <c r="Z164" s="411"/>
      <c r="AA164" s="411"/>
      <c r="AB164" s="411"/>
      <c r="AC164" s="400"/>
      <c r="AD164" s="408"/>
      <c r="AE164" s="408"/>
      <c r="AF164" s="412"/>
      <c r="AG164" s="405">
        <v>42859</v>
      </c>
      <c r="AH164" s="406">
        <v>0.43729166666666663</v>
      </c>
    </row>
    <row r="165" spans="1:34" ht="15.75" customHeight="1">
      <c r="A165" s="413">
        <v>156</v>
      </c>
      <c r="B165" s="414"/>
      <c r="C165" s="415"/>
      <c r="D165" s="411"/>
      <c r="E165" s="411"/>
      <c r="F165" s="411"/>
      <c r="G165" s="411"/>
      <c r="H165" s="411"/>
      <c r="I165" s="411"/>
      <c r="J165" s="411"/>
      <c r="K165" s="411"/>
      <c r="L165" s="411"/>
      <c r="M165" s="411"/>
      <c r="N165" s="411"/>
      <c r="O165" s="411"/>
      <c r="P165" s="411"/>
      <c r="Q165" s="411"/>
      <c r="R165" s="411"/>
      <c r="S165" s="411"/>
      <c r="T165" s="411"/>
      <c r="U165" s="411"/>
      <c r="V165" s="411"/>
      <c r="W165" s="411"/>
      <c r="X165" s="411"/>
      <c r="Y165" s="411"/>
      <c r="Z165" s="411"/>
      <c r="AA165" s="411"/>
      <c r="AB165" s="411"/>
      <c r="AC165" s="400"/>
      <c r="AD165" s="408"/>
      <c r="AE165" s="408"/>
      <c r="AF165" s="412"/>
      <c r="AG165" s="405">
        <v>42859</v>
      </c>
      <c r="AH165" s="406">
        <v>0.43733796296296296</v>
      </c>
    </row>
    <row r="166" spans="1:34" ht="15.75" customHeight="1">
      <c r="A166" s="413">
        <v>157</v>
      </c>
      <c r="B166" s="414"/>
      <c r="C166" s="415"/>
      <c r="D166" s="411"/>
      <c r="E166" s="411"/>
      <c r="F166" s="411"/>
      <c r="G166" s="411"/>
      <c r="H166" s="411"/>
      <c r="I166" s="411"/>
      <c r="J166" s="411"/>
      <c r="K166" s="411"/>
      <c r="L166" s="411"/>
      <c r="M166" s="411"/>
      <c r="N166" s="411"/>
      <c r="O166" s="411"/>
      <c r="P166" s="411"/>
      <c r="Q166" s="411"/>
      <c r="R166" s="411"/>
      <c r="S166" s="411"/>
      <c r="T166" s="411"/>
      <c r="U166" s="411"/>
      <c r="V166" s="411"/>
      <c r="W166" s="411"/>
      <c r="X166" s="411"/>
      <c r="Y166" s="411"/>
      <c r="Z166" s="411"/>
      <c r="AA166" s="411"/>
      <c r="AB166" s="411"/>
      <c r="AC166" s="400"/>
      <c r="AD166" s="408"/>
      <c r="AE166" s="408"/>
      <c r="AF166" s="412"/>
      <c r="AG166" s="405">
        <v>42859</v>
      </c>
      <c r="AH166" s="406">
        <v>0.43740740740740741</v>
      </c>
    </row>
    <row r="167" spans="1:34" ht="15.75" customHeight="1">
      <c r="A167" s="413">
        <v>158</v>
      </c>
      <c r="B167" s="414"/>
      <c r="C167" s="415"/>
      <c r="D167" s="411"/>
      <c r="E167" s="411"/>
      <c r="F167" s="411"/>
      <c r="G167" s="411"/>
      <c r="H167" s="411"/>
      <c r="I167" s="411"/>
      <c r="J167" s="411"/>
      <c r="K167" s="411"/>
      <c r="L167" s="411"/>
      <c r="M167" s="411"/>
      <c r="N167" s="411"/>
      <c r="O167" s="411"/>
      <c r="P167" s="411"/>
      <c r="Q167" s="411"/>
      <c r="R167" s="411"/>
      <c r="S167" s="411"/>
      <c r="T167" s="411"/>
      <c r="U167" s="411"/>
      <c r="V167" s="411"/>
      <c r="W167" s="411"/>
      <c r="X167" s="411"/>
      <c r="Y167" s="411"/>
      <c r="Z167" s="411"/>
      <c r="AA167" s="411"/>
      <c r="AB167" s="411"/>
      <c r="AC167" s="400"/>
      <c r="AD167" s="408"/>
      <c r="AE167" s="408"/>
      <c r="AF167" s="412"/>
      <c r="AG167" s="405">
        <v>42859</v>
      </c>
      <c r="AH167" s="406">
        <v>0.43843750000000004</v>
      </c>
    </row>
    <row r="168" spans="1:34" ht="15.75" customHeight="1">
      <c r="A168" s="413">
        <v>159</v>
      </c>
      <c r="B168" s="414"/>
      <c r="C168" s="415"/>
      <c r="D168" s="411"/>
      <c r="E168" s="411"/>
      <c r="F168" s="411"/>
      <c r="G168" s="411"/>
      <c r="H168" s="411"/>
      <c r="I168" s="411"/>
      <c r="J168" s="411"/>
      <c r="K168" s="411"/>
      <c r="L168" s="411"/>
      <c r="M168" s="411"/>
      <c r="N168" s="411"/>
      <c r="O168" s="411"/>
      <c r="P168" s="411"/>
      <c r="Q168" s="411"/>
      <c r="R168" s="411"/>
      <c r="S168" s="411"/>
      <c r="T168" s="411"/>
      <c r="U168" s="411"/>
      <c r="V168" s="411"/>
      <c r="W168" s="411"/>
      <c r="X168" s="411"/>
      <c r="Y168" s="411"/>
      <c r="Z168" s="411"/>
      <c r="AA168" s="411"/>
      <c r="AB168" s="411"/>
      <c r="AC168" s="400"/>
      <c r="AD168" s="408"/>
      <c r="AE168" s="408"/>
      <c r="AF168" s="412"/>
      <c r="AG168" s="405">
        <v>42859</v>
      </c>
      <c r="AH168" s="406">
        <v>0.43865740740740744</v>
      </c>
    </row>
    <row r="169" spans="1:34" ht="15.75" customHeight="1">
      <c r="A169" s="413">
        <v>160</v>
      </c>
      <c r="B169" s="414"/>
      <c r="C169" s="415"/>
      <c r="D169" s="411"/>
      <c r="E169" s="411"/>
      <c r="F169" s="411"/>
      <c r="G169" s="411"/>
      <c r="H169" s="411"/>
      <c r="I169" s="411"/>
      <c r="J169" s="411"/>
      <c r="K169" s="411"/>
      <c r="L169" s="411"/>
      <c r="M169" s="411"/>
      <c r="N169" s="411"/>
      <c r="O169" s="411"/>
      <c r="P169" s="411"/>
      <c r="Q169" s="411"/>
      <c r="R169" s="411"/>
      <c r="S169" s="411"/>
      <c r="T169" s="411"/>
      <c r="U169" s="411"/>
      <c r="V169" s="411"/>
      <c r="W169" s="411"/>
      <c r="X169" s="411"/>
      <c r="Y169" s="411"/>
      <c r="Z169" s="411"/>
      <c r="AA169" s="411"/>
      <c r="AB169" s="411"/>
      <c r="AC169" s="400"/>
      <c r="AD169" s="408"/>
      <c r="AE169" s="408"/>
      <c r="AF169" s="412"/>
      <c r="AG169" s="405">
        <v>42859</v>
      </c>
      <c r="AH169" s="406">
        <v>0.43881944444444443</v>
      </c>
    </row>
    <row r="170" spans="1:34" ht="15.75" customHeight="1">
      <c r="A170" s="413">
        <v>161</v>
      </c>
      <c r="B170" s="414"/>
      <c r="C170" s="415"/>
      <c r="D170" s="411"/>
      <c r="E170" s="411"/>
      <c r="F170" s="411"/>
      <c r="G170" s="411"/>
      <c r="H170" s="411"/>
      <c r="I170" s="411"/>
      <c r="J170" s="411"/>
      <c r="K170" s="411"/>
      <c r="L170" s="411"/>
      <c r="M170" s="411"/>
      <c r="N170" s="411"/>
      <c r="O170" s="411"/>
      <c r="P170" s="411"/>
      <c r="Q170" s="411"/>
      <c r="R170" s="411"/>
      <c r="S170" s="411"/>
      <c r="T170" s="411"/>
      <c r="U170" s="411"/>
      <c r="V170" s="411"/>
      <c r="W170" s="411"/>
      <c r="X170" s="411"/>
      <c r="Y170" s="411"/>
      <c r="Z170" s="411"/>
      <c r="AA170" s="411"/>
      <c r="AB170" s="411"/>
      <c r="AC170" s="400"/>
      <c r="AD170" s="408"/>
      <c r="AE170" s="408"/>
      <c r="AF170" s="412"/>
      <c r="AG170" s="405">
        <v>42859</v>
      </c>
      <c r="AH170" s="406">
        <v>0.43894675925925924</v>
      </c>
    </row>
    <row r="171" spans="1:34" ht="15.75" customHeight="1">
      <c r="A171" s="413">
        <v>162</v>
      </c>
      <c r="B171" s="414"/>
      <c r="C171" s="415"/>
      <c r="D171" s="411"/>
      <c r="E171" s="411"/>
      <c r="F171" s="411"/>
      <c r="G171" s="411"/>
      <c r="H171" s="411"/>
      <c r="I171" s="411"/>
      <c r="J171" s="411"/>
      <c r="K171" s="411"/>
      <c r="L171" s="411"/>
      <c r="M171" s="411"/>
      <c r="N171" s="411"/>
      <c r="O171" s="411"/>
      <c r="P171" s="411"/>
      <c r="Q171" s="411"/>
      <c r="R171" s="411"/>
      <c r="S171" s="411"/>
      <c r="T171" s="411"/>
      <c r="U171" s="411"/>
      <c r="V171" s="411"/>
      <c r="W171" s="411"/>
      <c r="X171" s="411"/>
      <c r="Y171" s="411"/>
      <c r="Z171" s="411"/>
      <c r="AA171" s="411"/>
      <c r="AB171" s="411"/>
      <c r="AC171" s="400"/>
      <c r="AD171" s="408"/>
      <c r="AE171" s="408"/>
      <c r="AF171" s="412"/>
      <c r="AG171" s="405">
        <v>42859</v>
      </c>
      <c r="AH171" s="406">
        <v>0.43965277777777773</v>
      </c>
    </row>
    <row r="172" spans="1:34" ht="15.75" customHeight="1">
      <c r="A172" s="413">
        <v>163</v>
      </c>
      <c r="B172" s="414"/>
      <c r="C172" s="415"/>
      <c r="D172" s="411"/>
      <c r="E172" s="411"/>
      <c r="F172" s="411"/>
      <c r="G172" s="411"/>
      <c r="H172" s="411"/>
      <c r="I172" s="411"/>
      <c r="J172" s="411"/>
      <c r="K172" s="411"/>
      <c r="L172" s="411"/>
      <c r="M172" s="411"/>
      <c r="N172" s="411"/>
      <c r="O172" s="411"/>
      <c r="P172" s="411"/>
      <c r="Q172" s="411"/>
      <c r="R172" s="411"/>
      <c r="S172" s="411"/>
      <c r="T172" s="411"/>
      <c r="U172" s="411"/>
      <c r="V172" s="411"/>
      <c r="W172" s="411"/>
      <c r="X172" s="411"/>
      <c r="Y172" s="411"/>
      <c r="Z172" s="411"/>
      <c r="AA172" s="411"/>
      <c r="AB172" s="411"/>
      <c r="AC172" s="400"/>
      <c r="AD172" s="408"/>
      <c r="AE172" s="408"/>
      <c r="AF172" s="412"/>
      <c r="AG172" s="405">
        <v>42859</v>
      </c>
      <c r="AH172" s="406">
        <v>0.43989583333333332</v>
      </c>
    </row>
    <row r="173" spans="1:34" ht="15.75" customHeight="1">
      <c r="A173" s="413">
        <v>164</v>
      </c>
      <c r="B173" s="414"/>
      <c r="C173" s="415"/>
      <c r="D173" s="411"/>
      <c r="E173" s="411"/>
      <c r="F173" s="411"/>
      <c r="G173" s="411"/>
      <c r="H173" s="411"/>
      <c r="I173" s="411"/>
      <c r="J173" s="411"/>
      <c r="K173" s="411"/>
      <c r="L173" s="411"/>
      <c r="M173" s="411"/>
      <c r="N173" s="411"/>
      <c r="O173" s="411"/>
      <c r="P173" s="411"/>
      <c r="Q173" s="411"/>
      <c r="R173" s="411"/>
      <c r="S173" s="411"/>
      <c r="T173" s="411"/>
      <c r="U173" s="411"/>
      <c r="V173" s="411"/>
      <c r="W173" s="411"/>
      <c r="X173" s="411"/>
      <c r="Y173" s="411"/>
      <c r="Z173" s="411"/>
      <c r="AA173" s="411"/>
      <c r="AB173" s="411"/>
      <c r="AC173" s="400"/>
      <c r="AD173" s="408"/>
      <c r="AE173" s="408"/>
      <c r="AF173" s="412"/>
      <c r="AG173" s="405">
        <v>42859</v>
      </c>
      <c r="AH173" s="406">
        <v>0.44006944444444446</v>
      </c>
    </row>
    <row r="174" spans="1:34" ht="15.75" customHeight="1">
      <c r="A174" s="413">
        <v>165</v>
      </c>
      <c r="B174" s="414"/>
      <c r="C174" s="415"/>
      <c r="D174" s="411"/>
      <c r="E174" s="411"/>
      <c r="F174" s="411"/>
      <c r="G174" s="411"/>
      <c r="H174" s="411"/>
      <c r="I174" s="411"/>
      <c r="J174" s="411"/>
      <c r="K174" s="411"/>
      <c r="L174" s="411"/>
      <c r="M174" s="411"/>
      <c r="N174" s="411"/>
      <c r="O174" s="411"/>
      <c r="P174" s="411"/>
      <c r="Q174" s="411"/>
      <c r="R174" s="411"/>
      <c r="S174" s="411"/>
      <c r="T174" s="411"/>
      <c r="U174" s="411"/>
      <c r="V174" s="411"/>
      <c r="W174" s="411"/>
      <c r="X174" s="411"/>
      <c r="Y174" s="411"/>
      <c r="Z174" s="411"/>
      <c r="AA174" s="411"/>
      <c r="AB174" s="411"/>
      <c r="AC174" s="400"/>
      <c r="AD174" s="408"/>
      <c r="AE174" s="408"/>
      <c r="AF174" s="412"/>
      <c r="AG174" s="405">
        <v>42859</v>
      </c>
      <c r="AH174" s="406">
        <v>0.44114583333333335</v>
      </c>
    </row>
    <row r="175" spans="1:34" ht="15.75" customHeight="1">
      <c r="A175" s="413">
        <v>166</v>
      </c>
      <c r="B175" s="414"/>
      <c r="C175" s="415"/>
      <c r="D175" s="411"/>
      <c r="E175" s="411"/>
      <c r="F175" s="411"/>
      <c r="G175" s="411"/>
      <c r="H175" s="411"/>
      <c r="I175" s="411"/>
      <c r="J175" s="411"/>
      <c r="K175" s="411"/>
      <c r="L175" s="411"/>
      <c r="M175" s="411"/>
      <c r="N175" s="411"/>
      <c r="O175" s="411"/>
      <c r="P175" s="411"/>
      <c r="Q175" s="411"/>
      <c r="R175" s="411"/>
      <c r="S175" s="411"/>
      <c r="T175" s="411"/>
      <c r="U175" s="411"/>
      <c r="V175" s="411"/>
      <c r="W175" s="411"/>
      <c r="X175" s="411"/>
      <c r="Y175" s="411"/>
      <c r="Z175" s="411"/>
      <c r="AA175" s="411"/>
      <c r="AB175" s="411"/>
      <c r="AC175" s="400"/>
      <c r="AD175" s="408"/>
      <c r="AE175" s="408"/>
      <c r="AF175" s="412"/>
      <c r="AG175" s="405">
        <v>42859</v>
      </c>
      <c r="AH175" s="406">
        <v>0.44138888888888889</v>
      </c>
    </row>
    <row r="176" spans="1:34" ht="15.75" customHeight="1">
      <c r="A176" s="413">
        <v>167</v>
      </c>
      <c r="B176" s="414"/>
      <c r="C176" s="415"/>
      <c r="D176" s="411"/>
      <c r="E176" s="411"/>
      <c r="F176" s="411"/>
      <c r="G176" s="411"/>
      <c r="H176" s="411"/>
      <c r="I176" s="411"/>
      <c r="J176" s="411"/>
      <c r="K176" s="411"/>
      <c r="L176" s="411"/>
      <c r="M176" s="411"/>
      <c r="N176" s="411"/>
      <c r="O176" s="411"/>
      <c r="P176" s="411"/>
      <c r="Q176" s="411"/>
      <c r="R176" s="411"/>
      <c r="S176" s="411"/>
      <c r="T176" s="411"/>
      <c r="U176" s="411"/>
      <c r="V176" s="411"/>
      <c r="W176" s="411"/>
      <c r="X176" s="411"/>
      <c r="Y176" s="411"/>
      <c r="Z176" s="411"/>
      <c r="AA176" s="411"/>
      <c r="AB176" s="411"/>
      <c r="AC176" s="400"/>
      <c r="AD176" s="408"/>
      <c r="AE176" s="408"/>
      <c r="AF176" s="412"/>
      <c r="AG176" s="405">
        <v>42859</v>
      </c>
      <c r="AH176" s="406">
        <v>0.44171296296296297</v>
      </c>
    </row>
    <row r="177" spans="1:34" ht="15.75" customHeight="1">
      <c r="A177" s="413">
        <v>168</v>
      </c>
      <c r="B177" s="414"/>
      <c r="C177" s="415"/>
      <c r="D177" s="411"/>
      <c r="E177" s="411"/>
      <c r="F177" s="411"/>
      <c r="G177" s="411"/>
      <c r="H177" s="411"/>
      <c r="I177" s="411"/>
      <c r="J177" s="411"/>
      <c r="K177" s="411"/>
      <c r="L177" s="411"/>
      <c r="M177" s="411"/>
      <c r="N177" s="411"/>
      <c r="O177" s="411"/>
      <c r="P177" s="411"/>
      <c r="Q177" s="411"/>
      <c r="R177" s="411"/>
      <c r="S177" s="411"/>
      <c r="T177" s="411"/>
      <c r="U177" s="411"/>
      <c r="V177" s="411"/>
      <c r="W177" s="411"/>
      <c r="X177" s="411"/>
      <c r="Y177" s="411"/>
      <c r="Z177" s="411"/>
      <c r="AA177" s="411"/>
      <c r="AB177" s="411"/>
      <c r="AC177" s="400"/>
      <c r="AD177" s="408"/>
      <c r="AE177" s="408"/>
      <c r="AF177" s="412"/>
      <c r="AG177" s="405">
        <v>42859</v>
      </c>
      <c r="AH177" s="406">
        <v>0.44197916666666665</v>
      </c>
    </row>
    <row r="178" spans="1:34" ht="15.75" customHeight="1">
      <c r="A178" s="413">
        <v>169</v>
      </c>
      <c r="B178" s="414"/>
      <c r="C178" s="415"/>
      <c r="D178" s="411"/>
      <c r="E178" s="411"/>
      <c r="F178" s="411"/>
      <c r="G178" s="411"/>
      <c r="H178" s="411"/>
      <c r="I178" s="411"/>
      <c r="J178" s="411"/>
      <c r="K178" s="411"/>
      <c r="L178" s="411"/>
      <c r="M178" s="411"/>
      <c r="N178" s="411"/>
      <c r="O178" s="411"/>
      <c r="P178" s="411"/>
      <c r="Q178" s="411"/>
      <c r="R178" s="411"/>
      <c r="S178" s="411"/>
      <c r="T178" s="411"/>
      <c r="U178" s="411"/>
      <c r="V178" s="411"/>
      <c r="W178" s="411"/>
      <c r="X178" s="411"/>
      <c r="Y178" s="411"/>
      <c r="Z178" s="411"/>
      <c r="AA178" s="411"/>
      <c r="AB178" s="411"/>
      <c r="AC178" s="400"/>
      <c r="AD178" s="408"/>
      <c r="AE178" s="408"/>
      <c r="AF178" s="412"/>
      <c r="AG178" s="405">
        <v>42859</v>
      </c>
      <c r="AH178" s="406">
        <v>0.44210648148148146</v>
      </c>
    </row>
    <row r="179" spans="1:34" ht="15.75" customHeight="1">
      <c r="A179" s="413">
        <v>170</v>
      </c>
      <c r="B179" s="414"/>
      <c r="C179" s="415"/>
      <c r="D179" s="411"/>
      <c r="E179" s="411"/>
      <c r="F179" s="411"/>
      <c r="G179" s="411"/>
      <c r="H179" s="411"/>
      <c r="I179" s="411"/>
      <c r="J179" s="411"/>
      <c r="K179" s="411"/>
      <c r="L179" s="411"/>
      <c r="M179" s="411"/>
      <c r="N179" s="411"/>
      <c r="O179" s="411"/>
      <c r="P179" s="411"/>
      <c r="Q179" s="411"/>
      <c r="R179" s="411"/>
      <c r="S179" s="411"/>
      <c r="T179" s="411"/>
      <c r="U179" s="411"/>
      <c r="V179" s="411"/>
      <c r="W179" s="411"/>
      <c r="X179" s="411"/>
      <c r="Y179" s="411"/>
      <c r="Z179" s="411"/>
      <c r="AA179" s="411"/>
      <c r="AB179" s="411"/>
      <c r="AC179" s="400"/>
      <c r="AD179" s="408"/>
      <c r="AE179" s="408"/>
      <c r="AF179" s="412"/>
      <c r="AG179" s="405">
        <v>42859</v>
      </c>
      <c r="AH179" s="406">
        <v>0.44440972222222225</v>
      </c>
    </row>
    <row r="180" spans="1:34" ht="15.75" customHeight="1">
      <c r="A180" s="413">
        <v>171</v>
      </c>
      <c r="B180" s="414"/>
      <c r="C180" s="415"/>
      <c r="D180" s="411"/>
      <c r="E180" s="411"/>
      <c r="F180" s="411"/>
      <c r="G180" s="411"/>
      <c r="H180" s="411"/>
      <c r="I180" s="411"/>
      <c r="J180" s="411"/>
      <c r="K180" s="411"/>
      <c r="L180" s="411"/>
      <c r="M180" s="411"/>
      <c r="N180" s="411"/>
      <c r="O180" s="411"/>
      <c r="P180" s="411"/>
      <c r="Q180" s="411"/>
      <c r="R180" s="411"/>
      <c r="S180" s="411"/>
      <c r="T180" s="411"/>
      <c r="U180" s="411"/>
      <c r="V180" s="411"/>
      <c r="W180" s="411"/>
      <c r="X180" s="411"/>
      <c r="Y180" s="411"/>
      <c r="Z180" s="411"/>
      <c r="AA180" s="411"/>
      <c r="AB180" s="411"/>
      <c r="AC180" s="400"/>
      <c r="AD180" s="408"/>
      <c r="AE180" s="408"/>
      <c r="AF180" s="412"/>
      <c r="AG180" s="405">
        <v>42859</v>
      </c>
      <c r="AH180" s="406">
        <v>0.4460648148148148</v>
      </c>
    </row>
    <row r="181" spans="1:34" ht="15.75" customHeight="1">
      <c r="A181" s="413">
        <v>172</v>
      </c>
      <c r="B181" s="414"/>
      <c r="C181" s="415"/>
      <c r="D181" s="411"/>
      <c r="E181" s="411"/>
      <c r="F181" s="411"/>
      <c r="G181" s="411"/>
      <c r="H181" s="411"/>
      <c r="I181" s="411"/>
      <c r="J181" s="411"/>
      <c r="K181" s="411"/>
      <c r="L181" s="411"/>
      <c r="M181" s="411"/>
      <c r="N181" s="411"/>
      <c r="O181" s="411"/>
      <c r="P181" s="411"/>
      <c r="Q181" s="411"/>
      <c r="R181" s="411"/>
      <c r="S181" s="411"/>
      <c r="T181" s="411"/>
      <c r="U181" s="411"/>
      <c r="V181" s="411"/>
      <c r="W181" s="411"/>
      <c r="X181" s="411"/>
      <c r="Y181" s="411"/>
      <c r="Z181" s="411"/>
      <c r="AA181" s="411"/>
      <c r="AB181" s="411"/>
      <c r="AC181" s="400"/>
      <c r="AD181" s="408"/>
      <c r="AE181" s="408"/>
      <c r="AF181" s="412"/>
      <c r="AG181" s="405">
        <v>42859</v>
      </c>
      <c r="AH181" s="406">
        <v>0.44672453703703702</v>
      </c>
    </row>
    <row r="182" spans="1:34" ht="15.75" customHeight="1">
      <c r="A182" s="413">
        <v>173</v>
      </c>
      <c r="B182" s="414"/>
      <c r="C182" s="415"/>
      <c r="D182" s="411"/>
      <c r="E182" s="411"/>
      <c r="F182" s="411"/>
      <c r="G182" s="411"/>
      <c r="H182" s="411"/>
      <c r="I182" s="411"/>
      <c r="J182" s="411"/>
      <c r="K182" s="411"/>
      <c r="L182" s="411"/>
      <c r="M182" s="411"/>
      <c r="N182" s="411"/>
      <c r="O182" s="411"/>
      <c r="P182" s="411"/>
      <c r="Q182" s="411"/>
      <c r="R182" s="411"/>
      <c r="S182" s="411"/>
      <c r="T182" s="411"/>
      <c r="U182" s="411"/>
      <c r="V182" s="411"/>
      <c r="W182" s="411"/>
      <c r="X182" s="411"/>
      <c r="Y182" s="411"/>
      <c r="Z182" s="411"/>
      <c r="AA182" s="411"/>
      <c r="AB182" s="411"/>
      <c r="AC182" s="400"/>
      <c r="AD182" s="408"/>
      <c r="AE182" s="408"/>
      <c r="AF182" s="412"/>
      <c r="AG182" s="405">
        <v>42859</v>
      </c>
      <c r="AH182" s="406">
        <v>0.44846064814814812</v>
      </c>
    </row>
    <row r="183" spans="1:34" ht="15.75" customHeight="1">
      <c r="A183" s="413">
        <v>174</v>
      </c>
      <c r="B183" s="414"/>
      <c r="C183" s="415"/>
      <c r="D183" s="411"/>
      <c r="E183" s="411"/>
      <c r="F183" s="411"/>
      <c r="G183" s="411"/>
      <c r="H183" s="411"/>
      <c r="I183" s="411"/>
      <c r="J183" s="411"/>
      <c r="K183" s="411"/>
      <c r="L183" s="411"/>
      <c r="M183" s="411"/>
      <c r="N183" s="411"/>
      <c r="O183" s="411"/>
      <c r="P183" s="411"/>
      <c r="Q183" s="411"/>
      <c r="R183" s="411"/>
      <c r="S183" s="411"/>
      <c r="T183" s="411"/>
      <c r="U183" s="411"/>
      <c r="V183" s="411"/>
      <c r="W183" s="411"/>
      <c r="X183" s="411"/>
      <c r="Y183" s="411"/>
      <c r="Z183" s="411"/>
      <c r="AA183" s="411"/>
      <c r="AB183" s="411"/>
      <c r="AC183" s="400"/>
      <c r="AD183" s="408"/>
      <c r="AE183" s="408"/>
      <c r="AF183" s="412"/>
      <c r="AG183" s="405">
        <v>42859</v>
      </c>
      <c r="AH183" s="406">
        <v>0.44865740740740739</v>
      </c>
    </row>
    <row r="184" spans="1:34" ht="15.75" customHeight="1">
      <c r="A184" s="413">
        <v>175</v>
      </c>
      <c r="B184" s="414"/>
      <c r="C184" s="415"/>
      <c r="D184" s="411"/>
      <c r="E184" s="411"/>
      <c r="F184" s="411"/>
      <c r="G184" s="411"/>
      <c r="H184" s="411"/>
      <c r="I184" s="411"/>
      <c r="J184" s="411"/>
      <c r="K184" s="411"/>
      <c r="L184" s="411"/>
      <c r="M184" s="411"/>
      <c r="N184" s="411"/>
      <c r="O184" s="411"/>
      <c r="P184" s="411"/>
      <c r="Q184" s="411"/>
      <c r="R184" s="411"/>
      <c r="S184" s="411"/>
      <c r="T184" s="411"/>
      <c r="U184" s="411"/>
      <c r="V184" s="411"/>
      <c r="W184" s="411"/>
      <c r="X184" s="411"/>
      <c r="Y184" s="411"/>
      <c r="Z184" s="411"/>
      <c r="AA184" s="411"/>
      <c r="AB184" s="411"/>
      <c r="AC184" s="400"/>
      <c r="AD184" s="408"/>
      <c r="AE184" s="408"/>
      <c r="AF184" s="412"/>
      <c r="AG184" s="405">
        <v>42859</v>
      </c>
      <c r="AH184" s="406">
        <v>0.44878472222222227</v>
      </c>
    </row>
    <row r="185" spans="1:34" ht="15.75" customHeight="1">
      <c r="A185" s="413">
        <v>176</v>
      </c>
      <c r="B185" s="414"/>
      <c r="C185" s="415"/>
      <c r="D185" s="411"/>
      <c r="E185" s="411"/>
      <c r="F185" s="411"/>
      <c r="G185" s="411"/>
      <c r="H185" s="411"/>
      <c r="I185" s="411"/>
      <c r="J185" s="411"/>
      <c r="K185" s="411"/>
      <c r="L185" s="411"/>
      <c r="M185" s="411"/>
      <c r="N185" s="411"/>
      <c r="O185" s="411"/>
      <c r="P185" s="411"/>
      <c r="Q185" s="411"/>
      <c r="R185" s="411"/>
      <c r="S185" s="411"/>
      <c r="T185" s="411"/>
      <c r="U185" s="411"/>
      <c r="V185" s="411"/>
      <c r="W185" s="411"/>
      <c r="X185" s="411"/>
      <c r="Y185" s="411"/>
      <c r="Z185" s="411"/>
      <c r="AA185" s="411"/>
      <c r="AB185" s="411"/>
      <c r="AC185" s="400"/>
      <c r="AD185" s="408"/>
      <c r="AE185" s="408"/>
      <c r="AF185" s="412"/>
      <c r="AG185" s="405">
        <v>42859</v>
      </c>
      <c r="AH185" s="406">
        <v>0.4490277777777778</v>
      </c>
    </row>
    <row r="186" spans="1:34" ht="15.75" customHeight="1">
      <c r="A186" s="413">
        <v>177</v>
      </c>
      <c r="B186" s="414"/>
      <c r="C186" s="415"/>
      <c r="D186" s="411"/>
      <c r="E186" s="411"/>
      <c r="F186" s="411"/>
      <c r="G186" s="411"/>
      <c r="H186" s="411"/>
      <c r="I186" s="411"/>
      <c r="J186" s="411"/>
      <c r="K186" s="411"/>
      <c r="L186" s="411"/>
      <c r="M186" s="411"/>
      <c r="N186" s="411"/>
      <c r="O186" s="411"/>
      <c r="P186" s="411"/>
      <c r="Q186" s="411"/>
      <c r="R186" s="411"/>
      <c r="S186" s="411"/>
      <c r="T186" s="411"/>
      <c r="U186" s="411"/>
      <c r="V186" s="411"/>
      <c r="W186" s="411"/>
      <c r="X186" s="411"/>
      <c r="Y186" s="411"/>
      <c r="Z186" s="411"/>
      <c r="AA186" s="411"/>
      <c r="AB186" s="411"/>
      <c r="AC186" s="400"/>
      <c r="AD186" s="408"/>
      <c r="AE186" s="408"/>
      <c r="AF186" s="412"/>
      <c r="AG186" s="405">
        <v>42859</v>
      </c>
      <c r="AH186" s="406">
        <v>0.44923611111111111</v>
      </c>
    </row>
    <row r="187" spans="1:34" ht="15.75" customHeight="1">
      <c r="A187" s="413">
        <v>178</v>
      </c>
      <c r="B187" s="414"/>
      <c r="C187" s="415"/>
      <c r="D187" s="411"/>
      <c r="E187" s="411"/>
      <c r="F187" s="411"/>
      <c r="G187" s="411"/>
      <c r="H187" s="411"/>
      <c r="I187" s="411"/>
      <c r="J187" s="411"/>
      <c r="K187" s="411"/>
      <c r="L187" s="411"/>
      <c r="M187" s="411"/>
      <c r="N187" s="411"/>
      <c r="O187" s="411"/>
      <c r="P187" s="411"/>
      <c r="Q187" s="411"/>
      <c r="R187" s="411"/>
      <c r="S187" s="411"/>
      <c r="T187" s="411"/>
      <c r="U187" s="411"/>
      <c r="V187" s="411"/>
      <c r="W187" s="411"/>
      <c r="X187" s="411"/>
      <c r="Y187" s="411"/>
      <c r="Z187" s="411"/>
      <c r="AA187" s="411"/>
      <c r="AB187" s="411"/>
      <c r="AC187" s="400"/>
      <c r="AD187" s="408"/>
      <c r="AE187" s="408"/>
      <c r="AF187" s="412"/>
      <c r="AG187" s="405">
        <v>42859</v>
      </c>
      <c r="AH187" s="406">
        <v>0.45126157407407402</v>
      </c>
    </row>
    <row r="188" spans="1:34" ht="15.75" customHeight="1">
      <c r="A188" s="413">
        <v>179</v>
      </c>
      <c r="B188" s="414"/>
      <c r="C188" s="415"/>
      <c r="D188" s="411"/>
      <c r="E188" s="411"/>
      <c r="F188" s="411"/>
      <c r="G188" s="411"/>
      <c r="H188" s="411"/>
      <c r="I188" s="411"/>
      <c r="J188" s="411"/>
      <c r="K188" s="411"/>
      <c r="L188" s="411"/>
      <c r="M188" s="411"/>
      <c r="N188" s="411"/>
      <c r="O188" s="411"/>
      <c r="P188" s="411"/>
      <c r="Q188" s="411"/>
      <c r="R188" s="411"/>
      <c r="S188" s="411"/>
      <c r="T188" s="411"/>
      <c r="U188" s="411"/>
      <c r="V188" s="411"/>
      <c r="W188" s="411"/>
      <c r="X188" s="411"/>
      <c r="Y188" s="411"/>
      <c r="Z188" s="411"/>
      <c r="AA188" s="411"/>
      <c r="AB188" s="411"/>
      <c r="AC188" s="400"/>
      <c r="AD188" s="408"/>
      <c r="AE188" s="408"/>
      <c r="AF188" s="412"/>
      <c r="AG188" s="405">
        <v>42859</v>
      </c>
      <c r="AH188" s="406">
        <v>0.45157407407407407</v>
      </c>
    </row>
    <row r="189" spans="1:34" ht="15.75" customHeight="1">
      <c r="A189" s="413">
        <v>180</v>
      </c>
      <c r="B189" s="414"/>
      <c r="C189" s="415"/>
      <c r="D189" s="411"/>
      <c r="E189" s="411"/>
      <c r="F189" s="411"/>
      <c r="G189" s="411"/>
      <c r="H189" s="411"/>
      <c r="I189" s="411"/>
      <c r="J189" s="411"/>
      <c r="K189" s="411"/>
      <c r="L189" s="411"/>
      <c r="M189" s="411"/>
      <c r="N189" s="411"/>
      <c r="O189" s="411"/>
      <c r="P189" s="411"/>
      <c r="Q189" s="411"/>
      <c r="R189" s="411"/>
      <c r="S189" s="411"/>
      <c r="T189" s="411"/>
      <c r="U189" s="411"/>
      <c r="V189" s="411"/>
      <c r="W189" s="411"/>
      <c r="X189" s="411"/>
      <c r="Y189" s="411"/>
      <c r="Z189" s="411"/>
      <c r="AA189" s="411"/>
      <c r="AB189" s="411"/>
      <c r="AC189" s="400"/>
      <c r="AD189" s="408"/>
      <c r="AE189" s="408"/>
      <c r="AF189" s="412"/>
      <c r="AG189" s="405">
        <v>42859</v>
      </c>
      <c r="AH189" s="406">
        <v>0.45165509259259262</v>
      </c>
    </row>
    <row r="190" spans="1:34" ht="15.75" customHeight="1">
      <c r="A190" s="413">
        <v>181</v>
      </c>
      <c r="B190" s="414"/>
      <c r="C190" s="415"/>
      <c r="D190" s="411"/>
      <c r="E190" s="411"/>
      <c r="F190" s="411"/>
      <c r="G190" s="411"/>
      <c r="H190" s="411"/>
      <c r="I190" s="411"/>
      <c r="J190" s="411"/>
      <c r="K190" s="411"/>
      <c r="L190" s="411"/>
      <c r="M190" s="411"/>
      <c r="N190" s="411"/>
      <c r="O190" s="411"/>
      <c r="P190" s="411"/>
      <c r="Q190" s="411"/>
      <c r="R190" s="411"/>
      <c r="S190" s="411"/>
      <c r="T190" s="411"/>
      <c r="U190" s="411"/>
      <c r="V190" s="411"/>
      <c r="W190" s="411"/>
      <c r="X190" s="411"/>
      <c r="Y190" s="411"/>
      <c r="Z190" s="411"/>
      <c r="AA190" s="411"/>
      <c r="AB190" s="411"/>
      <c r="AC190" s="400"/>
      <c r="AD190" s="408"/>
      <c r="AE190" s="408"/>
      <c r="AF190" s="412"/>
      <c r="AG190" s="405">
        <v>42859</v>
      </c>
      <c r="AH190" s="406">
        <v>0.45307870370370368</v>
      </c>
    </row>
    <row r="191" spans="1:34" ht="15.75" customHeight="1">
      <c r="A191" s="413">
        <v>182</v>
      </c>
      <c r="B191" s="414"/>
      <c r="C191" s="415"/>
      <c r="D191" s="411"/>
      <c r="E191" s="411"/>
      <c r="F191" s="411"/>
      <c r="G191" s="411"/>
      <c r="H191" s="411"/>
      <c r="I191" s="411"/>
      <c r="J191" s="411"/>
      <c r="K191" s="411"/>
      <c r="L191" s="411"/>
      <c r="M191" s="411"/>
      <c r="N191" s="411"/>
      <c r="O191" s="411"/>
      <c r="P191" s="411"/>
      <c r="Q191" s="411"/>
      <c r="R191" s="411"/>
      <c r="S191" s="411"/>
      <c r="T191" s="411"/>
      <c r="U191" s="411"/>
      <c r="V191" s="411"/>
      <c r="W191" s="411"/>
      <c r="X191" s="411"/>
      <c r="Y191" s="411"/>
      <c r="Z191" s="411"/>
      <c r="AA191" s="411"/>
      <c r="AB191" s="411"/>
      <c r="AC191" s="400"/>
      <c r="AD191" s="408"/>
      <c r="AE191" s="408"/>
      <c r="AF191" s="412"/>
      <c r="AG191" s="405">
        <v>42859</v>
      </c>
      <c r="AH191" s="406">
        <v>0.45320601851851849</v>
      </c>
    </row>
    <row r="192" spans="1:34" ht="15.75" customHeight="1">
      <c r="A192" s="413">
        <v>183</v>
      </c>
      <c r="B192" s="414"/>
      <c r="C192" s="415"/>
      <c r="D192" s="411"/>
      <c r="E192" s="411"/>
      <c r="F192" s="411"/>
      <c r="G192" s="411"/>
      <c r="H192" s="411"/>
      <c r="I192" s="411"/>
      <c r="J192" s="411"/>
      <c r="K192" s="411"/>
      <c r="L192" s="411"/>
      <c r="M192" s="411"/>
      <c r="N192" s="411"/>
      <c r="O192" s="411"/>
      <c r="P192" s="411"/>
      <c r="Q192" s="411"/>
      <c r="R192" s="411"/>
      <c r="S192" s="411"/>
      <c r="T192" s="411"/>
      <c r="U192" s="411"/>
      <c r="V192" s="411"/>
      <c r="W192" s="411"/>
      <c r="X192" s="411"/>
      <c r="Y192" s="411"/>
      <c r="Z192" s="411"/>
      <c r="AA192" s="411"/>
      <c r="AB192" s="411"/>
      <c r="AC192" s="400"/>
      <c r="AD192" s="408"/>
      <c r="AE192" s="408"/>
      <c r="AF192" s="412"/>
      <c r="AG192" s="405">
        <v>42859</v>
      </c>
      <c r="AH192" s="406">
        <v>0.45337962962962958</v>
      </c>
    </row>
    <row r="193" spans="1:34" ht="15.75" customHeight="1">
      <c r="A193" s="413">
        <v>184</v>
      </c>
      <c r="B193" s="414"/>
      <c r="C193" s="415"/>
      <c r="D193" s="411"/>
      <c r="E193" s="411"/>
      <c r="F193" s="411"/>
      <c r="G193" s="411"/>
      <c r="H193" s="411"/>
      <c r="I193" s="411"/>
      <c r="J193" s="411"/>
      <c r="K193" s="411"/>
      <c r="L193" s="411"/>
      <c r="M193" s="411"/>
      <c r="N193" s="411"/>
      <c r="O193" s="411"/>
      <c r="P193" s="411"/>
      <c r="Q193" s="411"/>
      <c r="R193" s="411"/>
      <c r="S193" s="411"/>
      <c r="T193" s="411"/>
      <c r="U193" s="411"/>
      <c r="V193" s="411"/>
      <c r="W193" s="411"/>
      <c r="X193" s="411"/>
      <c r="Y193" s="411"/>
      <c r="Z193" s="411"/>
      <c r="AA193" s="411"/>
      <c r="AB193" s="411"/>
      <c r="AC193" s="400"/>
      <c r="AD193" s="408"/>
      <c r="AE193" s="408"/>
      <c r="AF193" s="412"/>
      <c r="AG193" s="405">
        <v>42859</v>
      </c>
      <c r="AH193" s="406">
        <v>0.45349537037037035</v>
      </c>
    </row>
    <row r="194" spans="1:34" ht="15.75" customHeight="1">
      <c r="A194" s="413">
        <v>185</v>
      </c>
      <c r="B194" s="414"/>
      <c r="C194" s="415"/>
      <c r="D194" s="411"/>
      <c r="E194" s="411"/>
      <c r="F194" s="411"/>
      <c r="G194" s="411"/>
      <c r="H194" s="411"/>
      <c r="I194" s="411"/>
      <c r="J194" s="411"/>
      <c r="K194" s="411"/>
      <c r="L194" s="411"/>
      <c r="M194" s="411"/>
      <c r="N194" s="411"/>
      <c r="O194" s="411"/>
      <c r="P194" s="411"/>
      <c r="Q194" s="411"/>
      <c r="R194" s="411"/>
      <c r="S194" s="411"/>
      <c r="T194" s="411"/>
      <c r="U194" s="411"/>
      <c r="V194" s="411"/>
      <c r="W194" s="411"/>
      <c r="X194" s="411"/>
      <c r="Y194" s="411"/>
      <c r="Z194" s="411"/>
      <c r="AA194" s="411"/>
      <c r="AB194" s="411"/>
      <c r="AC194" s="400"/>
      <c r="AD194" s="408"/>
      <c r="AE194" s="408"/>
      <c r="AF194" s="412"/>
      <c r="AG194" s="405">
        <v>42859</v>
      </c>
      <c r="AH194" s="406">
        <v>0.4535763888888889</v>
      </c>
    </row>
    <row r="195" spans="1:34" ht="15.75" customHeight="1">
      <c r="A195" s="413">
        <v>186</v>
      </c>
      <c r="B195" s="414"/>
      <c r="C195" s="415"/>
      <c r="D195" s="411"/>
      <c r="E195" s="411"/>
      <c r="F195" s="411"/>
      <c r="G195" s="411"/>
      <c r="H195" s="411"/>
      <c r="I195" s="411"/>
      <c r="J195" s="411"/>
      <c r="K195" s="411"/>
      <c r="L195" s="411"/>
      <c r="M195" s="411"/>
      <c r="N195" s="411"/>
      <c r="O195" s="411"/>
      <c r="P195" s="411"/>
      <c r="Q195" s="411"/>
      <c r="R195" s="411"/>
      <c r="S195" s="411"/>
      <c r="T195" s="411"/>
      <c r="U195" s="411"/>
      <c r="V195" s="411"/>
      <c r="W195" s="411"/>
      <c r="X195" s="411"/>
      <c r="Y195" s="411"/>
      <c r="Z195" s="411"/>
      <c r="AA195" s="411"/>
      <c r="AB195" s="411"/>
      <c r="AC195" s="400"/>
      <c r="AD195" s="408"/>
      <c r="AE195" s="408"/>
      <c r="AF195" s="412"/>
      <c r="AG195" s="405">
        <v>42859</v>
      </c>
      <c r="AH195" s="406">
        <v>0.45465277777777779</v>
      </c>
    </row>
    <row r="196" spans="1:34" ht="15.75" customHeight="1">
      <c r="A196" s="413">
        <v>187</v>
      </c>
      <c r="B196" s="414"/>
      <c r="C196" s="415"/>
      <c r="D196" s="411"/>
      <c r="E196" s="411"/>
      <c r="F196" s="411"/>
      <c r="G196" s="411"/>
      <c r="H196" s="411"/>
      <c r="I196" s="411"/>
      <c r="J196" s="411"/>
      <c r="K196" s="411"/>
      <c r="L196" s="411"/>
      <c r="M196" s="411"/>
      <c r="N196" s="411"/>
      <c r="O196" s="411"/>
      <c r="P196" s="411"/>
      <c r="Q196" s="411"/>
      <c r="R196" s="411"/>
      <c r="S196" s="411"/>
      <c r="T196" s="411"/>
      <c r="U196" s="411"/>
      <c r="V196" s="411"/>
      <c r="W196" s="411"/>
      <c r="X196" s="411"/>
      <c r="Y196" s="411"/>
      <c r="Z196" s="411"/>
      <c r="AA196" s="411"/>
      <c r="AB196" s="411"/>
      <c r="AC196" s="400"/>
      <c r="AD196" s="408"/>
      <c r="AE196" s="408"/>
      <c r="AF196" s="412"/>
      <c r="AG196" s="405">
        <v>42859</v>
      </c>
      <c r="AH196" s="406">
        <v>0.45478009259259261</v>
      </c>
    </row>
    <row r="197" spans="1:34" ht="15.75" customHeight="1">
      <c r="A197" s="413">
        <v>188</v>
      </c>
      <c r="B197" s="414"/>
      <c r="C197" s="415"/>
      <c r="D197" s="411"/>
      <c r="E197" s="411"/>
      <c r="F197" s="411"/>
      <c r="G197" s="411"/>
      <c r="H197" s="411"/>
      <c r="I197" s="411"/>
      <c r="J197" s="411"/>
      <c r="K197" s="411"/>
      <c r="L197" s="411"/>
      <c r="M197" s="411"/>
      <c r="N197" s="411"/>
      <c r="O197" s="411"/>
      <c r="P197" s="411"/>
      <c r="Q197" s="411"/>
      <c r="R197" s="411"/>
      <c r="S197" s="411"/>
      <c r="T197" s="411"/>
      <c r="U197" s="411"/>
      <c r="V197" s="411"/>
      <c r="W197" s="411"/>
      <c r="X197" s="411"/>
      <c r="Y197" s="411"/>
      <c r="Z197" s="411"/>
      <c r="AA197" s="411"/>
      <c r="AB197" s="411"/>
      <c r="AC197" s="400"/>
      <c r="AD197" s="408"/>
      <c r="AE197" s="408"/>
      <c r="AF197" s="412"/>
      <c r="AG197" s="405">
        <v>42859</v>
      </c>
      <c r="AH197" s="406">
        <v>0.45490740740740737</v>
      </c>
    </row>
    <row r="198" spans="1:34" ht="15.75" customHeight="1">
      <c r="A198" s="413">
        <v>189</v>
      </c>
      <c r="B198" s="414"/>
      <c r="C198" s="415"/>
      <c r="D198" s="411"/>
      <c r="E198" s="411"/>
      <c r="F198" s="411"/>
      <c r="G198" s="411"/>
      <c r="H198" s="411"/>
      <c r="I198" s="411"/>
      <c r="J198" s="411"/>
      <c r="K198" s="411"/>
      <c r="L198" s="411"/>
      <c r="M198" s="411"/>
      <c r="N198" s="411"/>
      <c r="O198" s="411"/>
      <c r="P198" s="411"/>
      <c r="Q198" s="411"/>
      <c r="R198" s="411"/>
      <c r="S198" s="411"/>
      <c r="T198" s="411"/>
      <c r="U198" s="411"/>
      <c r="V198" s="411"/>
      <c r="W198" s="411"/>
      <c r="X198" s="411"/>
      <c r="Y198" s="411"/>
      <c r="Z198" s="411"/>
      <c r="AA198" s="411"/>
      <c r="AB198" s="411"/>
      <c r="AC198" s="400"/>
      <c r="AD198" s="408"/>
      <c r="AE198" s="408"/>
      <c r="AF198" s="412"/>
      <c r="AG198" s="405">
        <v>42859</v>
      </c>
      <c r="AH198" s="406">
        <v>0.45497685185185183</v>
      </c>
    </row>
    <row r="199" spans="1:34" ht="15.75" customHeight="1">
      <c r="A199" s="413">
        <v>190</v>
      </c>
      <c r="B199" s="414"/>
      <c r="C199" s="415"/>
      <c r="D199" s="411"/>
      <c r="E199" s="411"/>
      <c r="F199" s="411"/>
      <c r="G199" s="411"/>
      <c r="H199" s="411"/>
      <c r="I199" s="411"/>
      <c r="J199" s="411"/>
      <c r="K199" s="411"/>
      <c r="L199" s="411"/>
      <c r="M199" s="411"/>
      <c r="N199" s="411"/>
      <c r="O199" s="411"/>
      <c r="P199" s="411"/>
      <c r="Q199" s="411"/>
      <c r="R199" s="411"/>
      <c r="S199" s="411"/>
      <c r="T199" s="411"/>
      <c r="U199" s="411"/>
      <c r="V199" s="411"/>
      <c r="W199" s="411"/>
      <c r="X199" s="411"/>
      <c r="Y199" s="411"/>
      <c r="Z199" s="411"/>
      <c r="AA199" s="411"/>
      <c r="AB199" s="411"/>
      <c r="AC199" s="400"/>
      <c r="AD199" s="408"/>
      <c r="AE199" s="408"/>
      <c r="AF199" s="412"/>
      <c r="AG199" s="405">
        <v>42859</v>
      </c>
      <c r="AH199" s="406">
        <v>0.45502314814814815</v>
      </c>
    </row>
    <row r="200" spans="1:34" ht="15.75" customHeight="1">
      <c r="A200" s="413">
        <v>191</v>
      </c>
      <c r="B200" s="414"/>
      <c r="C200" s="415"/>
      <c r="D200" s="411"/>
      <c r="E200" s="411"/>
      <c r="F200" s="411"/>
      <c r="G200" s="411"/>
      <c r="H200" s="411"/>
      <c r="I200" s="411"/>
      <c r="J200" s="411"/>
      <c r="K200" s="411"/>
      <c r="L200" s="411"/>
      <c r="M200" s="411"/>
      <c r="N200" s="411"/>
      <c r="O200" s="411"/>
      <c r="P200" s="411"/>
      <c r="Q200" s="411"/>
      <c r="R200" s="411"/>
      <c r="S200" s="411"/>
      <c r="T200" s="411"/>
      <c r="U200" s="411"/>
      <c r="V200" s="411"/>
      <c r="W200" s="411"/>
      <c r="X200" s="411"/>
      <c r="Y200" s="411"/>
      <c r="Z200" s="411"/>
      <c r="AA200" s="411"/>
      <c r="AB200" s="411"/>
      <c r="AC200" s="400"/>
      <c r="AD200" s="408"/>
      <c r="AE200" s="408"/>
      <c r="AF200" s="412"/>
      <c r="AG200" s="405">
        <v>42859</v>
      </c>
      <c r="AH200" s="406">
        <v>0.45738425925925924</v>
      </c>
    </row>
    <row r="201" spans="1:34" ht="15.75" customHeight="1">
      <c r="A201" s="413">
        <v>192</v>
      </c>
      <c r="B201" s="414"/>
      <c r="C201" s="415"/>
      <c r="D201" s="411"/>
      <c r="E201" s="411"/>
      <c r="F201" s="411"/>
      <c r="G201" s="411"/>
      <c r="H201" s="411"/>
      <c r="I201" s="411"/>
      <c r="J201" s="411"/>
      <c r="K201" s="411"/>
      <c r="L201" s="411"/>
      <c r="M201" s="411"/>
      <c r="N201" s="411"/>
      <c r="O201" s="411"/>
      <c r="P201" s="411"/>
      <c r="Q201" s="411"/>
      <c r="R201" s="411"/>
      <c r="S201" s="411"/>
      <c r="T201" s="411"/>
      <c r="U201" s="411"/>
      <c r="V201" s="411"/>
      <c r="W201" s="411"/>
      <c r="X201" s="411"/>
      <c r="Y201" s="411"/>
      <c r="Z201" s="411"/>
      <c r="AA201" s="411"/>
      <c r="AB201" s="411"/>
      <c r="AC201" s="400"/>
      <c r="AD201" s="408"/>
      <c r="AE201" s="408"/>
      <c r="AF201" s="412"/>
      <c r="AG201" s="405">
        <v>42859</v>
      </c>
      <c r="AH201" s="406">
        <v>0.45759259259259261</v>
      </c>
    </row>
    <row r="202" spans="1:34" ht="15.75" customHeight="1">
      <c r="A202" s="413">
        <v>193</v>
      </c>
      <c r="B202" s="414"/>
      <c r="C202" s="415"/>
      <c r="D202" s="411"/>
      <c r="E202" s="411"/>
      <c r="F202" s="411"/>
      <c r="G202" s="411"/>
      <c r="H202" s="411"/>
      <c r="I202" s="411"/>
      <c r="J202" s="411"/>
      <c r="K202" s="411"/>
      <c r="L202" s="411"/>
      <c r="M202" s="411"/>
      <c r="N202" s="411"/>
      <c r="O202" s="411"/>
      <c r="P202" s="411"/>
      <c r="Q202" s="411"/>
      <c r="R202" s="411"/>
      <c r="S202" s="411"/>
      <c r="T202" s="411"/>
      <c r="U202" s="411"/>
      <c r="V202" s="411"/>
      <c r="W202" s="411"/>
      <c r="X202" s="411"/>
      <c r="Y202" s="411"/>
      <c r="Z202" s="411"/>
      <c r="AA202" s="411"/>
      <c r="AB202" s="411"/>
      <c r="AC202" s="400"/>
      <c r="AD202" s="408"/>
      <c r="AE202" s="408"/>
      <c r="AF202" s="412"/>
      <c r="AG202" s="405">
        <v>42859</v>
      </c>
      <c r="AH202" s="406">
        <v>0.45788194444444441</v>
      </c>
    </row>
    <row r="203" spans="1:34" ht="15.75" customHeight="1">
      <c r="A203" s="413">
        <v>194</v>
      </c>
      <c r="B203" s="414"/>
      <c r="C203" s="415"/>
      <c r="D203" s="411"/>
      <c r="E203" s="411"/>
      <c r="F203" s="411"/>
      <c r="G203" s="411"/>
      <c r="H203" s="411"/>
      <c r="I203" s="411"/>
      <c r="J203" s="411"/>
      <c r="K203" s="411"/>
      <c r="L203" s="411"/>
      <c r="M203" s="411"/>
      <c r="N203" s="411"/>
      <c r="O203" s="411"/>
      <c r="P203" s="411"/>
      <c r="Q203" s="411"/>
      <c r="R203" s="411"/>
      <c r="S203" s="411"/>
      <c r="T203" s="411"/>
      <c r="U203" s="411"/>
      <c r="V203" s="411"/>
      <c r="W203" s="411"/>
      <c r="X203" s="411"/>
      <c r="Y203" s="411"/>
      <c r="Z203" s="411"/>
      <c r="AA203" s="411"/>
      <c r="AB203" s="411"/>
      <c r="AC203" s="400"/>
      <c r="AD203" s="408"/>
      <c r="AE203" s="408"/>
      <c r="AF203" s="412"/>
      <c r="AG203" s="405">
        <v>42859</v>
      </c>
      <c r="AH203" s="406">
        <v>0.4599421296296296</v>
      </c>
    </row>
    <row r="204" spans="1:34" ht="15.75" customHeight="1">
      <c r="A204" s="413">
        <v>195</v>
      </c>
      <c r="B204" s="414"/>
      <c r="C204" s="415"/>
      <c r="D204" s="411"/>
      <c r="E204" s="411"/>
      <c r="F204" s="411"/>
      <c r="G204" s="411"/>
      <c r="H204" s="411"/>
      <c r="I204" s="411"/>
      <c r="J204" s="411"/>
      <c r="K204" s="411"/>
      <c r="L204" s="411"/>
      <c r="M204" s="411"/>
      <c r="N204" s="411"/>
      <c r="O204" s="411"/>
      <c r="P204" s="411"/>
      <c r="Q204" s="411"/>
      <c r="R204" s="411"/>
      <c r="S204" s="411"/>
      <c r="T204" s="411"/>
      <c r="U204" s="411"/>
      <c r="V204" s="411"/>
      <c r="W204" s="411"/>
      <c r="X204" s="411"/>
      <c r="Y204" s="411"/>
      <c r="Z204" s="411"/>
      <c r="AA204" s="411"/>
      <c r="AB204" s="411"/>
      <c r="AC204" s="400"/>
      <c r="AD204" s="408"/>
      <c r="AE204" s="408"/>
      <c r="AF204" s="412"/>
      <c r="AG204" s="405">
        <v>42859</v>
      </c>
      <c r="AH204" s="406">
        <v>0.4600231481481481</v>
      </c>
    </row>
    <row r="205" spans="1:34" ht="15.75" customHeight="1">
      <c r="A205" s="413">
        <v>196</v>
      </c>
      <c r="B205" s="414"/>
      <c r="C205" s="415"/>
      <c r="D205" s="411"/>
      <c r="E205" s="411"/>
      <c r="F205" s="411"/>
      <c r="G205" s="411"/>
      <c r="H205" s="411"/>
      <c r="I205" s="411"/>
      <c r="J205" s="411"/>
      <c r="K205" s="411"/>
      <c r="L205" s="411"/>
      <c r="M205" s="411"/>
      <c r="N205" s="411"/>
      <c r="O205" s="411"/>
      <c r="P205" s="411"/>
      <c r="Q205" s="411"/>
      <c r="R205" s="411"/>
      <c r="S205" s="411"/>
      <c r="T205" s="411"/>
      <c r="U205" s="411"/>
      <c r="V205" s="411"/>
      <c r="W205" s="411"/>
      <c r="X205" s="411"/>
      <c r="Y205" s="411"/>
      <c r="Z205" s="411"/>
      <c r="AA205" s="411"/>
      <c r="AB205" s="411"/>
      <c r="AC205" s="400"/>
      <c r="AD205" s="408"/>
      <c r="AE205" s="408"/>
      <c r="AF205" s="412"/>
      <c r="AG205" s="405">
        <v>42859</v>
      </c>
      <c r="AH205" s="406">
        <v>0.46026620370370369</v>
      </c>
    </row>
    <row r="206" spans="1:34" ht="15.75" customHeight="1">
      <c r="A206" s="413">
        <v>197</v>
      </c>
      <c r="B206" s="414"/>
      <c r="C206" s="415"/>
      <c r="D206" s="411"/>
      <c r="E206" s="411"/>
      <c r="F206" s="411"/>
      <c r="G206" s="411"/>
      <c r="H206" s="411"/>
      <c r="I206" s="411"/>
      <c r="J206" s="411"/>
      <c r="K206" s="411"/>
      <c r="L206" s="411"/>
      <c r="M206" s="411"/>
      <c r="N206" s="411"/>
      <c r="O206" s="411"/>
      <c r="P206" s="411"/>
      <c r="Q206" s="411"/>
      <c r="R206" s="411"/>
      <c r="S206" s="411"/>
      <c r="T206" s="411"/>
      <c r="U206" s="411"/>
      <c r="V206" s="411"/>
      <c r="W206" s="411"/>
      <c r="X206" s="411"/>
      <c r="Y206" s="411"/>
      <c r="Z206" s="411"/>
      <c r="AA206" s="411"/>
      <c r="AB206" s="411"/>
      <c r="AC206" s="400"/>
      <c r="AD206" s="408"/>
      <c r="AE206" s="408"/>
      <c r="AF206" s="412"/>
      <c r="AG206" s="405">
        <v>42859</v>
      </c>
      <c r="AH206" s="406">
        <v>0.46045138888888887</v>
      </c>
    </row>
    <row r="207" spans="1:34" ht="15.75" customHeight="1">
      <c r="A207" s="413">
        <v>198</v>
      </c>
      <c r="B207" s="414"/>
      <c r="C207" s="415"/>
      <c r="D207" s="411"/>
      <c r="E207" s="411"/>
      <c r="F207" s="411"/>
      <c r="G207" s="411"/>
      <c r="H207" s="411"/>
      <c r="I207" s="411"/>
      <c r="J207" s="411"/>
      <c r="K207" s="411"/>
      <c r="L207" s="411"/>
      <c r="M207" s="411"/>
      <c r="N207" s="411"/>
      <c r="O207" s="411"/>
      <c r="P207" s="411"/>
      <c r="Q207" s="411"/>
      <c r="R207" s="411"/>
      <c r="S207" s="411"/>
      <c r="T207" s="411"/>
      <c r="U207" s="411"/>
      <c r="V207" s="411"/>
      <c r="W207" s="411"/>
      <c r="X207" s="411"/>
      <c r="Y207" s="411"/>
      <c r="Z207" s="411"/>
      <c r="AA207" s="411"/>
      <c r="AB207" s="411"/>
      <c r="AC207" s="400"/>
      <c r="AD207" s="408"/>
      <c r="AE207" s="408"/>
      <c r="AF207" s="412"/>
      <c r="AG207" s="405">
        <v>42859</v>
      </c>
      <c r="AH207" s="406">
        <v>0.46055555555555555</v>
      </c>
    </row>
    <row r="208" spans="1:34" ht="15.75" customHeight="1">
      <c r="A208" s="413">
        <v>199</v>
      </c>
      <c r="B208" s="414"/>
      <c r="C208" s="415"/>
      <c r="D208" s="411"/>
      <c r="E208" s="411"/>
      <c r="F208" s="411"/>
      <c r="G208" s="411"/>
      <c r="H208" s="411"/>
      <c r="I208" s="411"/>
      <c r="J208" s="411"/>
      <c r="K208" s="411"/>
      <c r="L208" s="411"/>
      <c r="M208" s="411"/>
      <c r="N208" s="411"/>
      <c r="O208" s="411"/>
      <c r="P208" s="411"/>
      <c r="Q208" s="411"/>
      <c r="R208" s="411"/>
      <c r="S208" s="411"/>
      <c r="T208" s="411"/>
      <c r="U208" s="411"/>
      <c r="V208" s="411"/>
      <c r="W208" s="411"/>
      <c r="X208" s="411"/>
      <c r="Y208" s="411"/>
      <c r="Z208" s="411"/>
      <c r="AA208" s="411"/>
      <c r="AB208" s="411"/>
      <c r="AC208" s="400"/>
      <c r="AD208" s="408"/>
      <c r="AE208" s="408"/>
      <c r="AF208" s="412"/>
      <c r="AG208" s="405">
        <v>42859</v>
      </c>
      <c r="AH208" s="406">
        <v>0.46107638888888891</v>
      </c>
    </row>
    <row r="209" spans="1:34" ht="15.75" customHeight="1">
      <c r="A209" s="413">
        <v>200</v>
      </c>
      <c r="B209" s="414"/>
      <c r="C209" s="415"/>
      <c r="D209" s="411"/>
      <c r="E209" s="411"/>
      <c r="F209" s="411"/>
      <c r="G209" s="411"/>
      <c r="H209" s="411"/>
      <c r="I209" s="411"/>
      <c r="J209" s="411"/>
      <c r="K209" s="411"/>
      <c r="L209" s="411"/>
      <c r="M209" s="411"/>
      <c r="N209" s="411"/>
      <c r="O209" s="411"/>
      <c r="P209" s="411"/>
      <c r="Q209" s="411"/>
      <c r="R209" s="411"/>
      <c r="S209" s="411"/>
      <c r="T209" s="411"/>
      <c r="U209" s="411"/>
      <c r="V209" s="411"/>
      <c r="W209" s="411"/>
      <c r="X209" s="411"/>
      <c r="Y209" s="411"/>
      <c r="Z209" s="411"/>
      <c r="AA209" s="411"/>
      <c r="AB209" s="411"/>
      <c r="AC209" s="400"/>
      <c r="AD209" s="408"/>
      <c r="AE209" s="408"/>
      <c r="AF209" s="412"/>
      <c r="AG209" s="405">
        <v>42859</v>
      </c>
      <c r="AH209" s="406">
        <v>0.46233796296296298</v>
      </c>
    </row>
    <row r="210" spans="1:34" ht="15.75" customHeight="1">
      <c r="A210" s="413">
        <v>201</v>
      </c>
      <c r="B210" s="414"/>
      <c r="C210" s="415"/>
      <c r="D210" s="411"/>
      <c r="E210" s="411"/>
      <c r="F210" s="411"/>
      <c r="G210" s="411"/>
      <c r="H210" s="411"/>
      <c r="I210" s="411"/>
      <c r="J210" s="411"/>
      <c r="K210" s="411"/>
      <c r="L210" s="411"/>
      <c r="M210" s="411"/>
      <c r="N210" s="411"/>
      <c r="O210" s="411"/>
      <c r="P210" s="411"/>
      <c r="Q210" s="411"/>
      <c r="R210" s="411"/>
      <c r="S210" s="411"/>
      <c r="T210" s="411"/>
      <c r="U210" s="411"/>
      <c r="V210" s="411"/>
      <c r="W210" s="411"/>
      <c r="X210" s="411"/>
      <c r="Y210" s="411"/>
      <c r="Z210" s="411"/>
      <c r="AA210" s="411"/>
      <c r="AB210" s="411"/>
      <c r="AC210" s="400"/>
      <c r="AD210" s="408"/>
      <c r="AE210" s="408"/>
      <c r="AF210" s="412"/>
      <c r="AG210" s="405">
        <v>42859</v>
      </c>
      <c r="AH210" s="406">
        <v>0.46306712962962965</v>
      </c>
    </row>
    <row r="211" spans="1:34" ht="15.75" customHeight="1">
      <c r="A211" s="413">
        <v>202</v>
      </c>
      <c r="B211" s="414"/>
      <c r="C211" s="415"/>
      <c r="D211" s="411"/>
      <c r="E211" s="411"/>
      <c r="F211" s="411"/>
      <c r="G211" s="411"/>
      <c r="H211" s="411"/>
      <c r="I211" s="411"/>
      <c r="J211" s="411"/>
      <c r="K211" s="411"/>
      <c r="L211" s="411"/>
      <c r="M211" s="411"/>
      <c r="N211" s="411"/>
      <c r="O211" s="411"/>
      <c r="P211" s="411"/>
      <c r="Q211" s="411"/>
      <c r="R211" s="411"/>
      <c r="S211" s="411"/>
      <c r="T211" s="411"/>
      <c r="U211" s="411"/>
      <c r="V211" s="411"/>
      <c r="W211" s="411"/>
      <c r="X211" s="411"/>
      <c r="Y211" s="411"/>
      <c r="Z211" s="411"/>
      <c r="AA211" s="411"/>
      <c r="AB211" s="411"/>
      <c r="AC211" s="400"/>
      <c r="AD211" s="408"/>
      <c r="AE211" s="408"/>
      <c r="AF211" s="412"/>
      <c r="AG211" s="405">
        <v>42859</v>
      </c>
      <c r="AH211" s="406">
        <v>0.46334490740740741</v>
      </c>
    </row>
    <row r="212" spans="1:34" ht="15.75" customHeight="1">
      <c r="A212" s="413">
        <v>203</v>
      </c>
      <c r="B212" s="414"/>
      <c r="C212" s="415"/>
      <c r="D212" s="411"/>
      <c r="E212" s="411"/>
      <c r="F212" s="411"/>
      <c r="G212" s="411"/>
      <c r="H212" s="411"/>
      <c r="I212" s="411"/>
      <c r="J212" s="411"/>
      <c r="K212" s="411"/>
      <c r="L212" s="411"/>
      <c r="M212" s="411"/>
      <c r="N212" s="411"/>
      <c r="O212" s="411"/>
      <c r="P212" s="411"/>
      <c r="Q212" s="411"/>
      <c r="R212" s="411"/>
      <c r="S212" s="411"/>
      <c r="T212" s="411"/>
      <c r="U212" s="411"/>
      <c r="V212" s="411"/>
      <c r="W212" s="411"/>
      <c r="X212" s="411"/>
      <c r="Y212" s="411"/>
      <c r="Z212" s="411"/>
      <c r="AA212" s="411"/>
      <c r="AB212" s="411"/>
      <c r="AC212" s="400"/>
      <c r="AD212" s="408"/>
      <c r="AE212" s="408"/>
      <c r="AF212" s="412"/>
      <c r="AG212" s="405">
        <v>42859</v>
      </c>
      <c r="AH212" s="406">
        <v>0.46359953703703699</v>
      </c>
    </row>
    <row r="213" spans="1:34" ht="15.75" customHeight="1">
      <c r="A213" s="413">
        <v>204</v>
      </c>
      <c r="B213" s="414"/>
      <c r="C213" s="415"/>
      <c r="D213" s="411"/>
      <c r="E213" s="411"/>
      <c r="F213" s="411"/>
      <c r="G213" s="411"/>
      <c r="H213" s="411"/>
      <c r="I213" s="411"/>
      <c r="J213" s="411"/>
      <c r="K213" s="411"/>
      <c r="L213" s="411"/>
      <c r="M213" s="411"/>
      <c r="N213" s="411"/>
      <c r="O213" s="411"/>
      <c r="P213" s="411"/>
      <c r="Q213" s="411"/>
      <c r="R213" s="411"/>
      <c r="S213" s="411"/>
      <c r="T213" s="411"/>
      <c r="U213" s="411"/>
      <c r="V213" s="411"/>
      <c r="W213" s="411"/>
      <c r="X213" s="411"/>
      <c r="Y213" s="411"/>
      <c r="Z213" s="411"/>
      <c r="AA213" s="411"/>
      <c r="AB213" s="411"/>
      <c r="AC213" s="400"/>
      <c r="AD213" s="408"/>
      <c r="AE213" s="408"/>
      <c r="AF213" s="412"/>
      <c r="AG213" s="405">
        <v>42859</v>
      </c>
      <c r="AH213" s="406">
        <v>0.46371527777777777</v>
      </c>
    </row>
    <row r="214" spans="1:34" ht="15.75" customHeight="1">
      <c r="A214" s="413">
        <v>205</v>
      </c>
      <c r="B214" s="414"/>
      <c r="C214" s="415"/>
      <c r="D214" s="411"/>
      <c r="E214" s="411"/>
      <c r="F214" s="411"/>
      <c r="G214" s="411"/>
      <c r="H214" s="411"/>
      <c r="I214" s="411"/>
      <c r="J214" s="411"/>
      <c r="K214" s="411"/>
      <c r="L214" s="411"/>
      <c r="M214" s="411"/>
      <c r="N214" s="411"/>
      <c r="O214" s="411"/>
      <c r="P214" s="411"/>
      <c r="Q214" s="411"/>
      <c r="R214" s="411"/>
      <c r="S214" s="411"/>
      <c r="T214" s="411"/>
      <c r="U214" s="411"/>
      <c r="V214" s="411"/>
      <c r="W214" s="411"/>
      <c r="X214" s="411"/>
      <c r="Y214" s="411"/>
      <c r="Z214" s="411"/>
      <c r="AA214" s="411"/>
      <c r="AB214" s="411"/>
      <c r="AC214" s="400"/>
      <c r="AD214" s="408"/>
      <c r="AE214" s="408"/>
      <c r="AF214" s="412"/>
      <c r="AG214" s="405">
        <v>42859</v>
      </c>
      <c r="AH214" s="406">
        <v>0.46508101851851852</v>
      </c>
    </row>
    <row r="215" spans="1:34" ht="15.75" customHeight="1">
      <c r="A215" s="413">
        <v>206</v>
      </c>
      <c r="B215" s="414"/>
      <c r="C215" s="415"/>
      <c r="D215" s="411"/>
      <c r="E215" s="411"/>
      <c r="F215" s="411"/>
      <c r="G215" s="411"/>
      <c r="H215" s="411"/>
      <c r="I215" s="411"/>
      <c r="J215" s="411"/>
      <c r="K215" s="411"/>
      <c r="L215" s="411"/>
      <c r="M215" s="411"/>
      <c r="N215" s="411"/>
      <c r="O215" s="411"/>
      <c r="P215" s="411"/>
      <c r="Q215" s="411"/>
      <c r="R215" s="411"/>
      <c r="S215" s="411"/>
      <c r="T215" s="411"/>
      <c r="U215" s="411"/>
      <c r="V215" s="411"/>
      <c r="W215" s="411"/>
      <c r="X215" s="411"/>
      <c r="Y215" s="411"/>
      <c r="Z215" s="411"/>
      <c r="AA215" s="411"/>
      <c r="AB215" s="411"/>
      <c r="AC215" s="400"/>
      <c r="AD215" s="408"/>
      <c r="AE215" s="408"/>
      <c r="AF215" s="412"/>
      <c r="AG215" s="405">
        <v>42859</v>
      </c>
      <c r="AH215" s="406">
        <v>0.46571759259259254</v>
      </c>
    </row>
    <row r="216" spans="1:34" ht="15.75" customHeight="1">
      <c r="A216" s="413">
        <v>207</v>
      </c>
      <c r="B216" s="414"/>
      <c r="C216" s="415"/>
      <c r="D216" s="411"/>
      <c r="E216" s="411"/>
      <c r="F216" s="411"/>
      <c r="G216" s="411"/>
      <c r="H216" s="411"/>
      <c r="I216" s="411"/>
      <c r="J216" s="411"/>
      <c r="K216" s="411"/>
      <c r="L216" s="411"/>
      <c r="M216" s="411"/>
      <c r="N216" s="411"/>
      <c r="O216" s="411"/>
      <c r="P216" s="411"/>
      <c r="Q216" s="411"/>
      <c r="R216" s="411"/>
      <c r="S216" s="411"/>
      <c r="T216" s="411"/>
      <c r="U216" s="411"/>
      <c r="V216" s="411"/>
      <c r="W216" s="411"/>
      <c r="X216" s="411"/>
      <c r="Y216" s="411"/>
      <c r="Z216" s="411"/>
      <c r="AA216" s="411"/>
      <c r="AB216" s="411"/>
      <c r="AC216" s="400"/>
      <c r="AD216" s="408"/>
      <c r="AE216" s="408"/>
      <c r="AF216" s="412"/>
      <c r="AG216" s="405">
        <v>42859</v>
      </c>
      <c r="AH216" s="406">
        <v>0.46597222222222223</v>
      </c>
    </row>
    <row r="217" spans="1:34" ht="15.75" customHeight="1">
      <c r="A217" s="413">
        <v>208</v>
      </c>
      <c r="B217" s="414"/>
      <c r="C217" s="415"/>
      <c r="D217" s="411"/>
      <c r="E217" s="411"/>
      <c r="F217" s="411"/>
      <c r="G217" s="411"/>
      <c r="H217" s="411"/>
      <c r="I217" s="411"/>
      <c r="J217" s="411"/>
      <c r="K217" s="411"/>
      <c r="L217" s="411"/>
      <c r="M217" s="411"/>
      <c r="N217" s="411"/>
      <c r="O217" s="411"/>
      <c r="P217" s="411"/>
      <c r="Q217" s="411"/>
      <c r="R217" s="411"/>
      <c r="S217" s="411"/>
      <c r="T217" s="411"/>
      <c r="U217" s="411"/>
      <c r="V217" s="411"/>
      <c r="W217" s="411"/>
      <c r="X217" s="411"/>
      <c r="Y217" s="411"/>
      <c r="Z217" s="411"/>
      <c r="AA217" s="411"/>
      <c r="AB217" s="411"/>
      <c r="AC217" s="400"/>
      <c r="AD217" s="408"/>
      <c r="AE217" s="408"/>
      <c r="AF217" s="412"/>
      <c r="AG217" s="405">
        <v>42859</v>
      </c>
      <c r="AH217" s="406">
        <v>0.46635416666666668</v>
      </c>
    </row>
    <row r="218" spans="1:34" ht="15.75" customHeight="1">
      <c r="A218" s="413">
        <v>209</v>
      </c>
      <c r="B218" s="414"/>
      <c r="C218" s="415"/>
      <c r="D218" s="411"/>
      <c r="E218" s="411"/>
      <c r="F218" s="411"/>
      <c r="G218" s="411"/>
      <c r="H218" s="411"/>
      <c r="I218" s="411"/>
      <c r="J218" s="411"/>
      <c r="K218" s="411"/>
      <c r="L218" s="411"/>
      <c r="M218" s="411"/>
      <c r="N218" s="411"/>
      <c r="O218" s="411"/>
      <c r="P218" s="411"/>
      <c r="Q218" s="411"/>
      <c r="R218" s="411"/>
      <c r="S218" s="411"/>
      <c r="T218" s="411"/>
      <c r="U218" s="411"/>
      <c r="V218" s="411"/>
      <c r="W218" s="411"/>
      <c r="X218" s="411"/>
      <c r="Y218" s="411"/>
      <c r="Z218" s="411"/>
      <c r="AA218" s="411"/>
      <c r="AB218" s="411"/>
      <c r="AC218" s="400"/>
      <c r="AD218" s="408"/>
      <c r="AE218" s="408"/>
      <c r="AF218" s="412"/>
      <c r="AG218" s="405">
        <v>42859</v>
      </c>
      <c r="AH218" s="406">
        <v>0.46666666666666662</v>
      </c>
    </row>
    <row r="219" spans="1:34" ht="15.75" customHeight="1">
      <c r="A219" s="413">
        <v>210</v>
      </c>
      <c r="B219" s="414"/>
      <c r="C219" s="415"/>
      <c r="D219" s="411"/>
      <c r="E219" s="411"/>
      <c r="F219" s="411"/>
      <c r="G219" s="411"/>
      <c r="H219" s="411"/>
      <c r="I219" s="411"/>
      <c r="J219" s="411"/>
      <c r="K219" s="411"/>
      <c r="L219" s="411"/>
      <c r="M219" s="411"/>
      <c r="N219" s="411"/>
      <c r="O219" s="411"/>
      <c r="P219" s="411"/>
      <c r="Q219" s="411"/>
      <c r="R219" s="411"/>
      <c r="S219" s="411"/>
      <c r="T219" s="411"/>
      <c r="U219" s="411"/>
      <c r="V219" s="411"/>
      <c r="W219" s="411"/>
      <c r="X219" s="411"/>
      <c r="Y219" s="411"/>
      <c r="Z219" s="411"/>
      <c r="AA219" s="411"/>
      <c r="AB219" s="411"/>
      <c r="AC219" s="400"/>
      <c r="AD219" s="408"/>
      <c r="AE219" s="408"/>
      <c r="AF219" s="412"/>
      <c r="AG219" s="405">
        <v>42859</v>
      </c>
      <c r="AH219" s="406">
        <v>0.46689814814814817</v>
      </c>
    </row>
    <row r="220" spans="1:34" ht="15.75" customHeight="1">
      <c r="A220" s="413">
        <v>211</v>
      </c>
      <c r="B220" s="414"/>
      <c r="C220" s="415"/>
      <c r="D220" s="411"/>
      <c r="E220" s="411"/>
      <c r="F220" s="411"/>
      <c r="G220" s="411"/>
      <c r="H220" s="411"/>
      <c r="I220" s="411"/>
      <c r="J220" s="411"/>
      <c r="K220" s="411"/>
      <c r="L220" s="411"/>
      <c r="M220" s="411"/>
      <c r="N220" s="411"/>
      <c r="O220" s="411"/>
      <c r="P220" s="411"/>
      <c r="Q220" s="411"/>
      <c r="R220" s="411"/>
      <c r="S220" s="411"/>
      <c r="T220" s="411"/>
      <c r="U220" s="411"/>
      <c r="V220" s="411"/>
      <c r="W220" s="411"/>
      <c r="X220" s="411"/>
      <c r="Y220" s="411"/>
      <c r="Z220" s="411"/>
      <c r="AA220" s="411"/>
      <c r="AB220" s="411"/>
      <c r="AC220" s="400"/>
      <c r="AD220" s="408"/>
      <c r="AE220" s="408"/>
      <c r="AF220" s="412"/>
      <c r="AG220" s="405">
        <v>42859</v>
      </c>
      <c r="AH220" s="406">
        <v>0.46709490740740739</v>
      </c>
    </row>
    <row r="221" spans="1:34" ht="15.75" customHeight="1">
      <c r="A221" s="413">
        <v>212</v>
      </c>
      <c r="B221" s="414"/>
      <c r="C221" s="415"/>
      <c r="D221" s="411"/>
      <c r="E221" s="411"/>
      <c r="F221" s="411"/>
      <c r="G221" s="411"/>
      <c r="H221" s="411"/>
      <c r="I221" s="411"/>
      <c r="J221" s="411"/>
      <c r="K221" s="411"/>
      <c r="L221" s="411"/>
      <c r="M221" s="411"/>
      <c r="N221" s="411"/>
      <c r="O221" s="411"/>
      <c r="P221" s="411"/>
      <c r="Q221" s="411"/>
      <c r="R221" s="411"/>
      <c r="S221" s="411"/>
      <c r="T221" s="411"/>
      <c r="U221" s="411"/>
      <c r="V221" s="411"/>
      <c r="W221" s="411"/>
      <c r="X221" s="411"/>
      <c r="Y221" s="411"/>
      <c r="Z221" s="411"/>
      <c r="AA221" s="411"/>
      <c r="AB221" s="411"/>
      <c r="AC221" s="400"/>
      <c r="AD221" s="408"/>
      <c r="AE221" s="408"/>
      <c r="AF221" s="412"/>
      <c r="AG221" s="405">
        <v>42859</v>
      </c>
      <c r="AH221" s="406">
        <v>0.4676967592592593</v>
      </c>
    </row>
    <row r="222" spans="1:34" ht="15.75" customHeight="1">
      <c r="A222" s="413">
        <v>213</v>
      </c>
      <c r="B222" s="414"/>
      <c r="C222" s="415"/>
      <c r="D222" s="411"/>
      <c r="E222" s="411"/>
      <c r="F222" s="411"/>
      <c r="G222" s="411"/>
      <c r="H222" s="411"/>
      <c r="I222" s="411"/>
      <c r="J222" s="411"/>
      <c r="K222" s="411"/>
      <c r="L222" s="411"/>
      <c r="M222" s="411"/>
      <c r="N222" s="411"/>
      <c r="O222" s="411"/>
      <c r="P222" s="411"/>
      <c r="Q222" s="411"/>
      <c r="R222" s="411"/>
      <c r="S222" s="411"/>
      <c r="T222" s="411"/>
      <c r="U222" s="411"/>
      <c r="V222" s="411"/>
      <c r="W222" s="411"/>
      <c r="X222" s="411"/>
      <c r="Y222" s="411"/>
      <c r="Z222" s="411"/>
      <c r="AA222" s="411"/>
      <c r="AB222" s="411"/>
      <c r="AC222" s="400"/>
      <c r="AD222" s="408"/>
      <c r="AE222" s="408"/>
      <c r="AF222" s="412"/>
      <c r="AG222" s="405">
        <v>42859</v>
      </c>
      <c r="AH222" s="406">
        <v>0.4677546296296296</v>
      </c>
    </row>
    <row r="223" spans="1:34" ht="15.75" customHeight="1">
      <c r="A223" s="413">
        <v>214</v>
      </c>
      <c r="B223" s="414"/>
      <c r="C223" s="415"/>
      <c r="D223" s="411"/>
      <c r="E223" s="411"/>
      <c r="F223" s="411"/>
      <c r="G223" s="411"/>
      <c r="H223" s="411"/>
      <c r="I223" s="411"/>
      <c r="J223" s="411"/>
      <c r="K223" s="411"/>
      <c r="L223" s="411"/>
      <c r="M223" s="411"/>
      <c r="N223" s="411"/>
      <c r="O223" s="411"/>
      <c r="P223" s="411"/>
      <c r="Q223" s="411"/>
      <c r="R223" s="411"/>
      <c r="S223" s="411"/>
      <c r="T223" s="411"/>
      <c r="U223" s="411"/>
      <c r="V223" s="411"/>
      <c r="W223" s="411"/>
      <c r="X223" s="411"/>
      <c r="Y223" s="411"/>
      <c r="Z223" s="411"/>
      <c r="AA223" s="411"/>
      <c r="AB223" s="411"/>
      <c r="AC223" s="400"/>
      <c r="AD223" s="408"/>
      <c r="AE223" s="408"/>
      <c r="AF223" s="412"/>
      <c r="AG223" s="405">
        <v>42859</v>
      </c>
      <c r="AH223" s="406">
        <v>0.46780092592592593</v>
      </c>
    </row>
    <row r="224" spans="1:34" ht="15.75" customHeight="1">
      <c r="A224" s="413">
        <v>215</v>
      </c>
      <c r="B224" s="414"/>
      <c r="C224" s="415"/>
      <c r="D224" s="411"/>
      <c r="E224" s="411"/>
      <c r="F224" s="411"/>
      <c r="G224" s="411"/>
      <c r="H224" s="411"/>
      <c r="I224" s="411"/>
      <c r="J224" s="411"/>
      <c r="K224" s="411"/>
      <c r="L224" s="411"/>
      <c r="M224" s="411"/>
      <c r="N224" s="411"/>
      <c r="O224" s="411"/>
      <c r="P224" s="411"/>
      <c r="Q224" s="411"/>
      <c r="R224" s="411"/>
      <c r="S224" s="411"/>
      <c r="T224" s="411"/>
      <c r="U224" s="411"/>
      <c r="V224" s="411"/>
      <c r="W224" s="411"/>
      <c r="X224" s="411"/>
      <c r="Y224" s="411"/>
      <c r="Z224" s="411"/>
      <c r="AA224" s="411"/>
      <c r="AB224" s="411"/>
      <c r="AC224" s="400"/>
      <c r="AD224" s="408"/>
      <c r="AE224" s="408"/>
      <c r="AF224" s="412"/>
      <c r="AG224" s="405">
        <v>42859</v>
      </c>
      <c r="AH224" s="406">
        <v>0.46785879629629629</v>
      </c>
    </row>
    <row r="225" spans="1:34" ht="15.75" customHeight="1">
      <c r="A225" s="413">
        <v>216</v>
      </c>
      <c r="B225" s="414"/>
      <c r="C225" s="415"/>
      <c r="D225" s="411"/>
      <c r="E225" s="411"/>
      <c r="F225" s="411"/>
      <c r="G225" s="411"/>
      <c r="H225" s="411"/>
      <c r="I225" s="411"/>
      <c r="J225" s="411"/>
      <c r="K225" s="411"/>
      <c r="L225" s="411"/>
      <c r="M225" s="411"/>
      <c r="N225" s="411"/>
      <c r="O225" s="411"/>
      <c r="P225" s="411"/>
      <c r="Q225" s="411"/>
      <c r="R225" s="411"/>
      <c r="S225" s="411"/>
      <c r="T225" s="411"/>
      <c r="U225" s="411"/>
      <c r="V225" s="411"/>
      <c r="W225" s="411"/>
      <c r="X225" s="411"/>
      <c r="Y225" s="411"/>
      <c r="Z225" s="411"/>
      <c r="AA225" s="411"/>
      <c r="AB225" s="411"/>
      <c r="AC225" s="400"/>
      <c r="AD225" s="408"/>
      <c r="AE225" s="408"/>
      <c r="AF225" s="412"/>
      <c r="AG225" s="405">
        <v>42859</v>
      </c>
      <c r="AH225" s="406">
        <v>0.4679166666666667</v>
      </c>
    </row>
    <row r="226" spans="1:34" ht="15.75" customHeight="1">
      <c r="A226" s="413">
        <v>217</v>
      </c>
      <c r="B226" s="414"/>
      <c r="C226" s="415"/>
      <c r="D226" s="411"/>
      <c r="E226" s="411"/>
      <c r="F226" s="411"/>
      <c r="G226" s="411"/>
      <c r="H226" s="411"/>
      <c r="I226" s="411"/>
      <c r="J226" s="411"/>
      <c r="K226" s="411"/>
      <c r="L226" s="411"/>
      <c r="M226" s="411"/>
      <c r="N226" s="411"/>
      <c r="O226" s="411"/>
      <c r="P226" s="411"/>
      <c r="Q226" s="411"/>
      <c r="R226" s="411"/>
      <c r="S226" s="411"/>
      <c r="T226" s="411"/>
      <c r="U226" s="411"/>
      <c r="V226" s="411"/>
      <c r="W226" s="411"/>
      <c r="X226" s="411"/>
      <c r="Y226" s="411"/>
      <c r="Z226" s="411"/>
      <c r="AA226" s="411"/>
      <c r="AB226" s="411"/>
      <c r="AC226" s="400"/>
      <c r="AD226" s="408"/>
      <c r="AE226" s="408"/>
      <c r="AF226" s="412"/>
      <c r="AG226" s="405">
        <v>42859</v>
      </c>
      <c r="AH226" s="406">
        <v>0.46804398148148146</v>
      </c>
    </row>
    <row r="227" spans="1:34" ht="15.75" customHeight="1">
      <c r="A227" s="413">
        <v>218</v>
      </c>
      <c r="B227" s="414"/>
      <c r="C227" s="415"/>
      <c r="D227" s="411"/>
      <c r="E227" s="411"/>
      <c r="F227" s="411"/>
      <c r="G227" s="411"/>
      <c r="H227" s="411"/>
      <c r="I227" s="411"/>
      <c r="J227" s="411"/>
      <c r="K227" s="411"/>
      <c r="L227" s="411"/>
      <c r="M227" s="411"/>
      <c r="N227" s="411"/>
      <c r="O227" s="411"/>
      <c r="P227" s="411"/>
      <c r="Q227" s="411"/>
      <c r="R227" s="411"/>
      <c r="S227" s="411"/>
      <c r="T227" s="411"/>
      <c r="U227" s="411"/>
      <c r="V227" s="411"/>
      <c r="W227" s="411"/>
      <c r="X227" s="411"/>
      <c r="Y227" s="411"/>
      <c r="Z227" s="411"/>
      <c r="AA227" s="411"/>
      <c r="AB227" s="411"/>
      <c r="AC227" s="400"/>
      <c r="AD227" s="408"/>
      <c r="AE227" s="408"/>
      <c r="AF227" s="412"/>
      <c r="AG227" s="405">
        <v>42859</v>
      </c>
      <c r="AH227" s="406">
        <v>0.47156250000000005</v>
      </c>
    </row>
    <row r="228" spans="1:34" ht="15.75" customHeight="1">
      <c r="A228" s="413">
        <v>219</v>
      </c>
      <c r="B228" s="414"/>
      <c r="C228" s="415"/>
      <c r="D228" s="411"/>
      <c r="E228" s="411"/>
      <c r="F228" s="411"/>
      <c r="G228" s="411"/>
      <c r="H228" s="411"/>
      <c r="I228" s="411"/>
      <c r="J228" s="411"/>
      <c r="K228" s="411"/>
      <c r="L228" s="411"/>
      <c r="M228" s="411"/>
      <c r="N228" s="411"/>
      <c r="O228" s="411"/>
      <c r="P228" s="411"/>
      <c r="Q228" s="411"/>
      <c r="R228" s="411"/>
      <c r="S228" s="411"/>
      <c r="T228" s="411"/>
      <c r="U228" s="411"/>
      <c r="V228" s="411"/>
      <c r="W228" s="411"/>
      <c r="X228" s="411"/>
      <c r="Y228" s="411"/>
      <c r="Z228" s="411"/>
      <c r="AA228" s="411"/>
      <c r="AB228" s="411"/>
      <c r="AC228" s="400"/>
      <c r="AD228" s="408"/>
      <c r="AE228" s="408"/>
      <c r="AF228" s="412"/>
      <c r="AG228" s="405">
        <v>42859</v>
      </c>
      <c r="AH228" s="406">
        <v>0.47226851851851853</v>
      </c>
    </row>
    <row r="229" spans="1:34" ht="15.75" customHeight="1">
      <c r="A229" s="413">
        <v>220</v>
      </c>
      <c r="B229" s="414"/>
      <c r="C229" s="415"/>
      <c r="D229" s="411"/>
      <c r="E229" s="411"/>
      <c r="F229" s="411"/>
      <c r="G229" s="411"/>
      <c r="H229" s="411"/>
      <c r="I229" s="411"/>
      <c r="J229" s="411"/>
      <c r="K229" s="411"/>
      <c r="L229" s="411"/>
      <c r="M229" s="411"/>
      <c r="N229" s="411"/>
      <c r="O229" s="411"/>
      <c r="P229" s="411"/>
      <c r="Q229" s="411"/>
      <c r="R229" s="411"/>
      <c r="S229" s="411"/>
      <c r="T229" s="411"/>
      <c r="U229" s="411"/>
      <c r="V229" s="411"/>
      <c r="W229" s="411"/>
      <c r="X229" s="411"/>
      <c r="Y229" s="411"/>
      <c r="Z229" s="411"/>
      <c r="AA229" s="411"/>
      <c r="AB229" s="411"/>
      <c r="AC229" s="400"/>
      <c r="AD229" s="408"/>
      <c r="AE229" s="408"/>
      <c r="AF229" s="412"/>
      <c r="AG229" s="405">
        <v>42859</v>
      </c>
      <c r="AH229" s="406">
        <v>0.47266203703703707</v>
      </c>
    </row>
    <row r="230" spans="1:34" ht="15.75" customHeight="1">
      <c r="A230" s="413">
        <v>221</v>
      </c>
      <c r="B230" s="414"/>
      <c r="C230" s="415"/>
      <c r="D230" s="411"/>
      <c r="E230" s="411"/>
      <c r="F230" s="411"/>
      <c r="G230" s="411"/>
      <c r="H230" s="411"/>
      <c r="I230" s="411"/>
      <c r="J230" s="411"/>
      <c r="K230" s="411"/>
      <c r="L230" s="411"/>
      <c r="M230" s="411"/>
      <c r="N230" s="411"/>
      <c r="O230" s="411"/>
      <c r="P230" s="411"/>
      <c r="Q230" s="411"/>
      <c r="R230" s="411"/>
      <c r="S230" s="411"/>
      <c r="T230" s="411"/>
      <c r="U230" s="411"/>
      <c r="V230" s="411"/>
      <c r="W230" s="411"/>
      <c r="X230" s="411"/>
      <c r="Y230" s="411"/>
      <c r="Z230" s="411"/>
      <c r="AA230" s="411"/>
      <c r="AB230" s="411"/>
      <c r="AC230" s="400"/>
      <c r="AD230" s="408"/>
      <c r="AE230" s="408"/>
      <c r="AF230" s="412"/>
      <c r="AG230" s="405">
        <v>42859</v>
      </c>
      <c r="AH230" s="406">
        <v>0.47271990740740738</v>
      </c>
    </row>
    <row r="231" spans="1:34" ht="15.75" customHeight="1">
      <c r="A231" s="413">
        <v>222</v>
      </c>
      <c r="B231" s="414"/>
      <c r="C231" s="415"/>
      <c r="D231" s="411"/>
      <c r="E231" s="411"/>
      <c r="F231" s="411"/>
      <c r="G231" s="411"/>
      <c r="H231" s="411"/>
      <c r="I231" s="411"/>
      <c r="J231" s="411"/>
      <c r="K231" s="411"/>
      <c r="L231" s="411"/>
      <c r="M231" s="411"/>
      <c r="N231" s="411"/>
      <c r="O231" s="411"/>
      <c r="P231" s="411"/>
      <c r="Q231" s="411"/>
      <c r="R231" s="411"/>
      <c r="S231" s="411"/>
      <c r="T231" s="411"/>
      <c r="U231" s="411"/>
      <c r="V231" s="411"/>
      <c r="W231" s="411"/>
      <c r="X231" s="411"/>
      <c r="Y231" s="411"/>
      <c r="Z231" s="411"/>
      <c r="AA231" s="411"/>
      <c r="AB231" s="411"/>
      <c r="AC231" s="400"/>
      <c r="AD231" s="408"/>
      <c r="AE231" s="408"/>
      <c r="AF231" s="412"/>
      <c r="AG231" s="405">
        <v>42859</v>
      </c>
      <c r="AH231" s="406">
        <v>0.47278935185185184</v>
      </c>
    </row>
    <row r="232" spans="1:34" ht="15.75" customHeight="1">
      <c r="A232" s="413">
        <v>223</v>
      </c>
      <c r="B232" s="414"/>
      <c r="C232" s="415"/>
      <c r="D232" s="411"/>
      <c r="E232" s="411"/>
      <c r="F232" s="411"/>
      <c r="G232" s="411"/>
      <c r="H232" s="411"/>
      <c r="I232" s="411"/>
      <c r="J232" s="411"/>
      <c r="K232" s="411"/>
      <c r="L232" s="411"/>
      <c r="M232" s="411"/>
      <c r="N232" s="411"/>
      <c r="O232" s="411"/>
      <c r="P232" s="411"/>
      <c r="Q232" s="411"/>
      <c r="R232" s="411"/>
      <c r="S232" s="411"/>
      <c r="T232" s="411"/>
      <c r="U232" s="411"/>
      <c r="V232" s="411"/>
      <c r="W232" s="411"/>
      <c r="X232" s="411"/>
      <c r="Y232" s="411"/>
      <c r="Z232" s="411"/>
      <c r="AA232" s="411"/>
      <c r="AB232" s="411"/>
      <c r="AC232" s="400"/>
      <c r="AD232" s="408"/>
      <c r="AE232" s="408"/>
      <c r="AF232" s="412"/>
      <c r="AG232" s="405">
        <v>42859</v>
      </c>
      <c r="AH232" s="406">
        <v>0.47287037037037033</v>
      </c>
    </row>
    <row r="233" spans="1:34" ht="15.75" customHeight="1">
      <c r="A233" s="413">
        <v>224</v>
      </c>
      <c r="B233" s="414"/>
      <c r="C233" s="415"/>
      <c r="D233" s="411"/>
      <c r="E233" s="411"/>
      <c r="F233" s="411"/>
      <c r="G233" s="411"/>
      <c r="H233" s="411"/>
      <c r="I233" s="411"/>
      <c r="J233" s="411"/>
      <c r="K233" s="411"/>
      <c r="L233" s="411"/>
      <c r="M233" s="411"/>
      <c r="N233" s="411"/>
      <c r="O233" s="411"/>
      <c r="P233" s="411"/>
      <c r="Q233" s="411"/>
      <c r="R233" s="411"/>
      <c r="S233" s="411"/>
      <c r="T233" s="411"/>
      <c r="U233" s="411"/>
      <c r="V233" s="411"/>
      <c r="W233" s="411"/>
      <c r="X233" s="411"/>
      <c r="Y233" s="411"/>
      <c r="Z233" s="411"/>
      <c r="AA233" s="411"/>
      <c r="AB233" s="411"/>
      <c r="AC233" s="400"/>
      <c r="AD233" s="408"/>
      <c r="AE233" s="408"/>
      <c r="AF233" s="412"/>
      <c r="AG233" s="405">
        <v>42859</v>
      </c>
      <c r="AH233" s="406">
        <v>0.47318287037037038</v>
      </c>
    </row>
    <row r="234" spans="1:34" ht="15.75" customHeight="1">
      <c r="A234" s="413">
        <v>225</v>
      </c>
      <c r="B234" s="414"/>
      <c r="C234" s="415"/>
      <c r="D234" s="411"/>
      <c r="E234" s="411"/>
      <c r="F234" s="411"/>
      <c r="G234" s="411"/>
      <c r="H234" s="411"/>
      <c r="I234" s="411"/>
      <c r="J234" s="411"/>
      <c r="K234" s="411"/>
      <c r="L234" s="411"/>
      <c r="M234" s="411"/>
      <c r="N234" s="411"/>
      <c r="O234" s="411"/>
      <c r="P234" s="411"/>
      <c r="Q234" s="411"/>
      <c r="R234" s="411"/>
      <c r="S234" s="411"/>
      <c r="T234" s="411"/>
      <c r="U234" s="411"/>
      <c r="V234" s="411"/>
      <c r="W234" s="411"/>
      <c r="X234" s="411"/>
      <c r="Y234" s="411"/>
      <c r="Z234" s="411"/>
      <c r="AA234" s="411"/>
      <c r="AB234" s="411"/>
      <c r="AC234" s="400"/>
      <c r="AD234" s="408"/>
      <c r="AE234" s="408"/>
      <c r="AF234" s="412"/>
      <c r="AG234" s="405">
        <v>42859</v>
      </c>
      <c r="AH234" s="406">
        <v>0.47324074074074068</v>
      </c>
    </row>
    <row r="235" spans="1:34" ht="15.75" customHeight="1">
      <c r="A235" s="413">
        <v>226</v>
      </c>
      <c r="B235" s="414"/>
      <c r="C235" s="415"/>
      <c r="D235" s="411"/>
      <c r="E235" s="411"/>
      <c r="F235" s="411"/>
      <c r="G235" s="411"/>
      <c r="H235" s="411"/>
      <c r="I235" s="411"/>
      <c r="J235" s="411"/>
      <c r="K235" s="411"/>
      <c r="L235" s="411"/>
      <c r="M235" s="411"/>
      <c r="N235" s="411"/>
      <c r="O235" s="411"/>
      <c r="P235" s="411"/>
      <c r="Q235" s="411"/>
      <c r="R235" s="411"/>
      <c r="S235" s="411"/>
      <c r="T235" s="411"/>
      <c r="U235" s="411"/>
      <c r="V235" s="411"/>
      <c r="W235" s="411"/>
      <c r="X235" s="411"/>
      <c r="Y235" s="411"/>
      <c r="Z235" s="411"/>
      <c r="AA235" s="411"/>
      <c r="AB235" s="411"/>
      <c r="AC235" s="400"/>
      <c r="AD235" s="408"/>
      <c r="AE235" s="408"/>
      <c r="AF235" s="412"/>
      <c r="AG235" s="405">
        <v>42859</v>
      </c>
      <c r="AH235" s="406">
        <v>0.47332175925925929</v>
      </c>
    </row>
    <row r="236" spans="1:34" ht="15.75" customHeight="1">
      <c r="A236" s="413">
        <v>227</v>
      </c>
      <c r="B236" s="414"/>
      <c r="C236" s="415"/>
      <c r="D236" s="411"/>
      <c r="E236" s="411"/>
      <c r="F236" s="411"/>
      <c r="G236" s="411"/>
      <c r="H236" s="411"/>
      <c r="I236" s="411"/>
      <c r="J236" s="411"/>
      <c r="K236" s="411"/>
      <c r="L236" s="411"/>
      <c r="M236" s="411"/>
      <c r="N236" s="411"/>
      <c r="O236" s="411"/>
      <c r="P236" s="411"/>
      <c r="Q236" s="411"/>
      <c r="R236" s="411"/>
      <c r="S236" s="411"/>
      <c r="T236" s="411"/>
      <c r="U236" s="411"/>
      <c r="V236" s="411"/>
      <c r="W236" s="411"/>
      <c r="X236" s="411"/>
      <c r="Y236" s="411"/>
      <c r="Z236" s="411"/>
      <c r="AA236" s="411"/>
      <c r="AB236" s="411"/>
      <c r="AC236" s="400"/>
      <c r="AD236" s="408"/>
      <c r="AE236" s="408"/>
      <c r="AF236" s="412"/>
      <c r="AG236" s="405">
        <v>42859</v>
      </c>
      <c r="AH236" s="406">
        <v>0.47530092592592593</v>
      </c>
    </row>
    <row r="237" spans="1:34" ht="15.75" customHeight="1">
      <c r="A237" s="413">
        <v>228</v>
      </c>
      <c r="B237" s="414"/>
      <c r="C237" s="415"/>
      <c r="D237" s="411"/>
      <c r="E237" s="411"/>
      <c r="F237" s="411"/>
      <c r="G237" s="411"/>
      <c r="H237" s="411"/>
      <c r="I237" s="411"/>
      <c r="J237" s="411"/>
      <c r="K237" s="411"/>
      <c r="L237" s="411"/>
      <c r="M237" s="411"/>
      <c r="N237" s="411"/>
      <c r="O237" s="411"/>
      <c r="P237" s="411"/>
      <c r="Q237" s="411"/>
      <c r="R237" s="411"/>
      <c r="S237" s="411"/>
      <c r="T237" s="411"/>
      <c r="U237" s="411"/>
      <c r="V237" s="411"/>
      <c r="W237" s="411"/>
      <c r="X237" s="411"/>
      <c r="Y237" s="411"/>
      <c r="Z237" s="411"/>
      <c r="AA237" s="411"/>
      <c r="AB237" s="411"/>
      <c r="AC237" s="400"/>
      <c r="AD237" s="408"/>
      <c r="AE237" s="408"/>
      <c r="AF237" s="412"/>
      <c r="AG237" s="405">
        <v>42859</v>
      </c>
      <c r="AH237" s="406">
        <v>0.47535879629629635</v>
      </c>
    </row>
    <row r="238" spans="1:34" ht="15.75" customHeight="1">
      <c r="A238" s="413">
        <v>229</v>
      </c>
      <c r="B238" s="414"/>
      <c r="C238" s="415"/>
      <c r="D238" s="411"/>
      <c r="E238" s="411"/>
      <c r="F238" s="411"/>
      <c r="G238" s="411"/>
      <c r="H238" s="411"/>
      <c r="I238" s="411"/>
      <c r="J238" s="411"/>
      <c r="K238" s="411"/>
      <c r="L238" s="411"/>
      <c r="M238" s="411"/>
      <c r="N238" s="411"/>
      <c r="O238" s="411"/>
      <c r="P238" s="411"/>
      <c r="Q238" s="411"/>
      <c r="R238" s="411"/>
      <c r="S238" s="411"/>
      <c r="T238" s="411"/>
      <c r="U238" s="411"/>
      <c r="V238" s="411"/>
      <c r="W238" s="411"/>
      <c r="X238" s="411"/>
      <c r="Y238" s="411"/>
      <c r="Z238" s="411"/>
      <c r="AA238" s="411"/>
      <c r="AB238" s="411"/>
      <c r="AC238" s="400"/>
      <c r="AD238" s="408"/>
      <c r="AE238" s="408"/>
      <c r="AF238" s="412"/>
      <c r="AG238" s="405">
        <v>42859</v>
      </c>
      <c r="AH238" s="406">
        <v>0.47549768518518515</v>
      </c>
    </row>
    <row r="239" spans="1:34" ht="15.75" customHeight="1">
      <c r="A239" s="413">
        <v>230</v>
      </c>
      <c r="B239" s="414"/>
      <c r="C239" s="415"/>
      <c r="D239" s="411"/>
      <c r="E239" s="411"/>
      <c r="F239" s="411"/>
      <c r="G239" s="411"/>
      <c r="H239" s="411"/>
      <c r="I239" s="411"/>
      <c r="J239" s="411"/>
      <c r="K239" s="411"/>
      <c r="L239" s="411"/>
      <c r="M239" s="411"/>
      <c r="N239" s="411"/>
      <c r="O239" s="411"/>
      <c r="P239" s="411"/>
      <c r="Q239" s="411"/>
      <c r="R239" s="411"/>
      <c r="S239" s="411"/>
      <c r="T239" s="411"/>
      <c r="U239" s="411"/>
      <c r="V239" s="411"/>
      <c r="W239" s="411"/>
      <c r="X239" s="411"/>
      <c r="Y239" s="411"/>
      <c r="Z239" s="411"/>
      <c r="AA239" s="411"/>
      <c r="AB239" s="411"/>
      <c r="AC239" s="400"/>
      <c r="AD239" s="408"/>
      <c r="AE239" s="408"/>
      <c r="AF239" s="412"/>
      <c r="AG239" s="405">
        <v>42859</v>
      </c>
      <c r="AH239" s="406">
        <v>0.47687499999999999</v>
      </c>
    </row>
    <row r="240" spans="1:34" ht="15.75" customHeight="1">
      <c r="A240" s="413">
        <v>231</v>
      </c>
      <c r="B240" s="414"/>
      <c r="C240" s="415"/>
      <c r="D240" s="411"/>
      <c r="E240" s="411"/>
      <c r="F240" s="411"/>
      <c r="G240" s="411"/>
      <c r="H240" s="411"/>
      <c r="I240" s="411"/>
      <c r="J240" s="411"/>
      <c r="K240" s="411"/>
      <c r="L240" s="411"/>
      <c r="M240" s="411"/>
      <c r="N240" s="411"/>
      <c r="O240" s="411"/>
      <c r="P240" s="411"/>
      <c r="Q240" s="411"/>
      <c r="R240" s="411"/>
      <c r="S240" s="411"/>
      <c r="T240" s="411"/>
      <c r="U240" s="411"/>
      <c r="V240" s="411"/>
      <c r="W240" s="411"/>
      <c r="X240" s="411"/>
      <c r="Y240" s="411"/>
      <c r="Z240" s="411"/>
      <c r="AA240" s="411"/>
      <c r="AB240" s="411"/>
      <c r="AC240" s="400"/>
      <c r="AD240" s="408"/>
      <c r="AE240" s="408"/>
      <c r="AF240" s="412"/>
      <c r="AG240" s="405">
        <v>42859</v>
      </c>
      <c r="AH240" s="406">
        <v>0.47711805555555559</v>
      </c>
    </row>
    <row r="241" spans="1:34" ht="15.75" customHeight="1">
      <c r="A241" s="413">
        <v>232</v>
      </c>
      <c r="B241" s="414"/>
      <c r="C241" s="415"/>
      <c r="D241" s="411"/>
      <c r="E241" s="411"/>
      <c r="F241" s="411"/>
      <c r="G241" s="411"/>
      <c r="H241" s="411"/>
      <c r="I241" s="411"/>
      <c r="J241" s="411"/>
      <c r="K241" s="411"/>
      <c r="L241" s="411"/>
      <c r="M241" s="411"/>
      <c r="N241" s="411"/>
      <c r="O241" s="411"/>
      <c r="P241" s="411"/>
      <c r="Q241" s="411"/>
      <c r="R241" s="411"/>
      <c r="S241" s="411"/>
      <c r="T241" s="411"/>
      <c r="U241" s="411"/>
      <c r="V241" s="411"/>
      <c r="W241" s="411"/>
      <c r="X241" s="411"/>
      <c r="Y241" s="411"/>
      <c r="Z241" s="411"/>
      <c r="AA241" s="411"/>
      <c r="AB241" s="411"/>
      <c r="AC241" s="400"/>
      <c r="AD241" s="408"/>
      <c r="AE241" s="408"/>
      <c r="AF241" s="412"/>
      <c r="AG241" s="405">
        <v>42859</v>
      </c>
      <c r="AH241" s="406">
        <v>0.47722222222222221</v>
      </c>
    </row>
    <row r="242" spans="1:34" ht="15.75" customHeight="1">
      <c r="A242" s="413">
        <v>233</v>
      </c>
      <c r="B242" s="414"/>
      <c r="C242" s="415"/>
      <c r="D242" s="411"/>
      <c r="E242" s="411"/>
      <c r="F242" s="411"/>
      <c r="G242" s="411"/>
      <c r="H242" s="411"/>
      <c r="I242" s="411"/>
      <c r="J242" s="411"/>
      <c r="K242" s="411"/>
      <c r="L242" s="411"/>
      <c r="M242" s="411"/>
      <c r="N242" s="411"/>
      <c r="O242" s="411"/>
      <c r="P242" s="411"/>
      <c r="Q242" s="411"/>
      <c r="R242" s="411"/>
      <c r="S242" s="411"/>
      <c r="T242" s="411"/>
      <c r="U242" s="411"/>
      <c r="V242" s="411"/>
      <c r="W242" s="411"/>
      <c r="X242" s="411"/>
      <c r="Y242" s="411"/>
      <c r="Z242" s="411"/>
      <c r="AA242" s="411"/>
      <c r="AB242" s="411"/>
      <c r="AC242" s="400"/>
      <c r="AD242" s="408"/>
      <c r="AE242" s="408"/>
      <c r="AF242" s="412"/>
      <c r="AG242" s="405">
        <v>42859</v>
      </c>
      <c r="AH242" s="406">
        <v>0.47980324074074071</v>
      </c>
    </row>
    <row r="243" spans="1:34" ht="15.75" customHeight="1">
      <c r="A243" s="413">
        <v>234</v>
      </c>
      <c r="B243" s="414"/>
      <c r="C243" s="415"/>
      <c r="D243" s="411"/>
      <c r="E243" s="411"/>
      <c r="F243" s="411"/>
      <c r="G243" s="411"/>
      <c r="H243" s="411"/>
      <c r="I243" s="411"/>
      <c r="J243" s="411"/>
      <c r="K243" s="411"/>
      <c r="L243" s="411"/>
      <c r="M243" s="411"/>
      <c r="N243" s="411"/>
      <c r="O243" s="411"/>
      <c r="P243" s="411"/>
      <c r="Q243" s="411"/>
      <c r="R243" s="411"/>
      <c r="S243" s="411"/>
      <c r="T243" s="411"/>
      <c r="U243" s="411"/>
      <c r="V243" s="411"/>
      <c r="W243" s="411"/>
      <c r="X243" s="411"/>
      <c r="Y243" s="411"/>
      <c r="Z243" s="411"/>
      <c r="AA243" s="411"/>
      <c r="AB243" s="411"/>
      <c r="AC243" s="400"/>
      <c r="AD243" s="408"/>
      <c r="AE243" s="408"/>
      <c r="AF243" s="412"/>
      <c r="AG243" s="405">
        <v>42859</v>
      </c>
      <c r="AH243" s="406">
        <v>0.48018518518518521</v>
      </c>
    </row>
    <row r="244" spans="1:34" ht="15.75" customHeight="1">
      <c r="A244" s="413">
        <v>235</v>
      </c>
      <c r="B244" s="414"/>
      <c r="C244" s="415"/>
      <c r="D244" s="411"/>
      <c r="E244" s="411"/>
      <c r="F244" s="411"/>
      <c r="G244" s="411"/>
      <c r="H244" s="411"/>
      <c r="I244" s="411"/>
      <c r="J244" s="411"/>
      <c r="K244" s="411"/>
      <c r="L244" s="411"/>
      <c r="M244" s="411"/>
      <c r="N244" s="411"/>
      <c r="O244" s="411"/>
      <c r="P244" s="411"/>
      <c r="Q244" s="411"/>
      <c r="R244" s="411"/>
      <c r="S244" s="411"/>
      <c r="T244" s="411"/>
      <c r="U244" s="411"/>
      <c r="V244" s="411"/>
      <c r="W244" s="411"/>
      <c r="X244" s="411"/>
      <c r="Y244" s="411"/>
      <c r="Z244" s="411"/>
      <c r="AA244" s="411"/>
      <c r="AB244" s="411"/>
      <c r="AC244" s="400"/>
      <c r="AD244" s="408"/>
      <c r="AE244" s="408"/>
      <c r="AF244" s="412"/>
      <c r="AG244" s="405">
        <v>42859</v>
      </c>
      <c r="AH244" s="406">
        <v>0.48042824074074075</v>
      </c>
    </row>
    <row r="245" spans="1:34" ht="15.75" customHeight="1">
      <c r="A245" s="413">
        <v>236</v>
      </c>
      <c r="B245" s="414"/>
      <c r="C245" s="415"/>
      <c r="D245" s="411"/>
      <c r="E245" s="411"/>
      <c r="F245" s="411"/>
      <c r="G245" s="411"/>
      <c r="H245" s="411"/>
      <c r="I245" s="411"/>
      <c r="J245" s="411"/>
      <c r="K245" s="411"/>
      <c r="L245" s="411"/>
      <c r="M245" s="411"/>
      <c r="N245" s="411"/>
      <c r="O245" s="411"/>
      <c r="P245" s="411"/>
      <c r="Q245" s="411"/>
      <c r="R245" s="411"/>
      <c r="S245" s="411"/>
      <c r="T245" s="411"/>
      <c r="U245" s="411"/>
      <c r="V245" s="411"/>
      <c r="W245" s="411"/>
      <c r="X245" s="411"/>
      <c r="Y245" s="411"/>
      <c r="Z245" s="411"/>
      <c r="AA245" s="411"/>
      <c r="AB245" s="411"/>
      <c r="AC245" s="400"/>
      <c r="AD245" s="408"/>
      <c r="AE245" s="408"/>
      <c r="AF245" s="412"/>
      <c r="AG245" s="405">
        <v>42859</v>
      </c>
      <c r="AH245" s="406">
        <v>0.48069444444444448</v>
      </c>
    </row>
    <row r="246" spans="1:34" ht="15.75" customHeight="1">
      <c r="A246" s="413">
        <v>237</v>
      </c>
      <c r="B246" s="414"/>
      <c r="C246" s="415"/>
      <c r="D246" s="411"/>
      <c r="E246" s="411"/>
      <c r="F246" s="411"/>
      <c r="G246" s="411"/>
      <c r="H246" s="411"/>
      <c r="I246" s="411"/>
      <c r="J246" s="411"/>
      <c r="K246" s="411"/>
      <c r="L246" s="411"/>
      <c r="M246" s="411"/>
      <c r="N246" s="411"/>
      <c r="O246" s="411"/>
      <c r="P246" s="411"/>
      <c r="Q246" s="411"/>
      <c r="R246" s="411"/>
      <c r="S246" s="411"/>
      <c r="T246" s="411"/>
      <c r="U246" s="411"/>
      <c r="V246" s="411"/>
      <c r="W246" s="411"/>
      <c r="X246" s="411"/>
      <c r="Y246" s="411"/>
      <c r="Z246" s="411"/>
      <c r="AA246" s="411"/>
      <c r="AB246" s="411"/>
      <c r="AC246" s="400"/>
      <c r="AD246" s="408"/>
      <c r="AE246" s="408"/>
      <c r="AF246" s="412"/>
      <c r="AG246" s="405">
        <v>42859</v>
      </c>
      <c r="AH246" s="406">
        <v>0.48097222222222219</v>
      </c>
    </row>
    <row r="247" spans="1:34" ht="15.75" customHeight="1">
      <c r="A247" s="413">
        <v>238</v>
      </c>
      <c r="B247" s="414"/>
      <c r="C247" s="415"/>
      <c r="D247" s="411"/>
      <c r="E247" s="411"/>
      <c r="F247" s="411"/>
      <c r="G247" s="411"/>
      <c r="H247" s="411"/>
      <c r="I247" s="411"/>
      <c r="J247" s="411"/>
      <c r="K247" s="411"/>
      <c r="L247" s="411"/>
      <c r="M247" s="411"/>
      <c r="N247" s="411"/>
      <c r="O247" s="411"/>
      <c r="P247" s="411"/>
      <c r="Q247" s="411"/>
      <c r="R247" s="411"/>
      <c r="S247" s="411"/>
      <c r="T247" s="411"/>
      <c r="U247" s="411"/>
      <c r="V247" s="411"/>
      <c r="W247" s="411"/>
      <c r="X247" s="411"/>
      <c r="Y247" s="411"/>
      <c r="Z247" s="411"/>
      <c r="AA247" s="411"/>
      <c r="AB247" s="411"/>
      <c r="AC247" s="400"/>
      <c r="AD247" s="408"/>
      <c r="AE247" s="408"/>
      <c r="AF247" s="412"/>
      <c r="AG247" s="405">
        <v>42859</v>
      </c>
      <c r="AH247" s="406">
        <v>0.48118055555555556</v>
      </c>
    </row>
    <row r="248" spans="1:34" ht="15.75" customHeight="1">
      <c r="A248" s="413">
        <v>239</v>
      </c>
      <c r="B248" s="414"/>
      <c r="C248" s="415"/>
      <c r="D248" s="411"/>
      <c r="E248" s="411"/>
      <c r="F248" s="411"/>
      <c r="G248" s="411"/>
      <c r="H248" s="411"/>
      <c r="I248" s="411"/>
      <c r="J248" s="411"/>
      <c r="K248" s="411"/>
      <c r="L248" s="411"/>
      <c r="M248" s="411"/>
      <c r="N248" s="411"/>
      <c r="O248" s="411"/>
      <c r="P248" s="411"/>
      <c r="Q248" s="411"/>
      <c r="R248" s="411"/>
      <c r="S248" s="411"/>
      <c r="T248" s="411"/>
      <c r="U248" s="411"/>
      <c r="V248" s="411"/>
      <c r="W248" s="411"/>
      <c r="X248" s="411"/>
      <c r="Y248" s="411"/>
      <c r="Z248" s="411"/>
      <c r="AA248" s="411"/>
      <c r="AB248" s="411"/>
      <c r="AC248" s="400"/>
      <c r="AD248" s="408"/>
      <c r="AE248" s="408"/>
      <c r="AF248" s="412"/>
      <c r="AG248" s="405">
        <v>42859</v>
      </c>
      <c r="AH248" s="406">
        <v>0.48142361111111115</v>
      </c>
    </row>
    <row r="249" spans="1:34" ht="15.75" customHeight="1">
      <c r="A249" s="413">
        <v>240</v>
      </c>
      <c r="B249" s="414"/>
      <c r="C249" s="415"/>
      <c r="D249" s="411"/>
      <c r="E249" s="411"/>
      <c r="F249" s="411"/>
      <c r="G249" s="411"/>
      <c r="H249" s="411"/>
      <c r="I249" s="411"/>
      <c r="J249" s="411"/>
      <c r="K249" s="411"/>
      <c r="L249" s="411"/>
      <c r="M249" s="411"/>
      <c r="N249" s="411"/>
      <c r="O249" s="411"/>
      <c r="P249" s="411"/>
      <c r="Q249" s="411"/>
      <c r="R249" s="411"/>
      <c r="S249" s="411"/>
      <c r="T249" s="411"/>
      <c r="U249" s="411"/>
      <c r="V249" s="411"/>
      <c r="W249" s="411"/>
      <c r="X249" s="411"/>
      <c r="Y249" s="411"/>
      <c r="Z249" s="411"/>
      <c r="AA249" s="411"/>
      <c r="AB249" s="411"/>
      <c r="AC249" s="400"/>
      <c r="AD249" s="408"/>
      <c r="AE249" s="408"/>
      <c r="AF249" s="412"/>
      <c r="AG249" s="405">
        <v>42859</v>
      </c>
      <c r="AH249" s="406">
        <v>0.48153935185185182</v>
      </c>
    </row>
    <row r="250" spans="1:34" ht="15.75" customHeight="1">
      <c r="A250" s="413">
        <v>241</v>
      </c>
      <c r="B250" s="414"/>
      <c r="C250" s="415"/>
      <c r="D250" s="411"/>
      <c r="E250" s="411"/>
      <c r="F250" s="411"/>
      <c r="G250" s="411"/>
      <c r="H250" s="411"/>
      <c r="I250" s="411"/>
      <c r="J250" s="411"/>
      <c r="K250" s="411"/>
      <c r="L250" s="411"/>
      <c r="M250" s="411"/>
      <c r="N250" s="411"/>
      <c r="O250" s="411"/>
      <c r="P250" s="411"/>
      <c r="Q250" s="411"/>
      <c r="R250" s="411"/>
      <c r="S250" s="411"/>
      <c r="T250" s="411"/>
      <c r="U250" s="411"/>
      <c r="V250" s="411"/>
      <c r="W250" s="411"/>
      <c r="X250" s="411"/>
      <c r="Y250" s="411"/>
      <c r="Z250" s="411"/>
      <c r="AA250" s="411"/>
      <c r="AB250" s="411"/>
      <c r="AC250" s="400"/>
      <c r="AD250" s="408"/>
      <c r="AE250" s="408"/>
      <c r="AF250" s="412"/>
      <c r="AG250" s="405">
        <v>42859</v>
      </c>
      <c r="AH250" s="406">
        <v>0.48177083333333331</v>
      </c>
    </row>
    <row r="251" spans="1:34" ht="15.75" customHeight="1">
      <c r="A251" s="413">
        <v>242</v>
      </c>
      <c r="B251" s="414"/>
      <c r="C251" s="415"/>
      <c r="D251" s="411"/>
      <c r="E251" s="411"/>
      <c r="F251" s="411"/>
      <c r="G251" s="411"/>
      <c r="H251" s="411"/>
      <c r="I251" s="411"/>
      <c r="J251" s="411"/>
      <c r="K251" s="411"/>
      <c r="L251" s="411"/>
      <c r="M251" s="411"/>
      <c r="N251" s="411"/>
      <c r="O251" s="411"/>
      <c r="P251" s="411"/>
      <c r="Q251" s="411"/>
      <c r="R251" s="411"/>
      <c r="S251" s="411"/>
      <c r="T251" s="411"/>
      <c r="U251" s="411"/>
      <c r="V251" s="411"/>
      <c r="W251" s="411"/>
      <c r="X251" s="411"/>
      <c r="Y251" s="411"/>
      <c r="Z251" s="411"/>
      <c r="AA251" s="411"/>
      <c r="AB251" s="411"/>
      <c r="AC251" s="400"/>
      <c r="AD251" s="408"/>
      <c r="AE251" s="408"/>
      <c r="AF251" s="412"/>
      <c r="AG251" s="405">
        <v>42859</v>
      </c>
      <c r="AH251" s="406">
        <v>0.48201388888888891</v>
      </c>
    </row>
    <row r="252" spans="1:34" ht="15.75" customHeight="1">
      <c r="A252" s="413">
        <v>243</v>
      </c>
      <c r="B252" s="414"/>
      <c r="C252" s="415"/>
      <c r="D252" s="411"/>
      <c r="E252" s="411"/>
      <c r="F252" s="411"/>
      <c r="G252" s="411"/>
      <c r="H252" s="411"/>
      <c r="I252" s="411"/>
      <c r="J252" s="411"/>
      <c r="K252" s="411"/>
      <c r="L252" s="411"/>
      <c r="M252" s="411"/>
      <c r="N252" s="411"/>
      <c r="O252" s="411"/>
      <c r="P252" s="411"/>
      <c r="Q252" s="411"/>
      <c r="R252" s="411"/>
      <c r="S252" s="411"/>
      <c r="T252" s="411"/>
      <c r="U252" s="411"/>
      <c r="V252" s="411"/>
      <c r="W252" s="411"/>
      <c r="X252" s="411"/>
      <c r="Y252" s="411"/>
      <c r="Z252" s="411"/>
      <c r="AA252" s="411"/>
      <c r="AB252" s="411"/>
      <c r="AC252" s="400"/>
      <c r="AD252" s="408"/>
      <c r="AE252" s="408"/>
      <c r="AF252" s="412"/>
      <c r="AG252" s="405">
        <v>42859</v>
      </c>
      <c r="AH252" s="406">
        <v>0.48364583333333333</v>
      </c>
    </row>
    <row r="253" spans="1:34" ht="15.75" customHeight="1">
      <c r="A253" s="413">
        <v>244</v>
      </c>
      <c r="B253" s="414"/>
      <c r="C253" s="415"/>
      <c r="D253" s="411"/>
      <c r="E253" s="411"/>
      <c r="F253" s="411"/>
      <c r="G253" s="411"/>
      <c r="H253" s="411"/>
      <c r="I253" s="411"/>
      <c r="J253" s="411"/>
      <c r="K253" s="411"/>
      <c r="L253" s="411"/>
      <c r="M253" s="411"/>
      <c r="N253" s="411"/>
      <c r="O253" s="411"/>
      <c r="P253" s="411"/>
      <c r="Q253" s="411"/>
      <c r="R253" s="411"/>
      <c r="S253" s="411"/>
      <c r="T253" s="411"/>
      <c r="U253" s="411"/>
      <c r="V253" s="411"/>
      <c r="W253" s="411"/>
      <c r="X253" s="411"/>
      <c r="Y253" s="411"/>
      <c r="Z253" s="411"/>
      <c r="AA253" s="411"/>
      <c r="AB253" s="411"/>
      <c r="AC253" s="400"/>
      <c r="AD253" s="408"/>
      <c r="AE253" s="408"/>
      <c r="AF253" s="412"/>
      <c r="AG253" s="405">
        <v>42859</v>
      </c>
      <c r="AH253" s="406">
        <v>0.48504629629629631</v>
      </c>
    </row>
    <row r="254" spans="1:34" ht="15.75" customHeight="1">
      <c r="A254" s="413">
        <v>245</v>
      </c>
      <c r="B254" s="414"/>
      <c r="C254" s="415"/>
      <c r="D254" s="411"/>
      <c r="E254" s="411"/>
      <c r="F254" s="411"/>
      <c r="G254" s="411"/>
      <c r="H254" s="411"/>
      <c r="I254" s="411"/>
      <c r="J254" s="411"/>
      <c r="K254" s="411"/>
      <c r="L254" s="411"/>
      <c r="M254" s="411"/>
      <c r="N254" s="411"/>
      <c r="O254" s="411"/>
      <c r="P254" s="411"/>
      <c r="Q254" s="411"/>
      <c r="R254" s="411"/>
      <c r="S254" s="411"/>
      <c r="T254" s="411"/>
      <c r="U254" s="411"/>
      <c r="V254" s="411"/>
      <c r="W254" s="411"/>
      <c r="X254" s="411"/>
      <c r="Y254" s="411"/>
      <c r="Z254" s="411"/>
      <c r="AA254" s="411"/>
      <c r="AB254" s="411"/>
      <c r="AC254" s="400"/>
      <c r="AD254" s="408"/>
      <c r="AE254" s="408"/>
      <c r="AF254" s="412"/>
      <c r="AG254" s="405">
        <v>42859</v>
      </c>
      <c r="AH254" s="406">
        <v>0.48571759259259256</v>
      </c>
    </row>
    <row r="255" spans="1:34" ht="15.75" customHeight="1">
      <c r="A255" s="413">
        <v>246</v>
      </c>
      <c r="B255" s="414"/>
      <c r="C255" s="415"/>
      <c r="D255" s="411"/>
      <c r="E255" s="411"/>
      <c r="F255" s="411"/>
      <c r="G255" s="411"/>
      <c r="H255" s="411"/>
      <c r="I255" s="411"/>
      <c r="J255" s="411"/>
      <c r="K255" s="411"/>
      <c r="L255" s="411"/>
      <c r="M255" s="411"/>
      <c r="N255" s="411"/>
      <c r="O255" s="411"/>
      <c r="P255" s="411"/>
      <c r="Q255" s="411"/>
      <c r="R255" s="411"/>
      <c r="S255" s="411"/>
      <c r="T255" s="411"/>
      <c r="U255" s="411"/>
      <c r="V255" s="411"/>
      <c r="W255" s="411"/>
      <c r="X255" s="411"/>
      <c r="Y255" s="411"/>
      <c r="Z255" s="411"/>
      <c r="AA255" s="411"/>
      <c r="AB255" s="411"/>
      <c r="AC255" s="400"/>
      <c r="AD255" s="408"/>
      <c r="AE255" s="408"/>
      <c r="AF255" s="412"/>
      <c r="AG255" s="405">
        <v>42859</v>
      </c>
      <c r="AH255" s="406">
        <v>0.48710648148148145</v>
      </c>
    </row>
    <row r="256" spans="1:34" ht="15.75" customHeight="1">
      <c r="A256" s="413">
        <v>247</v>
      </c>
      <c r="B256" s="414"/>
      <c r="C256" s="415"/>
      <c r="D256" s="411"/>
      <c r="E256" s="411"/>
      <c r="F256" s="411"/>
      <c r="G256" s="411"/>
      <c r="H256" s="411"/>
      <c r="I256" s="411"/>
      <c r="J256" s="411"/>
      <c r="K256" s="411"/>
      <c r="L256" s="411"/>
      <c r="M256" s="411"/>
      <c r="N256" s="411"/>
      <c r="O256" s="411"/>
      <c r="P256" s="411"/>
      <c r="Q256" s="411"/>
      <c r="R256" s="411"/>
      <c r="S256" s="411"/>
      <c r="T256" s="411"/>
      <c r="U256" s="411"/>
      <c r="V256" s="411"/>
      <c r="W256" s="411"/>
      <c r="X256" s="411"/>
      <c r="Y256" s="411"/>
      <c r="Z256" s="411"/>
      <c r="AA256" s="411"/>
      <c r="AB256" s="411"/>
      <c r="AC256" s="400"/>
      <c r="AD256" s="408"/>
      <c r="AE256" s="408"/>
      <c r="AF256" s="412"/>
      <c r="AG256" s="405">
        <v>42859</v>
      </c>
      <c r="AH256" s="406">
        <v>0.4872569444444444</v>
      </c>
    </row>
    <row r="257" spans="1:34" ht="15.75" customHeight="1">
      <c r="A257" s="413">
        <v>248</v>
      </c>
      <c r="B257" s="414"/>
      <c r="C257" s="415"/>
      <c r="D257" s="411"/>
      <c r="E257" s="411"/>
      <c r="F257" s="411"/>
      <c r="G257" s="411"/>
      <c r="H257" s="411"/>
      <c r="I257" s="411"/>
      <c r="J257" s="411"/>
      <c r="K257" s="411"/>
      <c r="L257" s="411"/>
      <c r="M257" s="411"/>
      <c r="N257" s="411"/>
      <c r="O257" s="411"/>
      <c r="P257" s="411"/>
      <c r="Q257" s="411"/>
      <c r="R257" s="411"/>
      <c r="S257" s="411"/>
      <c r="T257" s="411"/>
      <c r="U257" s="411"/>
      <c r="V257" s="411"/>
      <c r="W257" s="411"/>
      <c r="X257" s="411"/>
      <c r="Y257" s="411"/>
      <c r="Z257" s="411"/>
      <c r="AA257" s="411"/>
      <c r="AB257" s="411"/>
      <c r="AC257" s="400"/>
      <c r="AD257" s="408"/>
      <c r="AE257" s="408"/>
      <c r="AF257" s="412"/>
      <c r="AG257" s="405">
        <v>42859</v>
      </c>
      <c r="AH257" s="406">
        <v>0.48875000000000002</v>
      </c>
    </row>
    <row r="258" spans="1:34" ht="15.75" customHeight="1">
      <c r="A258" s="413">
        <v>249</v>
      </c>
      <c r="B258" s="414"/>
      <c r="C258" s="415"/>
      <c r="D258" s="411"/>
      <c r="E258" s="411"/>
      <c r="F258" s="411"/>
      <c r="G258" s="411"/>
      <c r="H258" s="411"/>
      <c r="I258" s="411"/>
      <c r="J258" s="411"/>
      <c r="K258" s="411"/>
      <c r="L258" s="411"/>
      <c r="M258" s="411"/>
      <c r="N258" s="411"/>
      <c r="O258" s="411"/>
      <c r="P258" s="411"/>
      <c r="Q258" s="411"/>
      <c r="R258" s="411"/>
      <c r="S258" s="411"/>
      <c r="T258" s="411"/>
      <c r="U258" s="411"/>
      <c r="V258" s="411"/>
      <c r="W258" s="411"/>
      <c r="X258" s="411"/>
      <c r="Y258" s="411"/>
      <c r="Z258" s="411"/>
      <c r="AA258" s="411"/>
      <c r="AB258" s="411"/>
      <c r="AC258" s="400"/>
      <c r="AD258" s="408"/>
      <c r="AE258" s="408"/>
      <c r="AF258" s="412"/>
      <c r="AG258" s="405">
        <v>42865</v>
      </c>
      <c r="AH258" s="406">
        <v>0.9067708333333333</v>
      </c>
    </row>
    <row r="259" spans="1:34" ht="15.75" customHeight="1">
      <c r="A259" s="413"/>
      <c r="B259" s="414"/>
      <c r="C259" s="415"/>
      <c r="D259" s="411"/>
      <c r="E259" s="411"/>
      <c r="F259" s="411"/>
      <c r="G259" s="411"/>
      <c r="H259" s="411"/>
      <c r="I259" s="411"/>
      <c r="J259" s="411"/>
      <c r="K259" s="411"/>
      <c r="L259" s="411"/>
      <c r="M259" s="411"/>
      <c r="N259" s="411"/>
      <c r="O259" s="411"/>
      <c r="P259" s="411"/>
      <c r="Q259" s="411"/>
      <c r="R259" s="411"/>
      <c r="S259" s="411"/>
      <c r="T259" s="411"/>
      <c r="U259" s="411"/>
      <c r="V259" s="411"/>
      <c r="W259" s="411"/>
      <c r="X259" s="411"/>
      <c r="Y259" s="411"/>
      <c r="Z259" s="411"/>
      <c r="AA259" s="411"/>
      <c r="AB259" s="411"/>
      <c r="AC259" s="400"/>
      <c r="AD259" s="408"/>
      <c r="AE259" s="408"/>
      <c r="AF259" s="412"/>
      <c r="AG259" s="405"/>
      <c r="AH259" s="406"/>
    </row>
    <row r="260" spans="1:34" ht="15.75" customHeight="1">
      <c r="A260" s="413"/>
      <c r="B260" s="414"/>
      <c r="C260" s="415"/>
      <c r="D260" s="411"/>
      <c r="E260" s="411"/>
      <c r="F260" s="411"/>
      <c r="G260" s="411"/>
      <c r="H260" s="411"/>
      <c r="I260" s="411"/>
      <c r="J260" s="411"/>
      <c r="K260" s="411"/>
      <c r="L260" s="411"/>
      <c r="M260" s="411"/>
      <c r="N260" s="411"/>
      <c r="O260" s="411"/>
      <c r="P260" s="411"/>
      <c r="Q260" s="411"/>
      <c r="R260" s="411"/>
      <c r="S260" s="411"/>
      <c r="T260" s="411"/>
      <c r="U260" s="411"/>
      <c r="V260" s="411"/>
      <c r="W260" s="411"/>
      <c r="X260" s="411"/>
      <c r="Y260" s="411"/>
      <c r="Z260" s="411"/>
      <c r="AA260" s="411"/>
      <c r="AB260" s="411"/>
      <c r="AC260" s="400"/>
      <c r="AD260" s="408"/>
      <c r="AE260" s="408"/>
      <c r="AF260" s="412"/>
      <c r="AG260" s="405"/>
      <c r="AH260" s="406"/>
    </row>
    <row r="261" spans="1:34" ht="15.75" customHeight="1">
      <c r="A261" s="413"/>
      <c r="B261" s="414"/>
      <c r="C261" s="415"/>
      <c r="D261" s="411"/>
      <c r="E261" s="411"/>
      <c r="F261" s="411"/>
      <c r="G261" s="411"/>
      <c r="H261" s="411"/>
      <c r="I261" s="411"/>
      <c r="J261" s="411"/>
      <c r="K261" s="411"/>
      <c r="L261" s="411"/>
      <c r="M261" s="411"/>
      <c r="N261" s="411"/>
      <c r="O261" s="411"/>
      <c r="P261" s="411"/>
      <c r="Q261" s="411"/>
      <c r="R261" s="411"/>
      <c r="S261" s="411"/>
      <c r="T261" s="411"/>
      <c r="U261" s="411"/>
      <c r="V261" s="411"/>
      <c r="W261" s="411"/>
      <c r="X261" s="411"/>
      <c r="Y261" s="411"/>
      <c r="Z261" s="411"/>
      <c r="AA261" s="411"/>
      <c r="AB261" s="411"/>
      <c r="AC261" s="400"/>
      <c r="AD261" s="408"/>
      <c r="AE261" s="408"/>
      <c r="AF261" s="412"/>
      <c r="AG261" s="405"/>
      <c r="AH261" s="406"/>
    </row>
    <row r="262" spans="1:34" ht="15.75" customHeight="1">
      <c r="A262" s="413"/>
      <c r="B262" s="414"/>
      <c r="C262" s="415"/>
      <c r="D262" s="411"/>
      <c r="E262" s="411"/>
      <c r="F262" s="411"/>
      <c r="G262" s="411"/>
      <c r="H262" s="411"/>
      <c r="I262" s="411"/>
      <c r="J262" s="411"/>
      <c r="K262" s="411"/>
      <c r="L262" s="411"/>
      <c r="M262" s="411"/>
      <c r="N262" s="411"/>
      <c r="O262" s="411"/>
      <c r="P262" s="411"/>
      <c r="Q262" s="411"/>
      <c r="R262" s="411"/>
      <c r="S262" s="411"/>
      <c r="T262" s="411"/>
      <c r="U262" s="411"/>
      <c r="V262" s="411"/>
      <c r="W262" s="411"/>
      <c r="X262" s="411"/>
      <c r="Y262" s="411"/>
      <c r="Z262" s="411"/>
      <c r="AA262" s="411"/>
      <c r="AB262" s="411"/>
      <c r="AC262" s="400"/>
      <c r="AD262" s="408"/>
      <c r="AE262" s="408"/>
      <c r="AF262" s="412"/>
      <c r="AG262" s="405"/>
      <c r="AH262" s="406"/>
    </row>
    <row r="263" spans="1:34" ht="15.75" customHeight="1">
      <c r="A263" s="413"/>
      <c r="B263" s="414"/>
      <c r="C263" s="415"/>
      <c r="D263" s="411"/>
      <c r="E263" s="411"/>
      <c r="F263" s="411"/>
      <c r="G263" s="411"/>
      <c r="H263" s="411"/>
      <c r="I263" s="411"/>
      <c r="J263" s="411"/>
      <c r="K263" s="411"/>
      <c r="L263" s="411"/>
      <c r="M263" s="411"/>
      <c r="N263" s="411"/>
      <c r="O263" s="411"/>
      <c r="P263" s="411"/>
      <c r="Q263" s="411"/>
      <c r="R263" s="411"/>
      <c r="S263" s="411"/>
      <c r="T263" s="411"/>
      <c r="U263" s="411"/>
      <c r="V263" s="411"/>
      <c r="W263" s="411"/>
      <c r="X263" s="411"/>
      <c r="Y263" s="411"/>
      <c r="Z263" s="411"/>
      <c r="AA263" s="411"/>
      <c r="AB263" s="411"/>
      <c r="AC263" s="400"/>
      <c r="AD263" s="408"/>
      <c r="AE263" s="408"/>
      <c r="AF263" s="412"/>
      <c r="AG263" s="405"/>
      <c r="AH263" s="406"/>
    </row>
    <row r="264" spans="1:34" ht="15.75" customHeight="1">
      <c r="A264" s="413"/>
      <c r="B264" s="414"/>
      <c r="C264" s="415"/>
      <c r="D264" s="411"/>
      <c r="E264" s="411"/>
      <c r="F264" s="411"/>
      <c r="G264" s="411"/>
      <c r="H264" s="411"/>
      <c r="I264" s="411"/>
      <c r="J264" s="411"/>
      <c r="K264" s="411"/>
      <c r="L264" s="411"/>
      <c r="M264" s="411"/>
      <c r="N264" s="411"/>
      <c r="O264" s="411"/>
      <c r="P264" s="411"/>
      <c r="Q264" s="411"/>
      <c r="R264" s="411"/>
      <c r="S264" s="411"/>
      <c r="T264" s="411"/>
      <c r="U264" s="411"/>
      <c r="V264" s="411"/>
      <c r="W264" s="411"/>
      <c r="X264" s="411"/>
      <c r="Y264" s="411"/>
      <c r="Z264" s="411"/>
      <c r="AA264" s="411"/>
      <c r="AB264" s="411"/>
      <c r="AC264" s="400"/>
      <c r="AD264" s="408"/>
      <c r="AE264" s="408"/>
      <c r="AF264" s="412"/>
      <c r="AG264" s="405"/>
      <c r="AH264" s="406"/>
    </row>
    <row r="265" spans="1:34" ht="15.75" customHeight="1">
      <c r="A265" s="413"/>
      <c r="B265" s="414"/>
      <c r="C265" s="415"/>
      <c r="D265" s="411"/>
      <c r="E265" s="411"/>
      <c r="F265" s="411"/>
      <c r="G265" s="411"/>
      <c r="H265" s="411"/>
      <c r="I265" s="411"/>
      <c r="J265" s="411"/>
      <c r="K265" s="411"/>
      <c r="L265" s="411"/>
      <c r="M265" s="411"/>
      <c r="N265" s="411"/>
      <c r="O265" s="411"/>
      <c r="P265" s="411"/>
      <c r="Q265" s="411"/>
      <c r="R265" s="411"/>
      <c r="S265" s="411"/>
      <c r="T265" s="411"/>
      <c r="U265" s="411"/>
      <c r="V265" s="411"/>
      <c r="W265" s="411"/>
      <c r="X265" s="411"/>
      <c r="Y265" s="411"/>
      <c r="Z265" s="411"/>
      <c r="AA265" s="411"/>
      <c r="AB265" s="411"/>
      <c r="AC265" s="400"/>
      <c r="AD265" s="408"/>
      <c r="AE265" s="408"/>
      <c r="AF265" s="412"/>
      <c r="AG265" s="405"/>
      <c r="AH265" s="406"/>
    </row>
    <row r="266" spans="1:34" ht="15.75" customHeight="1">
      <c r="A266" s="413"/>
      <c r="B266" s="414"/>
      <c r="C266" s="415"/>
      <c r="D266" s="411"/>
      <c r="E266" s="411"/>
      <c r="F266" s="411"/>
      <c r="G266" s="411"/>
      <c r="H266" s="411"/>
      <c r="I266" s="411"/>
      <c r="J266" s="411"/>
      <c r="K266" s="411"/>
      <c r="L266" s="411"/>
      <c r="M266" s="411"/>
      <c r="N266" s="411"/>
      <c r="O266" s="411"/>
      <c r="P266" s="411"/>
      <c r="Q266" s="411"/>
      <c r="R266" s="411"/>
      <c r="S266" s="411"/>
      <c r="T266" s="411"/>
      <c r="U266" s="411"/>
      <c r="V266" s="411"/>
      <c r="W266" s="411"/>
      <c r="X266" s="411"/>
      <c r="Y266" s="411"/>
      <c r="Z266" s="411"/>
      <c r="AA266" s="411"/>
      <c r="AB266" s="411"/>
      <c r="AC266" s="400"/>
      <c r="AD266" s="408"/>
      <c r="AE266" s="408"/>
      <c r="AF266" s="412"/>
      <c r="AG266" s="405"/>
      <c r="AH266" s="406"/>
    </row>
    <row r="267" spans="1:34" ht="15.75" customHeight="1">
      <c r="A267" s="413"/>
      <c r="B267" s="414"/>
      <c r="C267" s="415"/>
      <c r="D267" s="411"/>
      <c r="E267" s="411"/>
      <c r="F267" s="411"/>
      <c r="G267" s="411"/>
      <c r="H267" s="411"/>
      <c r="I267" s="411"/>
      <c r="J267" s="411"/>
      <c r="K267" s="411"/>
      <c r="L267" s="411"/>
      <c r="M267" s="411"/>
      <c r="N267" s="411"/>
      <c r="O267" s="411"/>
      <c r="P267" s="411"/>
      <c r="Q267" s="411"/>
      <c r="R267" s="411"/>
      <c r="S267" s="411"/>
      <c r="T267" s="411"/>
      <c r="U267" s="411"/>
      <c r="V267" s="411"/>
      <c r="W267" s="411"/>
      <c r="X267" s="411"/>
      <c r="Y267" s="411"/>
      <c r="Z267" s="411"/>
      <c r="AA267" s="411"/>
      <c r="AB267" s="411"/>
      <c r="AC267" s="400"/>
      <c r="AD267" s="408"/>
      <c r="AE267" s="408"/>
      <c r="AF267" s="412"/>
      <c r="AG267" s="405"/>
      <c r="AH267" s="406"/>
    </row>
    <row r="268" spans="1:34" ht="15.75" customHeight="1">
      <c r="A268" s="413"/>
      <c r="B268" s="414"/>
      <c r="C268" s="415"/>
      <c r="D268" s="411"/>
      <c r="E268" s="411"/>
      <c r="F268" s="411"/>
      <c r="G268" s="411"/>
      <c r="H268" s="411"/>
      <c r="I268" s="411"/>
      <c r="J268" s="411"/>
      <c r="K268" s="411"/>
      <c r="L268" s="411"/>
      <c r="M268" s="411"/>
      <c r="N268" s="411"/>
      <c r="O268" s="411"/>
      <c r="P268" s="411"/>
      <c r="Q268" s="411"/>
      <c r="R268" s="411"/>
      <c r="S268" s="411"/>
      <c r="T268" s="411"/>
      <c r="U268" s="411"/>
      <c r="V268" s="411"/>
      <c r="W268" s="411"/>
      <c r="X268" s="411"/>
      <c r="Y268" s="411"/>
      <c r="Z268" s="411"/>
      <c r="AA268" s="411"/>
      <c r="AB268" s="411"/>
      <c r="AC268" s="400"/>
      <c r="AD268" s="408"/>
      <c r="AE268" s="408"/>
      <c r="AF268" s="412"/>
      <c r="AG268" s="354"/>
      <c r="AH268" s="354"/>
    </row>
    <row r="269" spans="1:34" ht="15.75" customHeight="1">
      <c r="A269" s="413"/>
      <c r="B269" s="414"/>
      <c r="C269" s="415"/>
      <c r="D269" s="411"/>
      <c r="E269" s="411"/>
      <c r="F269" s="411"/>
      <c r="G269" s="411"/>
      <c r="H269" s="411"/>
      <c r="I269" s="411"/>
      <c r="J269" s="411"/>
      <c r="K269" s="411"/>
      <c r="L269" s="411"/>
      <c r="M269" s="411"/>
      <c r="N269" s="411"/>
      <c r="O269" s="411"/>
      <c r="P269" s="411"/>
      <c r="Q269" s="411"/>
      <c r="R269" s="411"/>
      <c r="S269" s="411"/>
      <c r="T269" s="411"/>
      <c r="U269" s="411"/>
      <c r="V269" s="411"/>
      <c r="W269" s="411"/>
      <c r="X269" s="411"/>
      <c r="Y269" s="411"/>
      <c r="Z269" s="411"/>
      <c r="AA269" s="411"/>
      <c r="AB269" s="411"/>
      <c r="AC269" s="400"/>
      <c r="AD269" s="408"/>
      <c r="AE269" s="408"/>
      <c r="AF269" s="412"/>
      <c r="AG269" s="354"/>
      <c r="AH269" s="354"/>
    </row>
    <row r="270" spans="1:34" ht="15.75" customHeight="1">
      <c r="A270" s="413"/>
      <c r="B270" s="414"/>
      <c r="C270" s="415"/>
      <c r="D270" s="411"/>
      <c r="E270" s="411"/>
      <c r="F270" s="411"/>
      <c r="G270" s="411"/>
      <c r="H270" s="411"/>
      <c r="I270" s="411"/>
      <c r="J270" s="411"/>
      <c r="K270" s="411"/>
      <c r="L270" s="411"/>
      <c r="M270" s="411"/>
      <c r="N270" s="411"/>
      <c r="O270" s="411"/>
      <c r="P270" s="411"/>
      <c r="Q270" s="411"/>
      <c r="R270" s="411"/>
      <c r="S270" s="411"/>
      <c r="T270" s="411"/>
      <c r="U270" s="411"/>
      <c r="V270" s="411"/>
      <c r="W270" s="411"/>
      <c r="X270" s="411"/>
      <c r="Y270" s="411"/>
      <c r="Z270" s="411"/>
      <c r="AA270" s="411"/>
      <c r="AB270" s="411"/>
      <c r="AC270" s="400"/>
      <c r="AD270" s="408"/>
      <c r="AE270" s="408"/>
      <c r="AF270" s="412"/>
      <c r="AG270" s="354"/>
      <c r="AH270" s="354"/>
    </row>
    <row r="271" spans="1:34" ht="15.75" customHeight="1">
      <c r="A271" s="413"/>
      <c r="B271" s="414"/>
      <c r="C271" s="415"/>
      <c r="D271" s="411"/>
      <c r="E271" s="411"/>
      <c r="F271" s="411"/>
      <c r="G271" s="411"/>
      <c r="H271" s="411"/>
      <c r="I271" s="411"/>
      <c r="J271" s="411"/>
      <c r="K271" s="411"/>
      <c r="L271" s="411"/>
      <c r="M271" s="411"/>
      <c r="N271" s="411"/>
      <c r="O271" s="411"/>
      <c r="P271" s="411"/>
      <c r="Q271" s="411"/>
      <c r="R271" s="411"/>
      <c r="S271" s="411"/>
      <c r="T271" s="411"/>
      <c r="U271" s="411"/>
      <c r="V271" s="411"/>
      <c r="W271" s="411"/>
      <c r="X271" s="411"/>
      <c r="Y271" s="411"/>
      <c r="Z271" s="411"/>
      <c r="AA271" s="411"/>
      <c r="AB271" s="411"/>
      <c r="AC271" s="400"/>
      <c r="AD271" s="408"/>
      <c r="AE271" s="408"/>
      <c r="AF271" s="412"/>
      <c r="AG271" s="354"/>
      <c r="AH271" s="354"/>
    </row>
    <row r="272" spans="1:34" ht="15.75" customHeight="1">
      <c r="A272" s="413"/>
      <c r="B272" s="414"/>
      <c r="C272" s="415"/>
      <c r="D272" s="411"/>
      <c r="E272" s="411"/>
      <c r="F272" s="411"/>
      <c r="G272" s="411"/>
      <c r="H272" s="411"/>
      <c r="I272" s="411"/>
      <c r="J272" s="411"/>
      <c r="K272" s="411"/>
      <c r="L272" s="411"/>
      <c r="M272" s="411"/>
      <c r="N272" s="411"/>
      <c r="O272" s="411"/>
      <c r="P272" s="411"/>
      <c r="Q272" s="411"/>
      <c r="R272" s="411"/>
      <c r="S272" s="411"/>
      <c r="T272" s="411"/>
      <c r="U272" s="411"/>
      <c r="V272" s="411"/>
      <c r="W272" s="411"/>
      <c r="X272" s="411"/>
      <c r="Y272" s="411"/>
      <c r="Z272" s="411"/>
      <c r="AA272" s="411"/>
      <c r="AB272" s="411"/>
      <c r="AC272" s="400"/>
      <c r="AD272" s="408"/>
      <c r="AE272" s="408"/>
      <c r="AF272" s="412"/>
      <c r="AG272" s="354"/>
      <c r="AH272" s="354"/>
    </row>
    <row r="273" spans="1:34" ht="15.75" customHeight="1">
      <c r="A273" s="413"/>
      <c r="B273" s="414"/>
      <c r="C273" s="415"/>
      <c r="D273" s="411"/>
      <c r="E273" s="411"/>
      <c r="F273" s="411"/>
      <c r="G273" s="411"/>
      <c r="H273" s="411"/>
      <c r="I273" s="411"/>
      <c r="J273" s="411"/>
      <c r="K273" s="411"/>
      <c r="L273" s="411"/>
      <c r="M273" s="411"/>
      <c r="N273" s="411"/>
      <c r="O273" s="411"/>
      <c r="P273" s="411"/>
      <c r="Q273" s="411"/>
      <c r="R273" s="411"/>
      <c r="S273" s="411"/>
      <c r="T273" s="411"/>
      <c r="U273" s="411"/>
      <c r="V273" s="411"/>
      <c r="W273" s="411"/>
      <c r="X273" s="411"/>
      <c r="Y273" s="411"/>
      <c r="Z273" s="411"/>
      <c r="AA273" s="411"/>
      <c r="AB273" s="411"/>
      <c r="AC273" s="400"/>
      <c r="AD273" s="408"/>
      <c r="AE273" s="408"/>
      <c r="AF273" s="412"/>
      <c r="AG273" s="354"/>
      <c r="AH273" s="354"/>
    </row>
    <row r="274" spans="1:34" ht="15.75" customHeight="1">
      <c r="A274" s="413"/>
      <c r="B274" s="414"/>
      <c r="C274" s="415"/>
      <c r="D274" s="411"/>
      <c r="E274" s="411"/>
      <c r="F274" s="411"/>
      <c r="G274" s="411"/>
      <c r="H274" s="411"/>
      <c r="I274" s="411"/>
      <c r="J274" s="411"/>
      <c r="K274" s="411"/>
      <c r="L274" s="411"/>
      <c r="M274" s="411"/>
      <c r="N274" s="411"/>
      <c r="O274" s="411"/>
      <c r="P274" s="411"/>
      <c r="Q274" s="411"/>
      <c r="R274" s="411"/>
      <c r="S274" s="411"/>
      <c r="T274" s="411"/>
      <c r="U274" s="411"/>
      <c r="V274" s="411"/>
      <c r="W274" s="411"/>
      <c r="X274" s="411"/>
      <c r="Y274" s="411"/>
      <c r="Z274" s="411"/>
      <c r="AA274" s="411"/>
      <c r="AB274" s="411"/>
      <c r="AC274" s="400"/>
      <c r="AD274" s="408"/>
      <c r="AE274" s="408"/>
      <c r="AF274" s="412"/>
      <c r="AG274" s="354"/>
      <c r="AH274" s="354"/>
    </row>
    <row r="275" spans="1:34" ht="15.75" customHeight="1">
      <c r="A275" s="413"/>
      <c r="B275" s="414"/>
      <c r="C275" s="415"/>
      <c r="D275" s="411"/>
      <c r="E275" s="411"/>
      <c r="F275" s="411"/>
      <c r="G275" s="411"/>
      <c r="H275" s="411"/>
      <c r="I275" s="411"/>
      <c r="J275" s="411"/>
      <c r="K275" s="411"/>
      <c r="L275" s="411"/>
      <c r="M275" s="411"/>
      <c r="N275" s="411"/>
      <c r="O275" s="411"/>
      <c r="P275" s="411"/>
      <c r="Q275" s="411"/>
      <c r="R275" s="411"/>
      <c r="S275" s="411"/>
      <c r="T275" s="411"/>
      <c r="U275" s="411"/>
      <c r="V275" s="411"/>
      <c r="W275" s="411"/>
      <c r="X275" s="411"/>
      <c r="Y275" s="411"/>
      <c r="Z275" s="411"/>
      <c r="AA275" s="411"/>
      <c r="AB275" s="411"/>
      <c r="AC275" s="400"/>
      <c r="AD275" s="408"/>
      <c r="AE275" s="408"/>
      <c r="AF275" s="412"/>
      <c r="AG275" s="354"/>
      <c r="AH275" s="354"/>
    </row>
    <row r="276" spans="1:34" ht="15.75" customHeight="1">
      <c r="A276" s="413"/>
      <c r="B276" s="414"/>
      <c r="C276" s="415"/>
      <c r="D276" s="411"/>
      <c r="E276" s="411"/>
      <c r="F276" s="411"/>
      <c r="G276" s="411"/>
      <c r="H276" s="411"/>
      <c r="I276" s="411"/>
      <c r="J276" s="411"/>
      <c r="K276" s="411"/>
      <c r="L276" s="411"/>
      <c r="M276" s="411"/>
      <c r="N276" s="411"/>
      <c r="O276" s="411"/>
      <c r="P276" s="411"/>
      <c r="Q276" s="411"/>
      <c r="R276" s="411"/>
      <c r="S276" s="411"/>
      <c r="T276" s="411"/>
      <c r="U276" s="411"/>
      <c r="V276" s="411"/>
      <c r="W276" s="411"/>
      <c r="X276" s="411"/>
      <c r="Y276" s="411"/>
      <c r="Z276" s="411"/>
      <c r="AA276" s="411"/>
      <c r="AB276" s="411"/>
      <c r="AC276" s="400"/>
      <c r="AD276" s="408"/>
      <c r="AE276" s="408"/>
      <c r="AF276" s="412"/>
      <c r="AG276" s="354"/>
      <c r="AH276" s="354"/>
    </row>
    <row r="277" spans="1:34" ht="15.75" customHeight="1">
      <c r="A277" s="413"/>
      <c r="B277" s="414"/>
      <c r="C277" s="415"/>
      <c r="D277" s="411"/>
      <c r="E277" s="411"/>
      <c r="F277" s="411"/>
      <c r="G277" s="411"/>
      <c r="H277" s="411"/>
      <c r="I277" s="411"/>
      <c r="J277" s="411"/>
      <c r="K277" s="411"/>
      <c r="L277" s="411"/>
      <c r="M277" s="411"/>
      <c r="N277" s="411"/>
      <c r="O277" s="411"/>
      <c r="P277" s="411"/>
      <c r="Q277" s="411"/>
      <c r="R277" s="411"/>
      <c r="S277" s="411"/>
      <c r="T277" s="411"/>
      <c r="U277" s="411"/>
      <c r="V277" s="411"/>
      <c r="W277" s="411"/>
      <c r="X277" s="411"/>
      <c r="Y277" s="411"/>
      <c r="Z277" s="411"/>
      <c r="AA277" s="411"/>
      <c r="AB277" s="411"/>
      <c r="AC277" s="400"/>
      <c r="AD277" s="408"/>
      <c r="AE277" s="408"/>
      <c r="AF277" s="412"/>
      <c r="AG277" s="354"/>
      <c r="AH277" s="354"/>
    </row>
    <row r="278" spans="1:34" ht="15.75" customHeight="1">
      <c r="A278" s="413"/>
      <c r="B278" s="414"/>
      <c r="C278" s="415"/>
      <c r="D278" s="411"/>
      <c r="E278" s="411"/>
      <c r="F278" s="411"/>
      <c r="G278" s="411"/>
      <c r="H278" s="411"/>
      <c r="I278" s="411"/>
      <c r="J278" s="411"/>
      <c r="K278" s="411"/>
      <c r="L278" s="411"/>
      <c r="M278" s="411"/>
      <c r="N278" s="411"/>
      <c r="O278" s="411"/>
      <c r="P278" s="411"/>
      <c r="Q278" s="411"/>
      <c r="R278" s="411"/>
      <c r="S278" s="411"/>
      <c r="T278" s="411"/>
      <c r="U278" s="411"/>
      <c r="V278" s="411"/>
      <c r="W278" s="411"/>
      <c r="X278" s="411"/>
      <c r="Y278" s="411"/>
      <c r="Z278" s="411"/>
      <c r="AA278" s="411"/>
      <c r="AB278" s="411"/>
      <c r="AC278" s="400"/>
      <c r="AD278" s="408"/>
      <c r="AE278" s="408"/>
      <c r="AF278" s="412"/>
      <c r="AG278" s="354"/>
      <c r="AH278" s="354"/>
    </row>
    <row r="279" spans="1:34" ht="15.75" customHeight="1">
      <c r="A279" s="413"/>
      <c r="B279" s="414"/>
      <c r="C279" s="415"/>
      <c r="D279" s="411"/>
      <c r="E279" s="411"/>
      <c r="F279" s="411"/>
      <c r="G279" s="411"/>
      <c r="H279" s="411"/>
      <c r="I279" s="411"/>
      <c r="J279" s="411"/>
      <c r="K279" s="411"/>
      <c r="L279" s="411"/>
      <c r="M279" s="411"/>
      <c r="N279" s="411"/>
      <c r="O279" s="411"/>
      <c r="P279" s="411"/>
      <c r="Q279" s="411"/>
      <c r="R279" s="411"/>
      <c r="S279" s="411"/>
      <c r="T279" s="411"/>
      <c r="U279" s="411"/>
      <c r="V279" s="411"/>
      <c r="W279" s="411"/>
      <c r="X279" s="411"/>
      <c r="Y279" s="411"/>
      <c r="Z279" s="411"/>
      <c r="AA279" s="411"/>
      <c r="AB279" s="411"/>
      <c r="AC279" s="400"/>
      <c r="AD279" s="408"/>
      <c r="AE279" s="408"/>
      <c r="AF279" s="412"/>
      <c r="AG279" s="354"/>
      <c r="AH279" s="354"/>
    </row>
    <row r="280" spans="1:34" ht="15.75" customHeight="1">
      <c r="A280" s="413"/>
      <c r="B280" s="414"/>
      <c r="C280" s="415"/>
      <c r="D280" s="411"/>
      <c r="E280" s="411"/>
      <c r="F280" s="411"/>
      <c r="G280" s="411"/>
      <c r="H280" s="411"/>
      <c r="I280" s="411"/>
      <c r="J280" s="411"/>
      <c r="K280" s="411"/>
      <c r="L280" s="411"/>
      <c r="M280" s="411"/>
      <c r="N280" s="411"/>
      <c r="O280" s="411"/>
      <c r="P280" s="411"/>
      <c r="Q280" s="411"/>
      <c r="R280" s="411"/>
      <c r="S280" s="411"/>
      <c r="T280" s="411"/>
      <c r="U280" s="411"/>
      <c r="V280" s="411"/>
      <c r="W280" s="411"/>
      <c r="X280" s="411"/>
      <c r="Y280" s="411"/>
      <c r="Z280" s="411"/>
      <c r="AA280" s="411"/>
      <c r="AB280" s="411"/>
      <c r="AC280" s="400"/>
      <c r="AD280" s="408"/>
      <c r="AE280" s="408"/>
      <c r="AF280" s="412"/>
      <c r="AG280" s="354"/>
      <c r="AH280" s="354"/>
    </row>
    <row r="281" spans="1:34" ht="15.75" customHeight="1">
      <c r="A281" s="413"/>
      <c r="B281" s="414"/>
      <c r="C281" s="415"/>
      <c r="D281" s="411"/>
      <c r="E281" s="411"/>
      <c r="F281" s="411"/>
      <c r="G281" s="411"/>
      <c r="H281" s="411"/>
      <c r="I281" s="411"/>
      <c r="J281" s="411"/>
      <c r="K281" s="411"/>
      <c r="L281" s="411"/>
      <c r="M281" s="411"/>
      <c r="N281" s="411"/>
      <c r="O281" s="411"/>
      <c r="P281" s="411"/>
      <c r="Q281" s="411"/>
      <c r="R281" s="411"/>
      <c r="S281" s="411"/>
      <c r="T281" s="411"/>
      <c r="U281" s="411"/>
      <c r="V281" s="411"/>
      <c r="W281" s="411"/>
      <c r="X281" s="411"/>
      <c r="Y281" s="411"/>
      <c r="Z281" s="411"/>
      <c r="AA281" s="411"/>
      <c r="AB281" s="411"/>
      <c r="AC281" s="400"/>
      <c r="AD281" s="408"/>
      <c r="AE281" s="408"/>
      <c r="AF281" s="412"/>
      <c r="AG281" s="354"/>
      <c r="AH281" s="354"/>
    </row>
    <row r="282" spans="1:34" ht="15.75" customHeight="1">
      <c r="A282" s="413"/>
      <c r="B282" s="414"/>
      <c r="C282" s="415"/>
      <c r="D282" s="411"/>
      <c r="E282" s="411"/>
      <c r="F282" s="411"/>
      <c r="G282" s="411"/>
      <c r="H282" s="411"/>
      <c r="I282" s="411"/>
      <c r="J282" s="411"/>
      <c r="K282" s="411"/>
      <c r="L282" s="411"/>
      <c r="M282" s="411"/>
      <c r="N282" s="411"/>
      <c r="O282" s="411"/>
      <c r="P282" s="411"/>
      <c r="Q282" s="411"/>
      <c r="R282" s="411"/>
      <c r="S282" s="411"/>
      <c r="T282" s="411"/>
      <c r="U282" s="411"/>
      <c r="V282" s="411"/>
      <c r="W282" s="411"/>
      <c r="X282" s="411"/>
      <c r="Y282" s="411"/>
      <c r="Z282" s="411"/>
      <c r="AA282" s="411"/>
      <c r="AB282" s="411"/>
      <c r="AC282" s="400"/>
      <c r="AD282" s="408"/>
      <c r="AE282" s="408"/>
      <c r="AF282" s="412"/>
      <c r="AG282" s="354"/>
      <c r="AH282" s="354"/>
    </row>
    <row r="283" spans="1:34" ht="15.75" customHeight="1">
      <c r="A283" s="413"/>
      <c r="B283" s="414"/>
      <c r="C283" s="415"/>
      <c r="D283" s="411"/>
      <c r="E283" s="411"/>
      <c r="F283" s="411"/>
      <c r="G283" s="411"/>
      <c r="H283" s="411"/>
      <c r="I283" s="411"/>
      <c r="J283" s="411"/>
      <c r="K283" s="411"/>
      <c r="L283" s="411"/>
      <c r="M283" s="411"/>
      <c r="N283" s="411"/>
      <c r="O283" s="411"/>
      <c r="P283" s="411"/>
      <c r="Q283" s="411"/>
      <c r="R283" s="411"/>
      <c r="S283" s="411"/>
      <c r="T283" s="411"/>
      <c r="U283" s="411"/>
      <c r="V283" s="411"/>
      <c r="W283" s="411"/>
      <c r="X283" s="411"/>
      <c r="Y283" s="411"/>
      <c r="Z283" s="411"/>
      <c r="AA283" s="411"/>
      <c r="AB283" s="411"/>
      <c r="AC283" s="400"/>
      <c r="AD283" s="408"/>
      <c r="AE283" s="408"/>
      <c r="AF283" s="412"/>
      <c r="AG283" s="354"/>
      <c r="AH283" s="354"/>
    </row>
    <row r="284" spans="1:34" ht="15.75" customHeight="1">
      <c r="A284" s="413"/>
      <c r="B284" s="414"/>
      <c r="C284" s="415"/>
      <c r="D284" s="411"/>
      <c r="E284" s="411"/>
      <c r="F284" s="411"/>
      <c r="G284" s="411"/>
      <c r="H284" s="411"/>
      <c r="I284" s="411"/>
      <c r="J284" s="411"/>
      <c r="K284" s="411"/>
      <c r="L284" s="411"/>
      <c r="M284" s="411"/>
      <c r="N284" s="411"/>
      <c r="O284" s="411"/>
      <c r="P284" s="411"/>
      <c r="Q284" s="411"/>
      <c r="R284" s="411"/>
      <c r="S284" s="411"/>
      <c r="T284" s="411"/>
      <c r="U284" s="411"/>
      <c r="V284" s="411"/>
      <c r="W284" s="411"/>
      <c r="X284" s="411"/>
      <c r="Y284" s="411"/>
      <c r="Z284" s="411"/>
      <c r="AA284" s="411"/>
      <c r="AB284" s="411"/>
      <c r="AC284" s="400"/>
      <c r="AD284" s="408"/>
      <c r="AE284" s="408"/>
      <c r="AF284" s="412"/>
      <c r="AG284" s="354"/>
      <c r="AH284" s="354"/>
    </row>
    <row r="285" spans="1:34" ht="15.75" customHeight="1">
      <c r="A285" s="413"/>
      <c r="B285" s="414"/>
      <c r="C285" s="415"/>
      <c r="D285" s="411"/>
      <c r="E285" s="411"/>
      <c r="F285" s="411"/>
      <c r="G285" s="411"/>
      <c r="H285" s="411"/>
      <c r="I285" s="411"/>
      <c r="J285" s="411"/>
      <c r="K285" s="411"/>
      <c r="L285" s="411"/>
      <c r="M285" s="411"/>
      <c r="N285" s="411"/>
      <c r="O285" s="411"/>
      <c r="P285" s="411"/>
      <c r="Q285" s="411"/>
      <c r="R285" s="411"/>
      <c r="S285" s="411"/>
      <c r="T285" s="411"/>
      <c r="U285" s="411"/>
      <c r="V285" s="411"/>
      <c r="W285" s="411"/>
      <c r="X285" s="411"/>
      <c r="Y285" s="411"/>
      <c r="Z285" s="411"/>
      <c r="AA285" s="411"/>
      <c r="AB285" s="411"/>
      <c r="AC285" s="400"/>
      <c r="AD285" s="408"/>
      <c r="AE285" s="408"/>
      <c r="AF285" s="412"/>
      <c r="AG285" s="354"/>
      <c r="AH285" s="354"/>
    </row>
    <row r="286" spans="1:34" ht="15.75" customHeight="1">
      <c r="A286" s="413"/>
      <c r="B286" s="414"/>
      <c r="C286" s="415"/>
      <c r="D286" s="411"/>
      <c r="E286" s="411"/>
      <c r="F286" s="411"/>
      <c r="G286" s="411"/>
      <c r="H286" s="411"/>
      <c r="I286" s="411"/>
      <c r="J286" s="411"/>
      <c r="K286" s="411"/>
      <c r="L286" s="411"/>
      <c r="M286" s="411"/>
      <c r="N286" s="411"/>
      <c r="O286" s="411"/>
      <c r="P286" s="411"/>
      <c r="Q286" s="411"/>
      <c r="R286" s="411"/>
      <c r="S286" s="411"/>
      <c r="T286" s="411"/>
      <c r="U286" s="411"/>
      <c r="V286" s="411"/>
      <c r="W286" s="411"/>
      <c r="X286" s="411"/>
      <c r="Y286" s="411"/>
      <c r="Z286" s="411"/>
      <c r="AA286" s="411"/>
      <c r="AB286" s="411"/>
      <c r="AC286" s="400"/>
      <c r="AD286" s="408"/>
      <c r="AE286" s="408"/>
      <c r="AF286" s="412"/>
      <c r="AG286" s="354"/>
      <c r="AH286" s="354"/>
    </row>
    <row r="287" spans="1:34" ht="15.75" customHeight="1">
      <c r="A287" s="413"/>
      <c r="B287" s="414"/>
      <c r="C287" s="415"/>
      <c r="D287" s="411"/>
      <c r="E287" s="411"/>
      <c r="F287" s="411"/>
      <c r="G287" s="411"/>
      <c r="H287" s="411"/>
      <c r="I287" s="411"/>
      <c r="J287" s="411"/>
      <c r="K287" s="411"/>
      <c r="L287" s="411"/>
      <c r="M287" s="411"/>
      <c r="N287" s="411"/>
      <c r="O287" s="411"/>
      <c r="P287" s="411"/>
      <c r="Q287" s="411"/>
      <c r="R287" s="411"/>
      <c r="S287" s="411"/>
      <c r="T287" s="411"/>
      <c r="U287" s="411"/>
      <c r="V287" s="411"/>
      <c r="W287" s="411"/>
      <c r="X287" s="411"/>
      <c r="Y287" s="411"/>
      <c r="Z287" s="411"/>
      <c r="AA287" s="411"/>
      <c r="AB287" s="411"/>
      <c r="AC287" s="400"/>
      <c r="AD287" s="408"/>
      <c r="AE287" s="408"/>
      <c r="AF287" s="412"/>
      <c r="AG287" s="354"/>
      <c r="AH287" s="354"/>
    </row>
    <row r="288" spans="1:34" ht="15.75" customHeight="1">
      <c r="A288" s="413"/>
      <c r="B288" s="414"/>
      <c r="C288" s="415"/>
      <c r="D288" s="411"/>
      <c r="E288" s="411"/>
      <c r="F288" s="411"/>
      <c r="G288" s="411"/>
      <c r="H288" s="411"/>
      <c r="I288" s="411"/>
      <c r="J288" s="411"/>
      <c r="K288" s="411"/>
      <c r="L288" s="411"/>
      <c r="M288" s="411"/>
      <c r="N288" s="411"/>
      <c r="O288" s="411"/>
      <c r="P288" s="411"/>
      <c r="Q288" s="411"/>
      <c r="R288" s="411"/>
      <c r="S288" s="411"/>
      <c r="T288" s="411"/>
      <c r="U288" s="411"/>
      <c r="V288" s="411"/>
      <c r="W288" s="411"/>
      <c r="X288" s="411"/>
      <c r="Y288" s="411"/>
      <c r="Z288" s="411"/>
      <c r="AA288" s="411"/>
      <c r="AB288" s="411"/>
      <c r="AC288" s="400"/>
      <c r="AD288" s="408"/>
      <c r="AE288" s="408"/>
      <c r="AF288" s="412"/>
      <c r="AG288" s="354"/>
      <c r="AH288" s="354"/>
    </row>
    <row r="289" spans="1:34" ht="15.75" customHeight="1">
      <c r="A289" s="413"/>
      <c r="B289" s="414"/>
      <c r="C289" s="415"/>
      <c r="D289" s="411"/>
      <c r="E289" s="411"/>
      <c r="F289" s="411"/>
      <c r="G289" s="411"/>
      <c r="H289" s="411"/>
      <c r="I289" s="411"/>
      <c r="J289" s="411"/>
      <c r="K289" s="411"/>
      <c r="L289" s="411"/>
      <c r="M289" s="411"/>
      <c r="N289" s="411"/>
      <c r="O289" s="411"/>
      <c r="P289" s="411"/>
      <c r="Q289" s="411"/>
      <c r="R289" s="411"/>
      <c r="S289" s="411"/>
      <c r="T289" s="411"/>
      <c r="U289" s="411"/>
      <c r="V289" s="411"/>
      <c r="W289" s="411"/>
      <c r="X289" s="411"/>
      <c r="Y289" s="411"/>
      <c r="Z289" s="411"/>
      <c r="AA289" s="411"/>
      <c r="AB289" s="411"/>
      <c r="AC289" s="400"/>
      <c r="AD289" s="408"/>
      <c r="AE289" s="408"/>
      <c r="AF289" s="412"/>
      <c r="AG289" s="354"/>
      <c r="AH289" s="354"/>
    </row>
    <row r="290" spans="1:34" ht="15.75" customHeight="1">
      <c r="A290" s="413"/>
      <c r="B290" s="414"/>
      <c r="C290" s="415"/>
      <c r="D290" s="411"/>
      <c r="E290" s="411"/>
      <c r="F290" s="411"/>
      <c r="G290" s="411"/>
      <c r="H290" s="411"/>
      <c r="I290" s="411"/>
      <c r="J290" s="411"/>
      <c r="K290" s="411"/>
      <c r="L290" s="411"/>
      <c r="M290" s="411"/>
      <c r="N290" s="411"/>
      <c r="O290" s="411"/>
      <c r="P290" s="411"/>
      <c r="Q290" s="411"/>
      <c r="R290" s="411"/>
      <c r="S290" s="411"/>
      <c r="T290" s="411"/>
      <c r="U290" s="411"/>
      <c r="V290" s="411"/>
      <c r="W290" s="411"/>
      <c r="X290" s="411"/>
      <c r="Y290" s="411"/>
      <c r="Z290" s="411"/>
      <c r="AA290" s="411"/>
      <c r="AB290" s="411"/>
      <c r="AC290" s="400"/>
      <c r="AD290" s="408"/>
      <c r="AE290" s="408"/>
      <c r="AF290" s="412"/>
      <c r="AG290" s="354"/>
      <c r="AH290" s="354"/>
    </row>
    <row r="291" spans="1:34" ht="15.75" customHeight="1">
      <c r="A291" s="413"/>
      <c r="B291" s="414"/>
      <c r="C291" s="415"/>
      <c r="D291" s="411"/>
      <c r="E291" s="411"/>
      <c r="F291" s="411"/>
      <c r="G291" s="411"/>
      <c r="H291" s="411"/>
      <c r="I291" s="411"/>
      <c r="J291" s="411"/>
      <c r="K291" s="411"/>
      <c r="L291" s="411"/>
      <c r="M291" s="411"/>
      <c r="N291" s="411"/>
      <c r="O291" s="411"/>
      <c r="P291" s="411"/>
      <c r="Q291" s="411"/>
      <c r="R291" s="411"/>
      <c r="S291" s="411"/>
      <c r="T291" s="411"/>
      <c r="U291" s="411"/>
      <c r="V291" s="411"/>
      <c r="W291" s="411"/>
      <c r="X291" s="411"/>
      <c r="Y291" s="411"/>
      <c r="Z291" s="411"/>
      <c r="AA291" s="411"/>
      <c r="AB291" s="411"/>
      <c r="AC291" s="400"/>
      <c r="AD291" s="408"/>
      <c r="AE291" s="408"/>
      <c r="AF291" s="412"/>
      <c r="AG291" s="354"/>
      <c r="AH291" s="354"/>
    </row>
    <row r="292" spans="1:34" ht="15.75" customHeight="1">
      <c r="A292" s="413"/>
      <c r="B292" s="414"/>
      <c r="C292" s="415"/>
      <c r="D292" s="411"/>
      <c r="E292" s="411"/>
      <c r="F292" s="411"/>
      <c r="G292" s="411"/>
      <c r="H292" s="411"/>
      <c r="I292" s="411"/>
      <c r="J292" s="411"/>
      <c r="K292" s="411"/>
      <c r="L292" s="411"/>
      <c r="M292" s="411"/>
      <c r="N292" s="411"/>
      <c r="O292" s="411"/>
      <c r="P292" s="411"/>
      <c r="Q292" s="411"/>
      <c r="R292" s="411"/>
      <c r="S292" s="411"/>
      <c r="T292" s="411"/>
      <c r="U292" s="411"/>
      <c r="V292" s="411"/>
      <c r="W292" s="411"/>
      <c r="X292" s="411"/>
      <c r="Y292" s="411"/>
      <c r="Z292" s="411"/>
      <c r="AA292" s="411"/>
      <c r="AB292" s="411"/>
      <c r="AC292" s="400"/>
      <c r="AD292" s="408"/>
      <c r="AE292" s="408"/>
      <c r="AF292" s="412"/>
      <c r="AG292" s="354"/>
      <c r="AH292" s="354"/>
    </row>
    <row r="293" spans="1:34" ht="15.75" customHeight="1">
      <c r="A293" s="413"/>
      <c r="B293" s="414"/>
      <c r="C293" s="415"/>
      <c r="D293" s="411"/>
      <c r="E293" s="411"/>
      <c r="F293" s="411"/>
      <c r="G293" s="411"/>
      <c r="H293" s="411"/>
      <c r="I293" s="411"/>
      <c r="J293" s="411"/>
      <c r="K293" s="411"/>
      <c r="L293" s="411"/>
      <c r="M293" s="411"/>
      <c r="N293" s="411"/>
      <c r="O293" s="411"/>
      <c r="P293" s="411"/>
      <c r="Q293" s="411"/>
      <c r="R293" s="411"/>
      <c r="S293" s="411"/>
      <c r="T293" s="411"/>
      <c r="U293" s="411"/>
      <c r="V293" s="411"/>
      <c r="W293" s="411"/>
      <c r="X293" s="411"/>
      <c r="Y293" s="411"/>
      <c r="Z293" s="411"/>
      <c r="AA293" s="411"/>
      <c r="AB293" s="411"/>
      <c r="AC293" s="400"/>
      <c r="AD293" s="408"/>
      <c r="AE293" s="408"/>
      <c r="AF293" s="412"/>
      <c r="AG293" s="354"/>
      <c r="AH293" s="354"/>
    </row>
    <row r="294" spans="1:34" ht="15.75" customHeight="1">
      <c r="A294" s="413"/>
      <c r="B294" s="414"/>
      <c r="C294" s="415"/>
      <c r="D294" s="411"/>
      <c r="E294" s="411"/>
      <c r="F294" s="411"/>
      <c r="G294" s="411"/>
      <c r="H294" s="411"/>
      <c r="I294" s="411"/>
      <c r="J294" s="411"/>
      <c r="K294" s="411"/>
      <c r="L294" s="411"/>
      <c r="M294" s="411"/>
      <c r="N294" s="411"/>
      <c r="O294" s="411"/>
      <c r="P294" s="411"/>
      <c r="Q294" s="411"/>
      <c r="R294" s="411"/>
      <c r="S294" s="411"/>
      <c r="T294" s="411"/>
      <c r="U294" s="411"/>
      <c r="V294" s="411"/>
      <c r="W294" s="411"/>
      <c r="X294" s="411"/>
      <c r="Y294" s="411"/>
      <c r="Z294" s="411"/>
      <c r="AA294" s="411"/>
      <c r="AB294" s="411"/>
      <c r="AC294" s="400"/>
      <c r="AD294" s="408"/>
      <c r="AE294" s="408"/>
      <c r="AF294" s="412"/>
      <c r="AG294" s="354"/>
      <c r="AH294" s="354"/>
    </row>
    <row r="295" spans="1:34" ht="15.75" customHeight="1">
      <c r="A295" s="413"/>
      <c r="B295" s="414"/>
      <c r="C295" s="415"/>
      <c r="D295" s="411"/>
      <c r="E295" s="411"/>
      <c r="F295" s="411"/>
      <c r="G295" s="411"/>
      <c r="H295" s="411"/>
      <c r="I295" s="411"/>
      <c r="J295" s="411"/>
      <c r="K295" s="411"/>
      <c r="L295" s="411"/>
      <c r="M295" s="411"/>
      <c r="N295" s="411"/>
      <c r="O295" s="411"/>
      <c r="P295" s="411"/>
      <c r="Q295" s="411"/>
      <c r="R295" s="411"/>
      <c r="S295" s="411"/>
      <c r="T295" s="411"/>
      <c r="U295" s="411"/>
      <c r="V295" s="411"/>
      <c r="W295" s="411"/>
      <c r="X295" s="411"/>
      <c r="Y295" s="411"/>
      <c r="Z295" s="411"/>
      <c r="AA295" s="411"/>
      <c r="AB295" s="411"/>
      <c r="AC295" s="400"/>
      <c r="AD295" s="408"/>
      <c r="AE295" s="408"/>
      <c r="AF295" s="412"/>
      <c r="AG295" s="354"/>
      <c r="AH295" s="354"/>
    </row>
    <row r="296" spans="1:34" ht="15.75" customHeight="1">
      <c r="A296" s="413"/>
      <c r="B296" s="414"/>
      <c r="C296" s="415"/>
      <c r="D296" s="411"/>
      <c r="E296" s="411"/>
      <c r="F296" s="411"/>
      <c r="G296" s="411"/>
      <c r="H296" s="411"/>
      <c r="I296" s="411"/>
      <c r="J296" s="411"/>
      <c r="K296" s="411"/>
      <c r="L296" s="411"/>
      <c r="M296" s="411"/>
      <c r="N296" s="411"/>
      <c r="O296" s="411"/>
      <c r="P296" s="411"/>
      <c r="Q296" s="411"/>
      <c r="R296" s="411"/>
      <c r="S296" s="411"/>
      <c r="T296" s="411"/>
      <c r="U296" s="411"/>
      <c r="V296" s="411"/>
      <c r="W296" s="411"/>
      <c r="X296" s="411"/>
      <c r="Y296" s="411"/>
      <c r="Z296" s="411"/>
      <c r="AA296" s="411"/>
      <c r="AB296" s="411"/>
      <c r="AC296" s="400"/>
      <c r="AD296" s="408"/>
      <c r="AE296" s="408"/>
      <c r="AF296" s="412"/>
      <c r="AG296" s="354"/>
      <c r="AH296" s="354"/>
    </row>
    <row r="297" spans="1:34" ht="15.75" customHeight="1">
      <c r="A297" s="413"/>
      <c r="B297" s="414"/>
      <c r="C297" s="415"/>
      <c r="D297" s="411"/>
      <c r="E297" s="411"/>
      <c r="F297" s="411"/>
      <c r="G297" s="411"/>
      <c r="H297" s="411"/>
      <c r="I297" s="411"/>
      <c r="J297" s="411"/>
      <c r="K297" s="411"/>
      <c r="L297" s="411"/>
      <c r="M297" s="411"/>
      <c r="N297" s="411"/>
      <c r="O297" s="411"/>
      <c r="P297" s="411"/>
      <c r="Q297" s="411"/>
      <c r="R297" s="411"/>
      <c r="S297" s="411"/>
      <c r="T297" s="411"/>
      <c r="U297" s="411"/>
      <c r="V297" s="411"/>
      <c r="W297" s="411"/>
      <c r="X297" s="411"/>
      <c r="Y297" s="411"/>
      <c r="Z297" s="411"/>
      <c r="AA297" s="411"/>
      <c r="AB297" s="411"/>
      <c r="AC297" s="400"/>
      <c r="AD297" s="408"/>
      <c r="AE297" s="408"/>
      <c r="AF297" s="412"/>
      <c r="AG297" s="354"/>
      <c r="AH297" s="354"/>
    </row>
    <row r="298" spans="1:34" ht="15.75" customHeight="1">
      <c r="A298" s="413"/>
      <c r="B298" s="414"/>
      <c r="C298" s="415"/>
      <c r="D298" s="411"/>
      <c r="E298" s="411"/>
      <c r="F298" s="411"/>
      <c r="G298" s="411"/>
      <c r="H298" s="411"/>
      <c r="I298" s="411"/>
      <c r="J298" s="411"/>
      <c r="K298" s="411"/>
      <c r="L298" s="411"/>
      <c r="M298" s="411"/>
      <c r="N298" s="411"/>
      <c r="O298" s="411"/>
      <c r="P298" s="411"/>
      <c r="Q298" s="411"/>
      <c r="R298" s="411"/>
      <c r="S298" s="411"/>
      <c r="T298" s="411"/>
      <c r="U298" s="411"/>
      <c r="V298" s="411"/>
      <c r="W298" s="411"/>
      <c r="X298" s="411"/>
      <c r="Y298" s="411"/>
      <c r="Z298" s="411"/>
      <c r="AA298" s="411"/>
      <c r="AB298" s="411"/>
      <c r="AC298" s="400"/>
      <c r="AD298" s="408"/>
      <c r="AE298" s="408"/>
      <c r="AF298" s="412"/>
      <c r="AG298" s="354"/>
      <c r="AH298" s="354"/>
    </row>
    <row r="299" spans="1:34" ht="15.75" customHeight="1">
      <c r="A299" s="413"/>
      <c r="B299" s="414"/>
      <c r="C299" s="415"/>
      <c r="D299" s="411"/>
      <c r="E299" s="411"/>
      <c r="F299" s="411"/>
      <c r="G299" s="411"/>
      <c r="H299" s="411"/>
      <c r="I299" s="411"/>
      <c r="J299" s="411"/>
      <c r="K299" s="411"/>
      <c r="L299" s="411"/>
      <c r="M299" s="411"/>
      <c r="N299" s="411"/>
      <c r="O299" s="411"/>
      <c r="P299" s="411"/>
      <c r="Q299" s="411"/>
      <c r="R299" s="411"/>
      <c r="S299" s="411"/>
      <c r="T299" s="411"/>
      <c r="U299" s="411"/>
      <c r="V299" s="411"/>
      <c r="W299" s="411"/>
      <c r="X299" s="411"/>
      <c r="Y299" s="411"/>
      <c r="Z299" s="411"/>
      <c r="AA299" s="411"/>
      <c r="AB299" s="411"/>
      <c r="AC299" s="400"/>
      <c r="AD299" s="408"/>
      <c r="AE299" s="408"/>
      <c r="AF299" s="412"/>
      <c r="AG299" s="354"/>
      <c r="AH299" s="354"/>
    </row>
    <row r="300" spans="1:34" ht="15.75" customHeight="1">
      <c r="A300" s="413"/>
      <c r="B300" s="414"/>
      <c r="C300" s="415"/>
      <c r="D300" s="411"/>
      <c r="E300" s="411"/>
      <c r="F300" s="411"/>
      <c r="G300" s="411"/>
      <c r="H300" s="411"/>
      <c r="I300" s="411"/>
      <c r="J300" s="411"/>
      <c r="K300" s="411"/>
      <c r="L300" s="411"/>
      <c r="M300" s="411"/>
      <c r="N300" s="411"/>
      <c r="O300" s="411"/>
      <c r="P300" s="411"/>
      <c r="Q300" s="411"/>
      <c r="R300" s="411"/>
      <c r="S300" s="411"/>
      <c r="T300" s="411"/>
      <c r="U300" s="411"/>
      <c r="V300" s="411"/>
      <c r="W300" s="411"/>
      <c r="X300" s="411"/>
      <c r="Y300" s="411"/>
      <c r="Z300" s="411"/>
      <c r="AA300" s="411"/>
      <c r="AB300" s="411"/>
      <c r="AC300" s="400"/>
      <c r="AD300" s="408"/>
      <c r="AE300" s="408"/>
      <c r="AF300" s="412"/>
      <c r="AG300" s="354"/>
      <c r="AH300" s="354"/>
    </row>
    <row r="301" spans="1:34" ht="15.75" customHeight="1">
      <c r="A301" s="413"/>
      <c r="B301" s="414"/>
      <c r="C301" s="415"/>
      <c r="D301" s="411"/>
      <c r="E301" s="411"/>
      <c r="F301" s="411"/>
      <c r="G301" s="411"/>
      <c r="H301" s="411"/>
      <c r="I301" s="411"/>
      <c r="J301" s="411"/>
      <c r="K301" s="411"/>
      <c r="L301" s="411"/>
      <c r="M301" s="411"/>
      <c r="N301" s="411"/>
      <c r="O301" s="411"/>
      <c r="P301" s="411"/>
      <c r="Q301" s="411"/>
      <c r="R301" s="411"/>
      <c r="S301" s="411"/>
      <c r="T301" s="411"/>
      <c r="U301" s="411"/>
      <c r="V301" s="411"/>
      <c r="W301" s="411"/>
      <c r="X301" s="411"/>
      <c r="Y301" s="411"/>
      <c r="Z301" s="411"/>
      <c r="AA301" s="411"/>
      <c r="AB301" s="411"/>
      <c r="AC301" s="400"/>
      <c r="AD301" s="408"/>
      <c r="AE301" s="408"/>
      <c r="AF301" s="412"/>
      <c r="AG301" s="354"/>
      <c r="AH301" s="354"/>
    </row>
    <row r="302" spans="1:34" ht="15.75" customHeight="1">
      <c r="A302" s="413"/>
      <c r="B302" s="414"/>
      <c r="C302" s="415"/>
      <c r="D302" s="411"/>
      <c r="E302" s="411"/>
      <c r="F302" s="411"/>
      <c r="G302" s="411"/>
      <c r="H302" s="411"/>
      <c r="I302" s="411"/>
      <c r="J302" s="411"/>
      <c r="K302" s="411"/>
      <c r="L302" s="411"/>
      <c r="M302" s="411"/>
      <c r="N302" s="411"/>
      <c r="O302" s="411"/>
      <c r="P302" s="411"/>
      <c r="Q302" s="411"/>
      <c r="R302" s="411"/>
      <c r="S302" s="411"/>
      <c r="T302" s="411"/>
      <c r="U302" s="411"/>
      <c r="V302" s="411"/>
      <c r="W302" s="411"/>
      <c r="X302" s="411"/>
      <c r="Y302" s="411"/>
      <c r="Z302" s="411"/>
      <c r="AA302" s="411"/>
      <c r="AB302" s="411"/>
      <c r="AC302" s="400"/>
      <c r="AD302" s="408"/>
      <c r="AE302" s="408"/>
      <c r="AF302" s="412"/>
      <c r="AG302" s="354"/>
      <c r="AH302" s="354"/>
    </row>
    <row r="303" spans="1:34" ht="15.75" customHeight="1">
      <c r="A303" s="413"/>
      <c r="B303" s="414"/>
      <c r="C303" s="415"/>
      <c r="D303" s="411"/>
      <c r="E303" s="411"/>
      <c r="F303" s="411"/>
      <c r="G303" s="411"/>
      <c r="H303" s="411"/>
      <c r="I303" s="411"/>
      <c r="J303" s="411"/>
      <c r="K303" s="411"/>
      <c r="L303" s="411"/>
      <c r="M303" s="411"/>
      <c r="N303" s="411"/>
      <c r="O303" s="411"/>
      <c r="P303" s="411"/>
      <c r="Q303" s="411"/>
      <c r="R303" s="411"/>
      <c r="S303" s="411"/>
      <c r="T303" s="411"/>
      <c r="U303" s="411"/>
      <c r="V303" s="411"/>
      <c r="W303" s="411"/>
      <c r="X303" s="411"/>
      <c r="Y303" s="411"/>
      <c r="Z303" s="411"/>
      <c r="AA303" s="411"/>
      <c r="AB303" s="411"/>
      <c r="AC303" s="400"/>
      <c r="AD303" s="408"/>
      <c r="AE303" s="408"/>
      <c r="AF303" s="412"/>
      <c r="AG303" s="354"/>
      <c r="AH303" s="354"/>
    </row>
    <row r="304" spans="1:34" ht="15.75" customHeight="1">
      <c r="A304" s="413"/>
      <c r="B304" s="414"/>
      <c r="C304" s="415"/>
      <c r="D304" s="411"/>
      <c r="E304" s="411"/>
      <c r="F304" s="411"/>
      <c r="G304" s="411"/>
      <c r="H304" s="411"/>
      <c r="I304" s="411"/>
      <c r="J304" s="411"/>
      <c r="K304" s="411"/>
      <c r="L304" s="411"/>
      <c r="M304" s="411"/>
      <c r="N304" s="411"/>
      <c r="O304" s="411"/>
      <c r="P304" s="411"/>
      <c r="Q304" s="411"/>
      <c r="R304" s="411"/>
      <c r="S304" s="411"/>
      <c r="T304" s="411"/>
      <c r="U304" s="411"/>
      <c r="V304" s="411"/>
      <c r="W304" s="411"/>
      <c r="X304" s="411"/>
      <c r="Y304" s="411"/>
      <c r="Z304" s="411"/>
      <c r="AA304" s="411"/>
      <c r="AB304" s="411"/>
      <c r="AC304" s="400"/>
      <c r="AD304" s="408"/>
      <c r="AE304" s="408"/>
      <c r="AF304" s="412"/>
      <c r="AG304" s="354"/>
      <c r="AH304" s="354"/>
    </row>
    <row r="305" spans="1:34" ht="15.75" customHeight="1">
      <c r="A305" s="413"/>
      <c r="B305" s="414"/>
      <c r="C305" s="415"/>
      <c r="D305" s="411"/>
      <c r="E305" s="411"/>
      <c r="F305" s="411"/>
      <c r="G305" s="411"/>
      <c r="H305" s="411"/>
      <c r="I305" s="411"/>
      <c r="J305" s="411"/>
      <c r="K305" s="411"/>
      <c r="L305" s="411"/>
      <c r="M305" s="411"/>
      <c r="N305" s="411"/>
      <c r="O305" s="411"/>
      <c r="P305" s="411"/>
      <c r="Q305" s="411"/>
      <c r="R305" s="411"/>
      <c r="S305" s="411"/>
      <c r="T305" s="411"/>
      <c r="U305" s="411"/>
      <c r="V305" s="411"/>
      <c r="W305" s="411"/>
      <c r="X305" s="411"/>
      <c r="Y305" s="411"/>
      <c r="Z305" s="411"/>
      <c r="AA305" s="411"/>
      <c r="AB305" s="411"/>
      <c r="AC305" s="400"/>
      <c r="AD305" s="408"/>
      <c r="AE305" s="408"/>
      <c r="AF305" s="412"/>
      <c r="AG305" s="354"/>
      <c r="AH305" s="354"/>
    </row>
    <row r="306" spans="1:34" ht="15.75" customHeight="1">
      <c r="A306" s="413"/>
      <c r="B306" s="414"/>
      <c r="C306" s="415"/>
      <c r="D306" s="411"/>
      <c r="E306" s="411"/>
      <c r="F306" s="411"/>
      <c r="G306" s="411"/>
      <c r="H306" s="411"/>
      <c r="I306" s="411"/>
      <c r="J306" s="411"/>
      <c r="K306" s="411"/>
      <c r="L306" s="411"/>
      <c r="M306" s="411"/>
      <c r="N306" s="411"/>
      <c r="O306" s="411"/>
      <c r="P306" s="411"/>
      <c r="Q306" s="411"/>
      <c r="R306" s="411"/>
      <c r="S306" s="411"/>
      <c r="T306" s="411"/>
      <c r="U306" s="411"/>
      <c r="V306" s="411"/>
      <c r="W306" s="411"/>
      <c r="X306" s="411"/>
      <c r="Y306" s="411"/>
      <c r="Z306" s="411"/>
      <c r="AA306" s="411"/>
      <c r="AB306" s="411"/>
      <c r="AC306" s="400"/>
      <c r="AD306" s="408"/>
      <c r="AE306" s="408"/>
      <c r="AF306" s="412"/>
      <c r="AG306" s="354"/>
      <c r="AH306" s="354"/>
    </row>
    <row r="307" spans="1:34" ht="15.75" customHeight="1">
      <c r="A307" s="413"/>
      <c r="B307" s="414"/>
      <c r="C307" s="415"/>
      <c r="D307" s="411"/>
      <c r="E307" s="411"/>
      <c r="F307" s="411"/>
      <c r="G307" s="411"/>
      <c r="H307" s="411"/>
      <c r="I307" s="411"/>
      <c r="J307" s="411"/>
      <c r="K307" s="411"/>
      <c r="L307" s="411"/>
      <c r="M307" s="411"/>
      <c r="N307" s="411"/>
      <c r="O307" s="411"/>
      <c r="P307" s="411"/>
      <c r="Q307" s="411"/>
      <c r="R307" s="411"/>
      <c r="S307" s="411"/>
      <c r="T307" s="411"/>
      <c r="U307" s="411"/>
      <c r="V307" s="411"/>
      <c r="W307" s="411"/>
      <c r="X307" s="411"/>
      <c r="Y307" s="411"/>
      <c r="Z307" s="411"/>
      <c r="AA307" s="411"/>
      <c r="AB307" s="411"/>
      <c r="AC307" s="400"/>
      <c r="AD307" s="408"/>
      <c r="AE307" s="408"/>
      <c r="AF307" s="412"/>
      <c r="AG307" s="354"/>
      <c r="AH307" s="354"/>
    </row>
    <row r="308" spans="1:34" ht="15.75" customHeight="1">
      <c r="A308" s="413"/>
      <c r="B308" s="414"/>
      <c r="C308" s="415"/>
      <c r="D308" s="411"/>
      <c r="E308" s="411"/>
      <c r="F308" s="411"/>
      <c r="G308" s="411"/>
      <c r="H308" s="411"/>
      <c r="I308" s="411"/>
      <c r="J308" s="411"/>
      <c r="K308" s="411"/>
      <c r="L308" s="411"/>
      <c r="M308" s="411"/>
      <c r="N308" s="411"/>
      <c r="O308" s="411"/>
      <c r="P308" s="411"/>
      <c r="Q308" s="411"/>
      <c r="R308" s="411"/>
      <c r="S308" s="411"/>
      <c r="T308" s="411"/>
      <c r="U308" s="411"/>
      <c r="V308" s="411"/>
      <c r="W308" s="411"/>
      <c r="X308" s="411"/>
      <c r="Y308" s="411"/>
      <c r="Z308" s="411"/>
      <c r="AA308" s="411"/>
      <c r="AB308" s="411"/>
      <c r="AC308" s="400"/>
      <c r="AD308" s="408"/>
      <c r="AE308" s="408"/>
      <c r="AF308" s="412"/>
      <c r="AG308" s="354"/>
      <c r="AH308" s="354"/>
    </row>
    <row r="309" spans="1:34" ht="15.75" customHeight="1">
      <c r="A309" s="413"/>
      <c r="B309" s="414"/>
      <c r="C309" s="415"/>
      <c r="D309" s="411"/>
      <c r="E309" s="411"/>
      <c r="F309" s="411"/>
      <c r="G309" s="411"/>
      <c r="H309" s="411"/>
      <c r="I309" s="411"/>
      <c r="J309" s="411"/>
      <c r="K309" s="411"/>
      <c r="L309" s="411"/>
      <c r="M309" s="411"/>
      <c r="N309" s="411"/>
      <c r="O309" s="411"/>
      <c r="P309" s="411"/>
      <c r="Q309" s="411"/>
      <c r="R309" s="411"/>
      <c r="S309" s="411"/>
      <c r="T309" s="411"/>
      <c r="U309" s="411"/>
      <c r="V309" s="411"/>
      <c r="W309" s="411"/>
      <c r="X309" s="411"/>
      <c r="Y309" s="411"/>
      <c r="Z309" s="411"/>
      <c r="AA309" s="411"/>
      <c r="AB309" s="411"/>
      <c r="AC309" s="400"/>
      <c r="AD309" s="408"/>
      <c r="AE309" s="408"/>
      <c r="AF309" s="412"/>
      <c r="AG309" s="354"/>
      <c r="AH309" s="354"/>
    </row>
    <row r="310" spans="1:34" ht="15.75" customHeight="1">
      <c r="A310" s="413"/>
      <c r="B310" s="414"/>
      <c r="C310" s="415"/>
      <c r="D310" s="411"/>
      <c r="E310" s="411"/>
      <c r="F310" s="411"/>
      <c r="G310" s="411"/>
      <c r="H310" s="411"/>
      <c r="I310" s="411"/>
      <c r="J310" s="411"/>
      <c r="K310" s="411"/>
      <c r="L310" s="411"/>
      <c r="M310" s="411"/>
      <c r="N310" s="411"/>
      <c r="O310" s="411"/>
      <c r="P310" s="411"/>
      <c r="Q310" s="411"/>
      <c r="R310" s="411"/>
      <c r="S310" s="411"/>
      <c r="T310" s="411"/>
      <c r="U310" s="411"/>
      <c r="V310" s="411"/>
      <c r="W310" s="411"/>
      <c r="X310" s="411"/>
      <c r="Y310" s="411"/>
      <c r="Z310" s="411"/>
      <c r="AA310" s="411"/>
      <c r="AB310" s="411"/>
      <c r="AC310" s="400"/>
      <c r="AD310" s="408"/>
      <c r="AE310" s="408"/>
      <c r="AF310" s="412"/>
      <c r="AG310" s="354"/>
      <c r="AH310" s="354"/>
    </row>
    <row r="311" spans="1:34" ht="15.75" customHeight="1">
      <c r="A311" s="413"/>
      <c r="B311" s="414"/>
      <c r="C311" s="415"/>
      <c r="D311" s="411"/>
      <c r="E311" s="411"/>
      <c r="F311" s="411"/>
      <c r="G311" s="411"/>
      <c r="H311" s="411"/>
      <c r="I311" s="411"/>
      <c r="J311" s="411"/>
      <c r="K311" s="411"/>
      <c r="L311" s="411"/>
      <c r="M311" s="411"/>
      <c r="N311" s="411"/>
      <c r="O311" s="411"/>
      <c r="P311" s="411"/>
      <c r="Q311" s="411"/>
      <c r="R311" s="411"/>
      <c r="S311" s="411"/>
      <c r="T311" s="411"/>
      <c r="U311" s="411"/>
      <c r="V311" s="411"/>
      <c r="W311" s="411"/>
      <c r="X311" s="411"/>
      <c r="Y311" s="411"/>
      <c r="Z311" s="411"/>
      <c r="AA311" s="411"/>
      <c r="AB311" s="411"/>
      <c r="AC311" s="400"/>
      <c r="AD311" s="408"/>
      <c r="AE311" s="408"/>
      <c r="AF311" s="412"/>
      <c r="AG311" s="354"/>
      <c r="AH311" s="354"/>
    </row>
    <row r="312" spans="1:34" ht="15.75" customHeight="1">
      <c r="A312" s="413"/>
      <c r="B312" s="414"/>
      <c r="C312" s="415"/>
      <c r="D312" s="411"/>
      <c r="E312" s="411"/>
      <c r="F312" s="411"/>
      <c r="G312" s="411"/>
      <c r="H312" s="411"/>
      <c r="I312" s="411"/>
      <c r="J312" s="411"/>
      <c r="K312" s="411"/>
      <c r="L312" s="411"/>
      <c r="M312" s="411"/>
      <c r="N312" s="411"/>
      <c r="O312" s="411"/>
      <c r="P312" s="411"/>
      <c r="Q312" s="411"/>
      <c r="R312" s="411"/>
      <c r="S312" s="411"/>
      <c r="T312" s="411"/>
      <c r="U312" s="411"/>
      <c r="V312" s="411"/>
      <c r="W312" s="411"/>
      <c r="X312" s="411"/>
      <c r="Y312" s="411"/>
      <c r="Z312" s="411"/>
      <c r="AA312" s="411"/>
      <c r="AB312" s="411"/>
      <c r="AC312" s="400"/>
      <c r="AD312" s="408"/>
      <c r="AE312" s="408"/>
      <c r="AF312" s="412"/>
      <c r="AG312" s="354"/>
      <c r="AH312" s="354"/>
    </row>
    <row r="313" spans="1:34" ht="15.75" customHeight="1">
      <c r="A313" s="413"/>
      <c r="B313" s="414"/>
      <c r="C313" s="415"/>
      <c r="D313" s="411"/>
      <c r="E313" s="411"/>
      <c r="F313" s="411"/>
      <c r="G313" s="411"/>
      <c r="H313" s="411"/>
      <c r="I313" s="411"/>
      <c r="J313" s="411"/>
      <c r="K313" s="411"/>
      <c r="L313" s="411"/>
      <c r="M313" s="411"/>
      <c r="N313" s="411"/>
      <c r="O313" s="411"/>
      <c r="P313" s="411"/>
      <c r="Q313" s="411"/>
      <c r="R313" s="411"/>
      <c r="S313" s="411"/>
      <c r="T313" s="411"/>
      <c r="U313" s="411"/>
      <c r="V313" s="411"/>
      <c r="W313" s="411"/>
      <c r="X313" s="411"/>
      <c r="Y313" s="411"/>
      <c r="Z313" s="411"/>
      <c r="AA313" s="411"/>
      <c r="AB313" s="411"/>
      <c r="AC313" s="400"/>
      <c r="AD313" s="408"/>
      <c r="AE313" s="408"/>
      <c r="AF313" s="412"/>
      <c r="AG313" s="354"/>
      <c r="AH313" s="354"/>
    </row>
    <row r="314" spans="1:34" ht="15.75" customHeight="1">
      <c r="A314" s="413"/>
      <c r="B314" s="414"/>
      <c r="C314" s="415"/>
      <c r="D314" s="411"/>
      <c r="E314" s="411"/>
      <c r="F314" s="411"/>
      <c r="G314" s="411"/>
      <c r="H314" s="411"/>
      <c r="I314" s="411"/>
      <c r="J314" s="411"/>
      <c r="K314" s="411"/>
      <c r="L314" s="411"/>
      <c r="M314" s="411"/>
      <c r="N314" s="411"/>
      <c r="O314" s="411"/>
      <c r="P314" s="411"/>
      <c r="Q314" s="411"/>
      <c r="R314" s="411"/>
      <c r="S314" s="411"/>
      <c r="T314" s="411"/>
      <c r="U314" s="411"/>
      <c r="V314" s="411"/>
      <c r="W314" s="411"/>
      <c r="X314" s="411"/>
      <c r="Y314" s="411"/>
      <c r="Z314" s="411"/>
      <c r="AA314" s="411"/>
      <c r="AB314" s="411"/>
      <c r="AC314" s="400"/>
      <c r="AD314" s="408"/>
      <c r="AE314" s="408"/>
      <c r="AF314" s="412"/>
      <c r="AG314" s="354"/>
      <c r="AH314" s="354"/>
    </row>
    <row r="315" spans="1:34" ht="15.75" customHeight="1">
      <c r="A315" s="413"/>
      <c r="B315" s="414"/>
      <c r="C315" s="415"/>
      <c r="D315" s="411"/>
      <c r="E315" s="411"/>
      <c r="F315" s="411"/>
      <c r="G315" s="411"/>
      <c r="H315" s="411"/>
      <c r="I315" s="411"/>
      <c r="J315" s="411"/>
      <c r="K315" s="411"/>
      <c r="L315" s="411"/>
      <c r="M315" s="411"/>
      <c r="N315" s="411"/>
      <c r="O315" s="411"/>
      <c r="P315" s="411"/>
      <c r="Q315" s="411"/>
      <c r="R315" s="411"/>
      <c r="S315" s="411"/>
      <c r="T315" s="411"/>
      <c r="U315" s="411"/>
      <c r="V315" s="411"/>
      <c r="W315" s="411"/>
      <c r="X315" s="411"/>
      <c r="Y315" s="411"/>
      <c r="Z315" s="411"/>
      <c r="AA315" s="411"/>
      <c r="AB315" s="411"/>
      <c r="AC315" s="400"/>
      <c r="AD315" s="408"/>
      <c r="AE315" s="408"/>
      <c r="AF315" s="412"/>
      <c r="AG315" s="354"/>
      <c r="AH315" s="354"/>
    </row>
    <row r="316" spans="1:34" ht="15.75" customHeight="1">
      <c r="A316" s="413"/>
      <c r="B316" s="414"/>
      <c r="C316" s="415"/>
      <c r="D316" s="411"/>
      <c r="E316" s="411"/>
      <c r="F316" s="411"/>
      <c r="G316" s="411"/>
      <c r="H316" s="411"/>
      <c r="I316" s="411"/>
      <c r="J316" s="411"/>
      <c r="K316" s="411"/>
      <c r="L316" s="411"/>
      <c r="M316" s="411"/>
      <c r="N316" s="411"/>
      <c r="O316" s="411"/>
      <c r="P316" s="411"/>
      <c r="Q316" s="411"/>
      <c r="R316" s="411"/>
      <c r="S316" s="411"/>
      <c r="T316" s="411"/>
      <c r="U316" s="411"/>
      <c r="V316" s="411"/>
      <c r="W316" s="411"/>
      <c r="X316" s="411"/>
      <c r="Y316" s="411"/>
      <c r="Z316" s="411"/>
      <c r="AA316" s="411"/>
      <c r="AB316" s="411"/>
      <c r="AC316" s="400"/>
      <c r="AD316" s="408"/>
      <c r="AE316" s="408"/>
      <c r="AF316" s="412"/>
      <c r="AG316" s="354"/>
      <c r="AH316" s="354"/>
    </row>
    <row r="317" spans="1:34" ht="15.75" customHeight="1">
      <c r="A317" s="413"/>
      <c r="B317" s="414"/>
      <c r="C317" s="415"/>
      <c r="D317" s="411"/>
      <c r="E317" s="411"/>
      <c r="F317" s="411"/>
      <c r="G317" s="411"/>
      <c r="H317" s="411"/>
      <c r="I317" s="411"/>
      <c r="J317" s="411"/>
      <c r="K317" s="411"/>
      <c r="L317" s="411"/>
      <c r="M317" s="411"/>
      <c r="N317" s="411"/>
      <c r="O317" s="411"/>
      <c r="P317" s="411"/>
      <c r="Q317" s="411"/>
      <c r="R317" s="411"/>
      <c r="S317" s="411"/>
      <c r="T317" s="411"/>
      <c r="U317" s="411"/>
      <c r="V317" s="411"/>
      <c r="W317" s="411"/>
      <c r="X317" s="411"/>
      <c r="Y317" s="411"/>
      <c r="Z317" s="411"/>
      <c r="AA317" s="411"/>
      <c r="AB317" s="411"/>
      <c r="AC317" s="400"/>
      <c r="AD317" s="408"/>
      <c r="AE317" s="408"/>
      <c r="AF317" s="412"/>
      <c r="AG317" s="354"/>
      <c r="AH317" s="354"/>
    </row>
    <row r="318" spans="1:34" ht="15.75" customHeight="1">
      <c r="A318" s="413"/>
      <c r="B318" s="414"/>
      <c r="C318" s="415"/>
      <c r="D318" s="411"/>
      <c r="E318" s="411"/>
      <c r="F318" s="411"/>
      <c r="G318" s="411"/>
      <c r="H318" s="411"/>
      <c r="I318" s="411"/>
      <c r="J318" s="411"/>
      <c r="K318" s="411"/>
      <c r="L318" s="411"/>
      <c r="M318" s="411"/>
      <c r="N318" s="411"/>
      <c r="O318" s="411"/>
      <c r="P318" s="411"/>
      <c r="Q318" s="411"/>
      <c r="R318" s="411"/>
      <c r="S318" s="411"/>
      <c r="T318" s="411"/>
      <c r="U318" s="411"/>
      <c r="V318" s="411"/>
      <c r="W318" s="411"/>
      <c r="X318" s="411"/>
      <c r="Y318" s="411"/>
      <c r="Z318" s="411"/>
      <c r="AA318" s="411"/>
      <c r="AB318" s="411"/>
      <c r="AC318" s="400"/>
      <c r="AD318" s="408"/>
      <c r="AE318" s="408"/>
      <c r="AF318" s="412"/>
      <c r="AG318" s="354"/>
      <c r="AH318" s="354"/>
    </row>
    <row r="319" spans="1:34" ht="15.75" customHeight="1">
      <c r="A319" s="413"/>
      <c r="B319" s="414"/>
      <c r="C319" s="415"/>
      <c r="D319" s="411"/>
      <c r="E319" s="411"/>
      <c r="F319" s="411"/>
      <c r="G319" s="411"/>
      <c r="H319" s="411"/>
      <c r="I319" s="411"/>
      <c r="J319" s="411"/>
      <c r="K319" s="411"/>
      <c r="L319" s="411"/>
      <c r="M319" s="411"/>
      <c r="N319" s="411"/>
      <c r="O319" s="411"/>
      <c r="P319" s="411"/>
      <c r="Q319" s="411"/>
      <c r="R319" s="411"/>
      <c r="S319" s="411"/>
      <c r="T319" s="411"/>
      <c r="U319" s="411"/>
      <c r="V319" s="411"/>
      <c r="W319" s="411"/>
      <c r="X319" s="411"/>
      <c r="Y319" s="411"/>
      <c r="Z319" s="411"/>
      <c r="AA319" s="411"/>
      <c r="AB319" s="411"/>
      <c r="AC319" s="400"/>
      <c r="AD319" s="408"/>
      <c r="AE319" s="408"/>
      <c r="AF319" s="412"/>
      <c r="AG319" s="354"/>
      <c r="AH319" s="354"/>
    </row>
    <row r="320" spans="1:34" ht="15.75" customHeight="1">
      <c r="A320" s="413"/>
      <c r="B320" s="414"/>
      <c r="C320" s="415"/>
      <c r="D320" s="411"/>
      <c r="E320" s="411"/>
      <c r="F320" s="411"/>
      <c r="G320" s="411"/>
      <c r="H320" s="411"/>
      <c r="I320" s="411"/>
      <c r="J320" s="411"/>
      <c r="K320" s="411"/>
      <c r="L320" s="411"/>
      <c r="M320" s="411"/>
      <c r="N320" s="411"/>
      <c r="O320" s="411"/>
      <c r="P320" s="411"/>
      <c r="Q320" s="411"/>
      <c r="R320" s="411"/>
      <c r="S320" s="411"/>
      <c r="T320" s="411"/>
      <c r="U320" s="411"/>
      <c r="V320" s="411"/>
      <c r="W320" s="411"/>
      <c r="X320" s="411"/>
      <c r="Y320" s="411"/>
      <c r="Z320" s="411"/>
      <c r="AA320" s="411"/>
      <c r="AB320" s="411"/>
      <c r="AC320" s="400"/>
      <c r="AD320" s="408"/>
      <c r="AE320" s="408"/>
      <c r="AF320" s="412"/>
      <c r="AG320" s="354"/>
      <c r="AH320" s="354"/>
    </row>
    <row r="321" spans="1:34" ht="15.75" customHeight="1">
      <c r="A321" s="413"/>
      <c r="B321" s="414"/>
      <c r="C321" s="415"/>
      <c r="D321" s="411"/>
      <c r="E321" s="411"/>
      <c r="F321" s="411"/>
      <c r="G321" s="411"/>
      <c r="H321" s="411"/>
      <c r="I321" s="411"/>
      <c r="J321" s="411"/>
      <c r="K321" s="411"/>
      <c r="L321" s="411"/>
      <c r="M321" s="411"/>
      <c r="N321" s="411"/>
      <c r="O321" s="411"/>
      <c r="P321" s="411"/>
      <c r="Q321" s="411"/>
      <c r="R321" s="411"/>
      <c r="S321" s="411"/>
      <c r="T321" s="411"/>
      <c r="U321" s="411"/>
      <c r="V321" s="411"/>
      <c r="W321" s="411"/>
      <c r="X321" s="411"/>
      <c r="Y321" s="411"/>
      <c r="Z321" s="411"/>
      <c r="AA321" s="411"/>
      <c r="AB321" s="411"/>
      <c r="AC321" s="400"/>
      <c r="AD321" s="408"/>
      <c r="AE321" s="408"/>
      <c r="AF321" s="412"/>
      <c r="AG321" s="354"/>
      <c r="AH321" s="354"/>
    </row>
    <row r="322" spans="1:34" ht="15.75" customHeight="1">
      <c r="A322" s="413"/>
      <c r="B322" s="414"/>
      <c r="C322" s="415"/>
      <c r="D322" s="411"/>
      <c r="E322" s="411"/>
      <c r="F322" s="411"/>
      <c r="G322" s="411"/>
      <c r="H322" s="411"/>
      <c r="I322" s="411"/>
      <c r="J322" s="411"/>
      <c r="K322" s="411"/>
      <c r="L322" s="411"/>
      <c r="M322" s="411"/>
      <c r="N322" s="411"/>
      <c r="O322" s="411"/>
      <c r="P322" s="411"/>
      <c r="Q322" s="411"/>
      <c r="R322" s="411"/>
      <c r="S322" s="411"/>
      <c r="T322" s="411"/>
      <c r="U322" s="411"/>
      <c r="V322" s="411"/>
      <c r="W322" s="411"/>
      <c r="X322" s="411"/>
      <c r="Y322" s="411"/>
      <c r="Z322" s="411"/>
      <c r="AA322" s="411"/>
      <c r="AB322" s="411"/>
      <c r="AC322" s="400"/>
      <c r="AD322" s="408"/>
      <c r="AE322" s="408"/>
      <c r="AF322" s="412"/>
      <c r="AG322" s="354"/>
      <c r="AH322" s="354"/>
    </row>
    <row r="323" spans="1:34" ht="15.75" customHeight="1">
      <c r="A323" s="413"/>
      <c r="B323" s="414"/>
      <c r="C323" s="415"/>
      <c r="D323" s="411"/>
      <c r="E323" s="411"/>
      <c r="F323" s="411"/>
      <c r="G323" s="411"/>
      <c r="H323" s="411"/>
      <c r="I323" s="411"/>
      <c r="J323" s="411"/>
      <c r="K323" s="411"/>
      <c r="L323" s="411"/>
      <c r="M323" s="411"/>
      <c r="N323" s="411"/>
      <c r="O323" s="411"/>
      <c r="P323" s="411"/>
      <c r="Q323" s="411"/>
      <c r="R323" s="411"/>
      <c r="S323" s="411"/>
      <c r="T323" s="411"/>
      <c r="U323" s="411"/>
      <c r="V323" s="411"/>
      <c r="W323" s="411"/>
      <c r="X323" s="411"/>
      <c r="Y323" s="411"/>
      <c r="Z323" s="411"/>
      <c r="AA323" s="411"/>
      <c r="AB323" s="411"/>
      <c r="AC323" s="400"/>
      <c r="AD323" s="408"/>
      <c r="AE323" s="408"/>
      <c r="AF323" s="412"/>
      <c r="AG323" s="354"/>
      <c r="AH323" s="354"/>
    </row>
    <row r="324" spans="1:34" ht="15.75" customHeight="1">
      <c r="A324" s="413"/>
      <c r="B324" s="414"/>
      <c r="C324" s="415"/>
      <c r="D324" s="411"/>
      <c r="E324" s="411"/>
      <c r="F324" s="411"/>
      <c r="G324" s="411"/>
      <c r="H324" s="411"/>
      <c r="I324" s="411"/>
      <c r="J324" s="411"/>
      <c r="K324" s="411"/>
      <c r="L324" s="411"/>
      <c r="M324" s="411"/>
      <c r="N324" s="411"/>
      <c r="O324" s="411"/>
      <c r="P324" s="411"/>
      <c r="Q324" s="411"/>
      <c r="R324" s="411"/>
      <c r="S324" s="411"/>
      <c r="T324" s="411"/>
      <c r="U324" s="411"/>
      <c r="V324" s="411"/>
      <c r="W324" s="411"/>
      <c r="X324" s="411"/>
      <c r="Y324" s="411"/>
      <c r="Z324" s="411"/>
      <c r="AA324" s="411"/>
      <c r="AB324" s="411"/>
      <c r="AC324" s="400"/>
      <c r="AD324" s="408"/>
      <c r="AE324" s="408"/>
      <c r="AF324" s="412"/>
      <c r="AG324" s="354"/>
      <c r="AH324" s="354"/>
    </row>
    <row r="325" spans="1:34" ht="15.75" customHeight="1">
      <c r="A325" s="413"/>
      <c r="B325" s="414"/>
      <c r="C325" s="415"/>
      <c r="D325" s="411"/>
      <c r="E325" s="411"/>
      <c r="F325" s="411"/>
      <c r="G325" s="411"/>
      <c r="H325" s="411"/>
      <c r="I325" s="411"/>
      <c r="J325" s="411"/>
      <c r="K325" s="411"/>
      <c r="L325" s="411"/>
      <c r="M325" s="411"/>
      <c r="N325" s="411"/>
      <c r="O325" s="411"/>
      <c r="P325" s="411"/>
      <c r="Q325" s="411"/>
      <c r="R325" s="411"/>
      <c r="S325" s="411"/>
      <c r="T325" s="411"/>
      <c r="U325" s="411"/>
      <c r="V325" s="411"/>
      <c r="W325" s="411"/>
      <c r="X325" s="411"/>
      <c r="Y325" s="411"/>
      <c r="Z325" s="411"/>
      <c r="AA325" s="411"/>
      <c r="AB325" s="411"/>
      <c r="AC325" s="400"/>
      <c r="AD325" s="408"/>
      <c r="AE325" s="408"/>
      <c r="AF325" s="412"/>
      <c r="AG325" s="354"/>
      <c r="AH325" s="354"/>
    </row>
    <row r="326" spans="1:34" ht="15.75" customHeight="1">
      <c r="A326" s="413"/>
      <c r="B326" s="414"/>
      <c r="C326" s="415"/>
      <c r="D326" s="411"/>
      <c r="E326" s="411"/>
      <c r="F326" s="411"/>
      <c r="G326" s="411"/>
      <c r="H326" s="411"/>
      <c r="I326" s="411"/>
      <c r="J326" s="411"/>
      <c r="K326" s="411"/>
      <c r="L326" s="411"/>
      <c r="M326" s="411"/>
      <c r="N326" s="411"/>
      <c r="O326" s="411"/>
      <c r="P326" s="411"/>
      <c r="Q326" s="411"/>
      <c r="R326" s="411"/>
      <c r="S326" s="411"/>
      <c r="T326" s="411"/>
      <c r="U326" s="411"/>
      <c r="V326" s="411"/>
      <c r="W326" s="411"/>
      <c r="X326" s="411"/>
      <c r="Y326" s="411"/>
      <c r="Z326" s="411"/>
      <c r="AA326" s="411"/>
      <c r="AB326" s="411"/>
      <c r="AC326" s="400"/>
      <c r="AD326" s="408"/>
      <c r="AE326" s="408"/>
      <c r="AF326" s="412"/>
      <c r="AG326" s="354"/>
      <c r="AH326" s="354"/>
    </row>
    <row r="327" spans="1:34" ht="15.75" customHeight="1">
      <c r="A327" s="413"/>
      <c r="B327" s="414"/>
      <c r="C327" s="415"/>
      <c r="D327" s="411"/>
      <c r="E327" s="411"/>
      <c r="F327" s="411"/>
      <c r="G327" s="411"/>
      <c r="H327" s="411"/>
      <c r="I327" s="411"/>
      <c r="J327" s="411"/>
      <c r="K327" s="411"/>
      <c r="L327" s="411"/>
      <c r="M327" s="411"/>
      <c r="N327" s="411"/>
      <c r="O327" s="411"/>
      <c r="P327" s="411"/>
      <c r="Q327" s="411"/>
      <c r="R327" s="411"/>
      <c r="S327" s="411"/>
      <c r="T327" s="411"/>
      <c r="U327" s="411"/>
      <c r="V327" s="411"/>
      <c r="W327" s="411"/>
      <c r="X327" s="411"/>
      <c r="Y327" s="411"/>
      <c r="Z327" s="411"/>
      <c r="AA327" s="411"/>
      <c r="AB327" s="411"/>
      <c r="AC327" s="400"/>
      <c r="AD327" s="408"/>
      <c r="AE327" s="408"/>
      <c r="AF327" s="412"/>
      <c r="AG327" s="354"/>
      <c r="AH327" s="354"/>
    </row>
    <row r="328" spans="1:34" ht="15.75" customHeight="1">
      <c r="A328" s="413"/>
      <c r="B328" s="414"/>
      <c r="C328" s="415"/>
      <c r="D328" s="411"/>
      <c r="E328" s="411"/>
      <c r="F328" s="411"/>
      <c r="G328" s="411"/>
      <c r="H328" s="411"/>
      <c r="I328" s="411"/>
      <c r="J328" s="411"/>
      <c r="K328" s="411"/>
      <c r="L328" s="411"/>
      <c r="M328" s="411"/>
      <c r="N328" s="411"/>
      <c r="O328" s="411"/>
      <c r="P328" s="411"/>
      <c r="Q328" s="411"/>
      <c r="R328" s="411"/>
      <c r="S328" s="411"/>
      <c r="T328" s="411"/>
      <c r="U328" s="411"/>
      <c r="V328" s="411"/>
      <c r="W328" s="411"/>
      <c r="X328" s="411"/>
      <c r="Y328" s="411"/>
      <c r="Z328" s="411"/>
      <c r="AA328" s="411"/>
      <c r="AB328" s="411"/>
      <c r="AC328" s="400"/>
      <c r="AD328" s="408"/>
      <c r="AE328" s="408"/>
      <c r="AF328" s="412"/>
      <c r="AG328" s="354"/>
      <c r="AH328" s="354"/>
    </row>
    <row r="329" spans="1:34" ht="15.75" customHeight="1">
      <c r="A329" s="413"/>
      <c r="B329" s="414"/>
      <c r="C329" s="415"/>
      <c r="D329" s="411"/>
      <c r="E329" s="411"/>
      <c r="F329" s="411"/>
      <c r="G329" s="411"/>
      <c r="H329" s="411"/>
      <c r="I329" s="411"/>
      <c r="J329" s="411"/>
      <c r="K329" s="411"/>
      <c r="L329" s="411"/>
      <c r="M329" s="411"/>
      <c r="N329" s="411"/>
      <c r="O329" s="411"/>
      <c r="P329" s="411"/>
      <c r="Q329" s="411"/>
      <c r="R329" s="411"/>
      <c r="S329" s="411"/>
      <c r="T329" s="411"/>
      <c r="U329" s="411"/>
      <c r="V329" s="411"/>
      <c r="W329" s="411"/>
      <c r="X329" s="411"/>
      <c r="Y329" s="411"/>
      <c r="Z329" s="411"/>
      <c r="AA329" s="411"/>
      <c r="AB329" s="411"/>
      <c r="AC329" s="400"/>
      <c r="AD329" s="408"/>
      <c r="AE329" s="408"/>
      <c r="AF329" s="412"/>
      <c r="AG329" s="354"/>
      <c r="AH329" s="354"/>
    </row>
    <row r="330" spans="1:34" ht="15.75" customHeight="1">
      <c r="A330" s="413"/>
      <c r="B330" s="414"/>
      <c r="C330" s="415"/>
      <c r="D330" s="411"/>
      <c r="E330" s="411"/>
      <c r="F330" s="411"/>
      <c r="G330" s="411"/>
      <c r="H330" s="411"/>
      <c r="I330" s="411"/>
      <c r="J330" s="411"/>
      <c r="K330" s="411"/>
      <c r="L330" s="411"/>
      <c r="M330" s="411"/>
      <c r="N330" s="411"/>
      <c r="O330" s="411"/>
      <c r="P330" s="411"/>
      <c r="Q330" s="411"/>
      <c r="R330" s="411"/>
      <c r="S330" s="411"/>
      <c r="T330" s="411"/>
      <c r="U330" s="411"/>
      <c r="V330" s="411"/>
      <c r="W330" s="411"/>
      <c r="X330" s="411"/>
      <c r="Y330" s="411"/>
      <c r="Z330" s="411"/>
      <c r="AA330" s="411"/>
      <c r="AB330" s="411"/>
      <c r="AC330" s="400"/>
      <c r="AD330" s="408"/>
      <c r="AE330" s="408"/>
      <c r="AF330" s="412"/>
      <c r="AG330" s="354"/>
      <c r="AH330" s="354"/>
    </row>
    <row r="331" spans="1:34" ht="15.75" customHeight="1">
      <c r="A331" s="413"/>
      <c r="B331" s="414"/>
      <c r="C331" s="415"/>
      <c r="D331" s="411"/>
      <c r="E331" s="411"/>
      <c r="F331" s="411"/>
      <c r="G331" s="411"/>
      <c r="H331" s="411"/>
      <c r="I331" s="411"/>
      <c r="J331" s="411"/>
      <c r="K331" s="411"/>
      <c r="L331" s="411"/>
      <c r="M331" s="411"/>
      <c r="N331" s="411"/>
      <c r="O331" s="411"/>
      <c r="P331" s="411"/>
      <c r="Q331" s="411"/>
      <c r="R331" s="411"/>
      <c r="S331" s="411"/>
      <c r="T331" s="411"/>
      <c r="U331" s="411"/>
      <c r="V331" s="411"/>
      <c r="W331" s="411"/>
      <c r="X331" s="411"/>
      <c r="Y331" s="411"/>
      <c r="Z331" s="411"/>
      <c r="AA331" s="411"/>
      <c r="AB331" s="411"/>
      <c r="AC331" s="400"/>
      <c r="AD331" s="408"/>
      <c r="AE331" s="408"/>
      <c r="AF331" s="412"/>
      <c r="AG331" s="354"/>
      <c r="AH331" s="354"/>
    </row>
    <row r="332" spans="1:34" ht="15.75" customHeight="1">
      <c r="A332" s="413"/>
      <c r="B332" s="414"/>
      <c r="C332" s="415"/>
      <c r="D332" s="411"/>
      <c r="E332" s="411"/>
      <c r="F332" s="411"/>
      <c r="G332" s="411"/>
      <c r="H332" s="411"/>
      <c r="I332" s="411"/>
      <c r="J332" s="411"/>
      <c r="K332" s="411"/>
      <c r="L332" s="411"/>
      <c r="M332" s="411"/>
      <c r="N332" s="411"/>
      <c r="O332" s="411"/>
      <c r="P332" s="411"/>
      <c r="Q332" s="411"/>
      <c r="R332" s="411"/>
      <c r="S332" s="411"/>
      <c r="T332" s="411"/>
      <c r="U332" s="411"/>
      <c r="V332" s="411"/>
      <c r="W332" s="411"/>
      <c r="X332" s="411"/>
      <c r="Y332" s="411"/>
      <c r="Z332" s="411"/>
      <c r="AA332" s="411"/>
      <c r="AB332" s="411"/>
      <c r="AC332" s="400"/>
      <c r="AD332" s="408"/>
      <c r="AE332" s="408"/>
      <c r="AF332" s="412"/>
      <c r="AG332" s="354"/>
      <c r="AH332" s="354"/>
    </row>
    <row r="333" spans="1:34" ht="15.75" customHeight="1">
      <c r="A333" s="413"/>
      <c r="B333" s="414"/>
      <c r="C333" s="415"/>
      <c r="D333" s="411"/>
      <c r="E333" s="411"/>
      <c r="F333" s="411"/>
      <c r="G333" s="411"/>
      <c r="H333" s="411"/>
      <c r="I333" s="411"/>
      <c r="J333" s="411"/>
      <c r="K333" s="411"/>
      <c r="L333" s="411"/>
      <c r="M333" s="411"/>
      <c r="N333" s="411"/>
      <c r="O333" s="411"/>
      <c r="P333" s="411"/>
      <c r="Q333" s="411"/>
      <c r="R333" s="411"/>
      <c r="S333" s="411"/>
      <c r="T333" s="411"/>
      <c r="U333" s="411"/>
      <c r="V333" s="411"/>
      <c r="W333" s="411"/>
      <c r="X333" s="411"/>
      <c r="Y333" s="411"/>
      <c r="Z333" s="411"/>
      <c r="AA333" s="411"/>
      <c r="AB333" s="411"/>
      <c r="AC333" s="400"/>
      <c r="AD333" s="408"/>
      <c r="AE333" s="408"/>
      <c r="AF333" s="412"/>
      <c r="AG333" s="354"/>
      <c r="AH333" s="354"/>
    </row>
    <row r="334" spans="1:34" ht="15.75" customHeight="1">
      <c r="A334" s="413"/>
      <c r="B334" s="414"/>
      <c r="C334" s="415"/>
      <c r="D334" s="411"/>
      <c r="E334" s="411"/>
      <c r="F334" s="411"/>
      <c r="G334" s="411"/>
      <c r="H334" s="411"/>
      <c r="I334" s="411"/>
      <c r="J334" s="411"/>
      <c r="K334" s="411"/>
      <c r="L334" s="411"/>
      <c r="M334" s="411"/>
      <c r="N334" s="411"/>
      <c r="O334" s="411"/>
      <c r="P334" s="411"/>
      <c r="Q334" s="411"/>
      <c r="R334" s="411"/>
      <c r="S334" s="411"/>
      <c r="T334" s="411"/>
      <c r="U334" s="411"/>
      <c r="V334" s="411"/>
      <c r="W334" s="411"/>
      <c r="X334" s="411"/>
      <c r="Y334" s="411"/>
      <c r="Z334" s="411"/>
      <c r="AA334" s="411"/>
      <c r="AB334" s="411"/>
      <c r="AC334" s="400"/>
      <c r="AD334" s="408"/>
      <c r="AE334" s="408"/>
      <c r="AF334" s="412"/>
      <c r="AG334" s="354"/>
      <c r="AH334" s="354"/>
    </row>
    <row r="335" spans="1:34" ht="15.75" customHeight="1">
      <c r="A335" s="413"/>
      <c r="B335" s="414"/>
      <c r="C335" s="415"/>
      <c r="D335" s="411"/>
      <c r="E335" s="411"/>
      <c r="F335" s="411"/>
      <c r="G335" s="411"/>
      <c r="H335" s="411"/>
      <c r="I335" s="411"/>
      <c r="J335" s="411"/>
      <c r="K335" s="411"/>
      <c r="L335" s="411"/>
      <c r="M335" s="411"/>
      <c r="N335" s="411"/>
      <c r="O335" s="411"/>
      <c r="P335" s="411"/>
      <c r="Q335" s="411"/>
      <c r="R335" s="411"/>
      <c r="S335" s="411"/>
      <c r="T335" s="411"/>
      <c r="U335" s="411"/>
      <c r="V335" s="411"/>
      <c r="W335" s="411"/>
      <c r="X335" s="411"/>
      <c r="Y335" s="411"/>
      <c r="Z335" s="411"/>
      <c r="AA335" s="411"/>
      <c r="AB335" s="411"/>
      <c r="AC335" s="400"/>
      <c r="AD335" s="408"/>
      <c r="AE335" s="408"/>
      <c r="AF335" s="412"/>
      <c r="AG335" s="354"/>
      <c r="AH335" s="354"/>
    </row>
    <row r="336" spans="1:34" ht="15.75" customHeight="1">
      <c r="A336" s="413"/>
      <c r="B336" s="414"/>
      <c r="C336" s="415"/>
      <c r="D336" s="411"/>
      <c r="E336" s="411"/>
      <c r="F336" s="411"/>
      <c r="G336" s="411"/>
      <c r="H336" s="411"/>
      <c r="I336" s="411"/>
      <c r="J336" s="411"/>
      <c r="K336" s="411"/>
      <c r="L336" s="411"/>
      <c r="M336" s="411"/>
      <c r="N336" s="411"/>
      <c r="O336" s="411"/>
      <c r="P336" s="411"/>
      <c r="Q336" s="411"/>
      <c r="R336" s="411"/>
      <c r="S336" s="411"/>
      <c r="T336" s="411"/>
      <c r="U336" s="411"/>
      <c r="V336" s="411"/>
      <c r="W336" s="411"/>
      <c r="X336" s="411"/>
      <c r="Y336" s="411"/>
      <c r="Z336" s="411"/>
      <c r="AA336" s="411"/>
      <c r="AB336" s="411"/>
      <c r="AC336" s="400"/>
      <c r="AD336" s="408"/>
      <c r="AE336" s="408"/>
      <c r="AF336" s="412"/>
      <c r="AG336" s="354"/>
      <c r="AH336" s="354"/>
    </row>
    <row r="337" spans="1:34" ht="15.75" customHeight="1">
      <c r="A337" s="413"/>
      <c r="B337" s="414"/>
      <c r="C337" s="415"/>
      <c r="D337" s="411"/>
      <c r="E337" s="411"/>
      <c r="F337" s="411"/>
      <c r="G337" s="411"/>
      <c r="H337" s="411"/>
      <c r="I337" s="411"/>
      <c r="J337" s="411"/>
      <c r="K337" s="411"/>
      <c r="L337" s="411"/>
      <c r="M337" s="411"/>
      <c r="N337" s="411"/>
      <c r="O337" s="411"/>
      <c r="P337" s="411"/>
      <c r="Q337" s="411"/>
      <c r="R337" s="411"/>
      <c r="S337" s="411"/>
      <c r="T337" s="411"/>
      <c r="U337" s="411"/>
      <c r="V337" s="411"/>
      <c r="W337" s="411"/>
      <c r="X337" s="411"/>
      <c r="Y337" s="411"/>
      <c r="Z337" s="411"/>
      <c r="AA337" s="411"/>
      <c r="AB337" s="411"/>
      <c r="AC337" s="400"/>
      <c r="AD337" s="408"/>
      <c r="AE337" s="408"/>
      <c r="AF337" s="412"/>
      <c r="AG337" s="354"/>
      <c r="AH337" s="354"/>
    </row>
    <row r="338" spans="1:34" ht="15.75" customHeight="1">
      <c r="A338" s="413"/>
      <c r="B338" s="414"/>
      <c r="C338" s="415"/>
      <c r="D338" s="411"/>
      <c r="E338" s="411"/>
      <c r="F338" s="411"/>
      <c r="G338" s="411"/>
      <c r="H338" s="411"/>
      <c r="I338" s="411"/>
      <c r="J338" s="411"/>
      <c r="K338" s="411"/>
      <c r="L338" s="411"/>
      <c r="M338" s="411"/>
      <c r="N338" s="411"/>
      <c r="O338" s="411"/>
      <c r="P338" s="411"/>
      <c r="Q338" s="411"/>
      <c r="R338" s="411"/>
      <c r="S338" s="411"/>
      <c r="T338" s="411"/>
      <c r="U338" s="411"/>
      <c r="V338" s="411"/>
      <c r="W338" s="411"/>
      <c r="X338" s="411"/>
      <c r="Y338" s="411"/>
      <c r="Z338" s="411"/>
      <c r="AA338" s="411"/>
      <c r="AB338" s="411"/>
      <c r="AC338" s="400"/>
      <c r="AD338" s="408"/>
      <c r="AE338" s="408"/>
      <c r="AF338" s="412"/>
      <c r="AG338" s="354"/>
      <c r="AH338" s="354"/>
    </row>
    <row r="339" spans="1:34" ht="15.75" customHeight="1">
      <c r="A339" s="413"/>
      <c r="B339" s="414"/>
      <c r="C339" s="415"/>
      <c r="D339" s="411"/>
      <c r="E339" s="411"/>
      <c r="F339" s="411"/>
      <c r="G339" s="411"/>
      <c r="H339" s="411"/>
      <c r="I339" s="411"/>
      <c r="J339" s="411"/>
      <c r="K339" s="411"/>
      <c r="L339" s="411"/>
      <c r="M339" s="411"/>
      <c r="N339" s="411"/>
      <c r="O339" s="411"/>
      <c r="P339" s="411"/>
      <c r="Q339" s="411"/>
      <c r="R339" s="411"/>
      <c r="S339" s="411"/>
      <c r="T339" s="411"/>
      <c r="U339" s="411"/>
      <c r="V339" s="411"/>
      <c r="W339" s="411"/>
      <c r="X339" s="411"/>
      <c r="Y339" s="411"/>
      <c r="Z339" s="411"/>
      <c r="AA339" s="411"/>
      <c r="AB339" s="411"/>
      <c r="AC339" s="400"/>
      <c r="AD339" s="408"/>
      <c r="AE339" s="408"/>
      <c r="AF339" s="412"/>
      <c r="AG339" s="354"/>
      <c r="AH339" s="354"/>
    </row>
    <row r="340" spans="1:34" ht="15.75" customHeight="1">
      <c r="A340" s="413"/>
      <c r="B340" s="414"/>
      <c r="C340" s="415"/>
      <c r="D340" s="411"/>
      <c r="E340" s="411"/>
      <c r="F340" s="411"/>
      <c r="G340" s="411"/>
      <c r="H340" s="411"/>
      <c r="I340" s="411"/>
      <c r="J340" s="411"/>
      <c r="K340" s="411"/>
      <c r="L340" s="411"/>
      <c r="M340" s="411"/>
      <c r="N340" s="411"/>
      <c r="O340" s="411"/>
      <c r="P340" s="411"/>
      <c r="Q340" s="411"/>
      <c r="R340" s="411"/>
      <c r="S340" s="411"/>
      <c r="T340" s="411"/>
      <c r="U340" s="411"/>
      <c r="V340" s="411"/>
      <c r="W340" s="411"/>
      <c r="X340" s="411"/>
      <c r="Y340" s="411"/>
      <c r="Z340" s="411"/>
      <c r="AA340" s="411"/>
      <c r="AB340" s="411"/>
      <c r="AC340" s="400"/>
      <c r="AD340" s="408"/>
      <c r="AE340" s="408"/>
      <c r="AF340" s="412"/>
      <c r="AG340" s="354"/>
      <c r="AH340" s="354"/>
    </row>
    <row r="341" spans="1:34" ht="15.75" customHeight="1">
      <c r="A341" s="413"/>
      <c r="B341" s="414"/>
      <c r="C341" s="415"/>
      <c r="D341" s="411"/>
      <c r="E341" s="411"/>
      <c r="F341" s="411"/>
      <c r="G341" s="411"/>
      <c r="H341" s="411"/>
      <c r="I341" s="411"/>
      <c r="J341" s="411"/>
      <c r="K341" s="411"/>
      <c r="L341" s="411"/>
      <c r="M341" s="411"/>
      <c r="N341" s="411"/>
      <c r="O341" s="411"/>
      <c r="P341" s="411"/>
      <c r="Q341" s="411"/>
      <c r="R341" s="411"/>
      <c r="S341" s="411"/>
      <c r="T341" s="411"/>
      <c r="U341" s="411"/>
      <c r="V341" s="411"/>
      <c r="W341" s="411"/>
      <c r="X341" s="411"/>
      <c r="Y341" s="411"/>
      <c r="Z341" s="411"/>
      <c r="AA341" s="411"/>
      <c r="AB341" s="411"/>
      <c r="AC341" s="400"/>
      <c r="AD341" s="408"/>
      <c r="AE341" s="408"/>
      <c r="AF341" s="412"/>
      <c r="AG341" s="354"/>
      <c r="AH341" s="354"/>
    </row>
    <row r="342" spans="1:34" ht="15.75" customHeight="1">
      <c r="A342" s="413"/>
      <c r="B342" s="414"/>
      <c r="C342" s="415"/>
      <c r="D342" s="411"/>
      <c r="E342" s="411"/>
      <c r="F342" s="411"/>
      <c r="G342" s="411"/>
      <c r="H342" s="411"/>
      <c r="I342" s="411"/>
      <c r="J342" s="411"/>
      <c r="K342" s="411"/>
      <c r="L342" s="411"/>
      <c r="M342" s="411"/>
      <c r="N342" s="411"/>
      <c r="O342" s="411"/>
      <c r="P342" s="411"/>
      <c r="Q342" s="411"/>
      <c r="R342" s="411"/>
      <c r="S342" s="411"/>
      <c r="T342" s="411"/>
      <c r="U342" s="411"/>
      <c r="V342" s="411"/>
      <c r="W342" s="411"/>
      <c r="X342" s="411"/>
      <c r="Y342" s="411"/>
      <c r="Z342" s="411"/>
      <c r="AA342" s="411"/>
      <c r="AB342" s="411"/>
      <c r="AC342" s="400"/>
      <c r="AD342" s="408"/>
      <c r="AE342" s="408"/>
      <c r="AF342" s="412"/>
      <c r="AG342" s="354"/>
      <c r="AH342" s="354"/>
    </row>
    <row r="343" spans="1:34" ht="15.75" customHeight="1">
      <c r="A343" s="413"/>
      <c r="B343" s="414"/>
      <c r="C343" s="415"/>
      <c r="D343" s="411"/>
      <c r="E343" s="411"/>
      <c r="F343" s="411"/>
      <c r="G343" s="411"/>
      <c r="H343" s="411"/>
      <c r="I343" s="411"/>
      <c r="J343" s="411"/>
      <c r="K343" s="411"/>
      <c r="L343" s="411"/>
      <c r="M343" s="411"/>
      <c r="N343" s="411"/>
      <c r="O343" s="411"/>
      <c r="P343" s="411"/>
      <c r="Q343" s="411"/>
      <c r="R343" s="411"/>
      <c r="S343" s="411"/>
      <c r="T343" s="411"/>
      <c r="U343" s="411"/>
      <c r="V343" s="411"/>
      <c r="W343" s="411"/>
      <c r="X343" s="411"/>
      <c r="Y343" s="411"/>
      <c r="Z343" s="411"/>
      <c r="AA343" s="411"/>
      <c r="AB343" s="411"/>
      <c r="AC343" s="400"/>
      <c r="AD343" s="408"/>
      <c r="AE343" s="408"/>
      <c r="AF343" s="412"/>
      <c r="AG343" s="354"/>
      <c r="AH343" s="354"/>
    </row>
    <row r="344" spans="1:34" ht="15.75" customHeight="1">
      <c r="A344" s="413"/>
      <c r="B344" s="414"/>
      <c r="C344" s="415"/>
      <c r="D344" s="411"/>
      <c r="E344" s="411"/>
      <c r="F344" s="411"/>
      <c r="G344" s="411"/>
      <c r="H344" s="411"/>
      <c r="I344" s="411"/>
      <c r="J344" s="411"/>
      <c r="K344" s="411"/>
      <c r="L344" s="411"/>
      <c r="M344" s="411"/>
      <c r="N344" s="411"/>
      <c r="O344" s="411"/>
      <c r="P344" s="411"/>
      <c r="Q344" s="411"/>
      <c r="R344" s="411"/>
      <c r="S344" s="411"/>
      <c r="T344" s="411"/>
      <c r="U344" s="411"/>
      <c r="V344" s="411"/>
      <c r="W344" s="411"/>
      <c r="X344" s="411"/>
      <c r="Y344" s="411"/>
      <c r="Z344" s="411"/>
      <c r="AA344" s="411"/>
      <c r="AB344" s="411"/>
      <c r="AC344" s="400"/>
      <c r="AD344" s="408"/>
      <c r="AE344" s="408"/>
      <c r="AF344" s="412"/>
      <c r="AG344" s="354"/>
      <c r="AH344" s="354"/>
    </row>
    <row r="345" spans="1:34" ht="15.75" customHeight="1">
      <c r="A345" s="413"/>
      <c r="B345" s="414"/>
      <c r="C345" s="415"/>
      <c r="D345" s="411"/>
      <c r="E345" s="411"/>
      <c r="F345" s="411"/>
      <c r="G345" s="411"/>
      <c r="H345" s="411"/>
      <c r="I345" s="411"/>
      <c r="J345" s="411"/>
      <c r="K345" s="411"/>
      <c r="L345" s="411"/>
      <c r="M345" s="411"/>
      <c r="N345" s="411"/>
      <c r="O345" s="411"/>
      <c r="P345" s="411"/>
      <c r="Q345" s="411"/>
      <c r="R345" s="411"/>
      <c r="S345" s="411"/>
      <c r="T345" s="411"/>
      <c r="U345" s="411"/>
      <c r="V345" s="411"/>
      <c r="W345" s="411"/>
      <c r="X345" s="411"/>
      <c r="Y345" s="411"/>
      <c r="Z345" s="411"/>
      <c r="AA345" s="411"/>
      <c r="AB345" s="411"/>
      <c r="AC345" s="400"/>
      <c r="AD345" s="408"/>
      <c r="AE345" s="408"/>
      <c r="AF345" s="412"/>
      <c r="AG345" s="354"/>
      <c r="AH345" s="354"/>
    </row>
    <row r="346" spans="1:34" ht="15.75" customHeight="1">
      <c r="A346" s="413"/>
      <c r="B346" s="414"/>
      <c r="C346" s="415"/>
      <c r="D346" s="411"/>
      <c r="E346" s="411"/>
      <c r="F346" s="411"/>
      <c r="G346" s="411"/>
      <c r="H346" s="411"/>
      <c r="I346" s="411"/>
      <c r="J346" s="411"/>
      <c r="K346" s="411"/>
      <c r="L346" s="411"/>
      <c r="M346" s="411"/>
      <c r="N346" s="411"/>
      <c r="O346" s="411"/>
      <c r="P346" s="411"/>
      <c r="Q346" s="411"/>
      <c r="R346" s="411"/>
      <c r="S346" s="411"/>
      <c r="T346" s="411"/>
      <c r="U346" s="411"/>
      <c r="V346" s="411"/>
      <c r="W346" s="411"/>
      <c r="X346" s="411"/>
      <c r="Y346" s="411"/>
      <c r="Z346" s="411"/>
      <c r="AA346" s="411"/>
      <c r="AB346" s="411"/>
      <c r="AC346" s="400"/>
      <c r="AD346" s="408"/>
      <c r="AE346" s="408"/>
      <c r="AF346" s="412"/>
      <c r="AG346" s="354"/>
      <c r="AH346" s="354"/>
    </row>
    <row r="347" spans="1:34" ht="15.75" customHeight="1">
      <c r="A347" s="413"/>
      <c r="B347" s="414"/>
      <c r="C347" s="415"/>
      <c r="D347" s="411"/>
      <c r="E347" s="411"/>
      <c r="F347" s="411"/>
      <c r="G347" s="411"/>
      <c r="H347" s="411"/>
      <c r="I347" s="411"/>
      <c r="J347" s="411"/>
      <c r="K347" s="411"/>
      <c r="L347" s="411"/>
      <c r="M347" s="411"/>
      <c r="N347" s="411"/>
      <c r="O347" s="411"/>
      <c r="P347" s="411"/>
      <c r="Q347" s="411"/>
      <c r="R347" s="411"/>
      <c r="S347" s="411"/>
      <c r="T347" s="411"/>
      <c r="U347" s="411"/>
      <c r="V347" s="411"/>
      <c r="W347" s="411"/>
      <c r="X347" s="411"/>
      <c r="Y347" s="411"/>
      <c r="Z347" s="411"/>
      <c r="AA347" s="411"/>
      <c r="AB347" s="411"/>
      <c r="AC347" s="400"/>
      <c r="AD347" s="408"/>
      <c r="AE347" s="408"/>
      <c r="AF347" s="412"/>
      <c r="AG347" s="354"/>
      <c r="AH347" s="354"/>
    </row>
    <row r="348" spans="1:34" ht="15.75" customHeight="1">
      <c r="A348" s="413"/>
      <c r="B348" s="414"/>
      <c r="C348" s="415"/>
      <c r="D348" s="411"/>
      <c r="E348" s="411"/>
      <c r="F348" s="411"/>
      <c r="G348" s="411"/>
      <c r="H348" s="411"/>
      <c r="I348" s="411"/>
      <c r="J348" s="411"/>
      <c r="K348" s="411"/>
      <c r="L348" s="411"/>
      <c r="M348" s="411"/>
      <c r="N348" s="411"/>
      <c r="O348" s="411"/>
      <c r="P348" s="411"/>
      <c r="Q348" s="411"/>
      <c r="R348" s="411"/>
      <c r="S348" s="411"/>
      <c r="T348" s="411"/>
      <c r="U348" s="411"/>
      <c r="V348" s="411"/>
      <c r="W348" s="411"/>
      <c r="X348" s="411"/>
      <c r="Y348" s="411"/>
      <c r="Z348" s="411"/>
      <c r="AA348" s="411"/>
      <c r="AB348" s="411"/>
      <c r="AC348" s="400"/>
      <c r="AD348" s="408"/>
      <c r="AE348" s="408"/>
      <c r="AF348" s="412"/>
      <c r="AG348" s="354"/>
      <c r="AH348" s="354"/>
    </row>
    <row r="349" spans="1:34" ht="15.75" customHeight="1">
      <c r="A349" s="413"/>
      <c r="B349" s="414"/>
      <c r="C349" s="415"/>
      <c r="D349" s="411"/>
      <c r="E349" s="411"/>
      <c r="F349" s="411"/>
      <c r="G349" s="411"/>
      <c r="H349" s="411"/>
      <c r="I349" s="411"/>
      <c r="J349" s="411"/>
      <c r="K349" s="411"/>
      <c r="L349" s="411"/>
      <c r="M349" s="411"/>
      <c r="N349" s="411"/>
      <c r="O349" s="411"/>
      <c r="P349" s="411"/>
      <c r="Q349" s="411"/>
      <c r="R349" s="411"/>
      <c r="S349" s="411"/>
      <c r="T349" s="411"/>
      <c r="U349" s="411"/>
      <c r="V349" s="411"/>
      <c r="W349" s="411"/>
      <c r="X349" s="411"/>
      <c r="Y349" s="411"/>
      <c r="Z349" s="411"/>
      <c r="AA349" s="411"/>
      <c r="AB349" s="411"/>
      <c r="AC349" s="400"/>
      <c r="AD349" s="408"/>
      <c r="AE349" s="408"/>
      <c r="AF349" s="412"/>
      <c r="AG349" s="354"/>
      <c r="AH349" s="354"/>
    </row>
    <row r="350" spans="1:34" ht="15.75" customHeight="1">
      <c r="A350" s="413"/>
      <c r="B350" s="414"/>
      <c r="C350" s="415"/>
      <c r="D350" s="411"/>
      <c r="E350" s="411"/>
      <c r="F350" s="411"/>
      <c r="G350" s="411"/>
      <c r="H350" s="411"/>
      <c r="I350" s="411"/>
      <c r="J350" s="411"/>
      <c r="K350" s="411"/>
      <c r="L350" s="411"/>
      <c r="M350" s="411"/>
      <c r="N350" s="411"/>
      <c r="O350" s="411"/>
      <c r="P350" s="411"/>
      <c r="Q350" s="411"/>
      <c r="R350" s="411"/>
      <c r="S350" s="411"/>
      <c r="T350" s="411"/>
      <c r="U350" s="411"/>
      <c r="V350" s="411"/>
      <c r="W350" s="411"/>
      <c r="X350" s="411"/>
      <c r="Y350" s="411"/>
      <c r="Z350" s="411"/>
      <c r="AA350" s="411"/>
      <c r="AB350" s="411"/>
      <c r="AC350" s="400"/>
      <c r="AD350" s="408"/>
      <c r="AE350" s="408"/>
      <c r="AF350" s="412"/>
      <c r="AG350" s="354"/>
      <c r="AH350" s="354"/>
    </row>
    <row r="351" spans="1:34" ht="15.75" customHeight="1">
      <c r="A351" s="413"/>
      <c r="B351" s="414"/>
      <c r="C351" s="415"/>
      <c r="D351" s="411"/>
      <c r="E351" s="411"/>
      <c r="F351" s="411"/>
      <c r="G351" s="411"/>
      <c r="H351" s="411"/>
      <c r="I351" s="411"/>
      <c r="J351" s="411"/>
      <c r="K351" s="411"/>
      <c r="L351" s="411"/>
      <c r="M351" s="411"/>
      <c r="N351" s="411"/>
      <c r="O351" s="411"/>
      <c r="P351" s="411"/>
      <c r="Q351" s="411"/>
      <c r="R351" s="411"/>
      <c r="S351" s="411"/>
      <c r="T351" s="411"/>
      <c r="U351" s="411"/>
      <c r="V351" s="411"/>
      <c r="W351" s="411"/>
      <c r="X351" s="411"/>
      <c r="Y351" s="411"/>
      <c r="Z351" s="411"/>
      <c r="AA351" s="411"/>
      <c r="AB351" s="411"/>
      <c r="AC351" s="400"/>
      <c r="AD351" s="408"/>
      <c r="AE351" s="408"/>
      <c r="AF351" s="412"/>
      <c r="AG351" s="354"/>
      <c r="AH351" s="354"/>
    </row>
    <row r="352" spans="1:34" ht="15.75" customHeight="1">
      <c r="A352" s="413"/>
      <c r="B352" s="414"/>
      <c r="C352" s="415"/>
      <c r="D352" s="411"/>
      <c r="E352" s="411"/>
      <c r="F352" s="411"/>
      <c r="G352" s="411"/>
      <c r="H352" s="411"/>
      <c r="I352" s="411"/>
      <c r="J352" s="411"/>
      <c r="K352" s="411"/>
      <c r="L352" s="411"/>
      <c r="M352" s="411"/>
      <c r="N352" s="411"/>
      <c r="O352" s="411"/>
      <c r="P352" s="411"/>
      <c r="Q352" s="411"/>
      <c r="R352" s="411"/>
      <c r="S352" s="411"/>
      <c r="T352" s="411"/>
      <c r="U352" s="411"/>
      <c r="V352" s="411"/>
      <c r="W352" s="411"/>
      <c r="X352" s="411"/>
      <c r="Y352" s="411"/>
      <c r="Z352" s="411"/>
      <c r="AA352" s="411"/>
      <c r="AB352" s="411"/>
      <c r="AC352" s="400"/>
      <c r="AD352" s="408"/>
      <c r="AE352" s="408"/>
      <c r="AF352" s="412"/>
      <c r="AG352" s="354"/>
      <c r="AH352" s="354"/>
    </row>
    <row r="353" spans="1:34" ht="15.75" customHeight="1">
      <c r="A353" s="413"/>
      <c r="B353" s="414"/>
      <c r="C353" s="415"/>
      <c r="D353" s="411"/>
      <c r="E353" s="411"/>
      <c r="F353" s="411"/>
      <c r="G353" s="411"/>
      <c r="H353" s="411"/>
      <c r="I353" s="411"/>
      <c r="J353" s="411"/>
      <c r="K353" s="411"/>
      <c r="L353" s="411"/>
      <c r="M353" s="411"/>
      <c r="N353" s="411"/>
      <c r="O353" s="411"/>
      <c r="P353" s="411"/>
      <c r="Q353" s="411"/>
      <c r="R353" s="411"/>
      <c r="S353" s="411"/>
      <c r="T353" s="411"/>
      <c r="U353" s="411"/>
      <c r="V353" s="411"/>
      <c r="W353" s="411"/>
      <c r="X353" s="411"/>
      <c r="Y353" s="411"/>
      <c r="Z353" s="411"/>
      <c r="AA353" s="411"/>
      <c r="AB353" s="411"/>
      <c r="AC353" s="400"/>
      <c r="AD353" s="408"/>
      <c r="AE353" s="408"/>
      <c r="AF353" s="412"/>
      <c r="AG353" s="354"/>
      <c r="AH353" s="354"/>
    </row>
    <row r="354" spans="1:34" ht="15.75" customHeight="1">
      <c r="A354" s="413"/>
      <c r="B354" s="414"/>
      <c r="C354" s="415"/>
      <c r="D354" s="411"/>
      <c r="E354" s="411"/>
      <c r="F354" s="411"/>
      <c r="G354" s="411"/>
      <c r="H354" s="411"/>
      <c r="I354" s="411"/>
      <c r="J354" s="411"/>
      <c r="K354" s="411"/>
      <c r="L354" s="411"/>
      <c r="M354" s="411"/>
      <c r="N354" s="411"/>
      <c r="O354" s="411"/>
      <c r="P354" s="411"/>
      <c r="Q354" s="411"/>
      <c r="R354" s="411"/>
      <c r="S354" s="411"/>
      <c r="T354" s="411"/>
      <c r="U354" s="411"/>
      <c r="V354" s="411"/>
      <c r="W354" s="411"/>
      <c r="X354" s="411"/>
      <c r="Y354" s="411"/>
      <c r="Z354" s="411"/>
      <c r="AA354" s="411"/>
      <c r="AB354" s="411"/>
      <c r="AC354" s="400"/>
      <c r="AD354" s="408"/>
      <c r="AE354" s="408"/>
      <c r="AF354" s="412"/>
      <c r="AG354" s="354"/>
      <c r="AH354" s="354"/>
    </row>
    <row r="355" spans="1:34" ht="15.75" customHeight="1">
      <c r="A355" s="413"/>
      <c r="B355" s="414"/>
      <c r="C355" s="415"/>
      <c r="D355" s="411"/>
      <c r="E355" s="411"/>
      <c r="F355" s="411"/>
      <c r="G355" s="411"/>
      <c r="H355" s="411"/>
      <c r="I355" s="411"/>
      <c r="J355" s="411"/>
      <c r="K355" s="411"/>
      <c r="L355" s="411"/>
      <c r="M355" s="411"/>
      <c r="N355" s="411"/>
      <c r="O355" s="411"/>
      <c r="P355" s="411"/>
      <c r="Q355" s="411"/>
      <c r="R355" s="411"/>
      <c r="S355" s="411"/>
      <c r="T355" s="411"/>
      <c r="U355" s="411"/>
      <c r="V355" s="411"/>
      <c r="W355" s="411"/>
      <c r="X355" s="411"/>
      <c r="Y355" s="411"/>
      <c r="Z355" s="411"/>
      <c r="AA355" s="411"/>
      <c r="AB355" s="411"/>
      <c r="AC355" s="400"/>
      <c r="AD355" s="408"/>
      <c r="AE355" s="408"/>
      <c r="AF355" s="412"/>
      <c r="AG355" s="354"/>
      <c r="AH355" s="354"/>
    </row>
    <row r="356" spans="1:34" ht="15.75" customHeight="1">
      <c r="A356" s="413"/>
      <c r="B356" s="414"/>
      <c r="C356" s="415"/>
      <c r="D356" s="411"/>
      <c r="E356" s="411"/>
      <c r="F356" s="411"/>
      <c r="G356" s="411"/>
      <c r="H356" s="411"/>
      <c r="I356" s="411"/>
      <c r="J356" s="411"/>
      <c r="K356" s="411"/>
      <c r="L356" s="411"/>
      <c r="M356" s="411"/>
      <c r="N356" s="411"/>
      <c r="O356" s="411"/>
      <c r="P356" s="411"/>
      <c r="Q356" s="411"/>
      <c r="R356" s="411"/>
      <c r="S356" s="411"/>
      <c r="T356" s="411"/>
      <c r="U356" s="411"/>
      <c r="V356" s="411"/>
      <c r="W356" s="411"/>
      <c r="X356" s="411"/>
      <c r="Y356" s="411"/>
      <c r="Z356" s="411"/>
      <c r="AA356" s="411"/>
      <c r="AB356" s="411"/>
      <c r="AC356" s="400"/>
      <c r="AD356" s="408"/>
      <c r="AE356" s="408"/>
      <c r="AF356" s="412"/>
      <c r="AG356" s="354"/>
      <c r="AH356" s="354"/>
    </row>
    <row r="357" spans="1:34" ht="15.75" customHeight="1">
      <c r="A357" s="413"/>
      <c r="B357" s="414"/>
      <c r="C357" s="415"/>
      <c r="D357" s="411"/>
      <c r="E357" s="411"/>
      <c r="F357" s="411"/>
      <c r="G357" s="411"/>
      <c r="H357" s="411"/>
      <c r="I357" s="411"/>
      <c r="J357" s="411"/>
      <c r="K357" s="411"/>
      <c r="L357" s="411"/>
      <c r="M357" s="411"/>
      <c r="N357" s="411"/>
      <c r="O357" s="411"/>
      <c r="P357" s="411"/>
      <c r="Q357" s="411"/>
      <c r="R357" s="411"/>
      <c r="S357" s="411"/>
      <c r="T357" s="411"/>
      <c r="U357" s="411"/>
      <c r="V357" s="411"/>
      <c r="W357" s="411"/>
      <c r="X357" s="411"/>
      <c r="Y357" s="411"/>
      <c r="Z357" s="411"/>
      <c r="AA357" s="411"/>
      <c r="AB357" s="411"/>
      <c r="AC357" s="400"/>
      <c r="AD357" s="408"/>
      <c r="AE357" s="408"/>
      <c r="AF357" s="412"/>
      <c r="AG357" s="354"/>
      <c r="AH357" s="354"/>
    </row>
    <row r="358" spans="1:34" ht="15.75" customHeight="1">
      <c r="A358" s="413"/>
      <c r="B358" s="414"/>
      <c r="C358" s="415"/>
      <c r="D358" s="411"/>
      <c r="E358" s="411"/>
      <c r="F358" s="411"/>
      <c r="G358" s="411"/>
      <c r="H358" s="411"/>
      <c r="I358" s="411"/>
      <c r="J358" s="411"/>
      <c r="K358" s="411"/>
      <c r="L358" s="411"/>
      <c r="M358" s="411"/>
      <c r="N358" s="411"/>
      <c r="O358" s="411"/>
      <c r="P358" s="411"/>
      <c r="Q358" s="411"/>
      <c r="R358" s="411"/>
      <c r="S358" s="411"/>
      <c r="T358" s="411"/>
      <c r="U358" s="411"/>
      <c r="V358" s="411"/>
      <c r="W358" s="411"/>
      <c r="X358" s="411"/>
      <c r="Y358" s="411"/>
      <c r="Z358" s="411"/>
      <c r="AA358" s="411"/>
      <c r="AB358" s="411"/>
      <c r="AC358" s="400"/>
      <c r="AD358" s="408"/>
      <c r="AE358" s="408"/>
      <c r="AF358" s="412"/>
      <c r="AG358" s="354"/>
      <c r="AH358" s="354"/>
    </row>
    <row r="359" spans="1:34" ht="15.75" customHeight="1">
      <c r="A359" s="413"/>
      <c r="B359" s="414"/>
      <c r="C359" s="415"/>
      <c r="D359" s="411"/>
      <c r="E359" s="411"/>
      <c r="F359" s="411"/>
      <c r="G359" s="411"/>
      <c r="H359" s="411"/>
      <c r="I359" s="411"/>
      <c r="J359" s="411"/>
      <c r="K359" s="411"/>
      <c r="L359" s="411"/>
      <c r="M359" s="411"/>
      <c r="N359" s="411"/>
      <c r="O359" s="411"/>
      <c r="P359" s="411"/>
      <c r="Q359" s="411"/>
      <c r="R359" s="411"/>
      <c r="S359" s="411"/>
      <c r="T359" s="411"/>
      <c r="U359" s="411"/>
      <c r="V359" s="411"/>
      <c r="W359" s="411"/>
      <c r="X359" s="411"/>
      <c r="Y359" s="411"/>
      <c r="Z359" s="411"/>
      <c r="AA359" s="411"/>
      <c r="AB359" s="411"/>
      <c r="AC359" s="400"/>
      <c r="AD359" s="408"/>
      <c r="AE359" s="408"/>
      <c r="AF359" s="412"/>
      <c r="AG359" s="354"/>
      <c r="AH359" s="354"/>
    </row>
    <row r="360" spans="1:34" ht="15.75" customHeight="1">
      <c r="A360" s="413"/>
      <c r="B360" s="414"/>
      <c r="C360" s="415"/>
      <c r="D360" s="411"/>
      <c r="E360" s="411"/>
      <c r="F360" s="411"/>
      <c r="G360" s="411"/>
      <c r="H360" s="411"/>
      <c r="I360" s="411"/>
      <c r="J360" s="411"/>
      <c r="K360" s="411"/>
      <c r="L360" s="411"/>
      <c r="M360" s="411"/>
      <c r="N360" s="411"/>
      <c r="O360" s="411"/>
      <c r="P360" s="411"/>
      <c r="Q360" s="411"/>
      <c r="R360" s="411"/>
      <c r="S360" s="411"/>
      <c r="T360" s="411"/>
      <c r="U360" s="411"/>
      <c r="V360" s="411"/>
      <c r="W360" s="411"/>
      <c r="X360" s="411"/>
      <c r="Y360" s="411"/>
      <c r="Z360" s="411"/>
      <c r="AA360" s="411"/>
      <c r="AB360" s="411"/>
      <c r="AC360" s="400"/>
      <c r="AD360" s="408"/>
      <c r="AE360" s="408"/>
      <c r="AF360" s="412"/>
      <c r="AG360" s="354"/>
      <c r="AH360" s="354"/>
    </row>
    <row r="361" spans="1:34" ht="15.75" customHeight="1">
      <c r="A361" s="413"/>
      <c r="B361" s="414"/>
      <c r="C361" s="415"/>
      <c r="D361" s="411"/>
      <c r="E361" s="411"/>
      <c r="F361" s="411"/>
      <c r="G361" s="411"/>
      <c r="H361" s="411"/>
      <c r="I361" s="411"/>
      <c r="J361" s="411"/>
      <c r="K361" s="411"/>
      <c r="L361" s="411"/>
      <c r="M361" s="411"/>
      <c r="N361" s="411"/>
      <c r="O361" s="411"/>
      <c r="P361" s="411"/>
      <c r="Q361" s="411"/>
      <c r="R361" s="411"/>
      <c r="S361" s="411"/>
      <c r="T361" s="411"/>
      <c r="U361" s="411"/>
      <c r="V361" s="411"/>
      <c r="W361" s="411"/>
      <c r="X361" s="411"/>
      <c r="Y361" s="411"/>
      <c r="Z361" s="411"/>
      <c r="AA361" s="411"/>
      <c r="AB361" s="411"/>
      <c r="AC361" s="400"/>
      <c r="AD361" s="408"/>
      <c r="AE361" s="408"/>
      <c r="AF361" s="412"/>
      <c r="AG361" s="354"/>
      <c r="AH361" s="354"/>
    </row>
    <row r="362" spans="1:34" ht="15.75" customHeight="1">
      <c r="A362" s="413"/>
      <c r="B362" s="414"/>
      <c r="C362" s="415"/>
      <c r="D362" s="411"/>
      <c r="E362" s="411"/>
      <c r="F362" s="411"/>
      <c r="G362" s="411"/>
      <c r="H362" s="411"/>
      <c r="I362" s="411"/>
      <c r="J362" s="411"/>
      <c r="K362" s="411"/>
      <c r="L362" s="411"/>
      <c r="M362" s="411"/>
      <c r="N362" s="411"/>
      <c r="O362" s="411"/>
      <c r="P362" s="411"/>
      <c r="Q362" s="411"/>
      <c r="R362" s="411"/>
      <c r="S362" s="411"/>
      <c r="T362" s="411"/>
      <c r="U362" s="411"/>
      <c r="V362" s="411"/>
      <c r="W362" s="411"/>
      <c r="X362" s="411"/>
      <c r="Y362" s="411"/>
      <c r="Z362" s="411"/>
      <c r="AA362" s="411"/>
      <c r="AB362" s="411"/>
      <c r="AC362" s="400"/>
      <c r="AD362" s="408"/>
      <c r="AE362" s="408"/>
      <c r="AF362" s="412"/>
      <c r="AG362" s="354"/>
      <c r="AH362" s="354"/>
    </row>
    <row r="363" spans="1:34" ht="15.75" customHeight="1">
      <c r="A363" s="413"/>
      <c r="B363" s="414"/>
      <c r="C363" s="415"/>
      <c r="D363" s="411"/>
      <c r="E363" s="411"/>
      <c r="F363" s="411"/>
      <c r="G363" s="411"/>
      <c r="H363" s="411"/>
      <c r="I363" s="411"/>
      <c r="J363" s="411"/>
      <c r="K363" s="411"/>
      <c r="L363" s="411"/>
      <c r="M363" s="411"/>
      <c r="N363" s="411"/>
      <c r="O363" s="411"/>
      <c r="P363" s="411"/>
      <c r="Q363" s="411"/>
      <c r="R363" s="411"/>
      <c r="S363" s="411"/>
      <c r="T363" s="411"/>
      <c r="U363" s="411"/>
      <c r="V363" s="411"/>
      <c r="W363" s="411"/>
      <c r="X363" s="411"/>
      <c r="Y363" s="411"/>
      <c r="Z363" s="411"/>
      <c r="AA363" s="411"/>
      <c r="AB363" s="411"/>
      <c r="AC363" s="400"/>
      <c r="AD363" s="408"/>
      <c r="AE363" s="408"/>
      <c r="AF363" s="412"/>
      <c r="AG363" s="354"/>
      <c r="AH363" s="354"/>
    </row>
    <row r="364" spans="1:34" ht="15.75" customHeight="1">
      <c r="A364" s="413"/>
      <c r="B364" s="414"/>
      <c r="C364" s="415"/>
      <c r="D364" s="411"/>
      <c r="E364" s="411"/>
      <c r="F364" s="411"/>
      <c r="G364" s="411"/>
      <c r="H364" s="411"/>
      <c r="I364" s="411"/>
      <c r="J364" s="411"/>
      <c r="K364" s="411"/>
      <c r="L364" s="411"/>
      <c r="M364" s="411"/>
      <c r="N364" s="411"/>
      <c r="O364" s="411"/>
      <c r="P364" s="411"/>
      <c r="Q364" s="411"/>
      <c r="R364" s="411"/>
      <c r="S364" s="411"/>
      <c r="T364" s="411"/>
      <c r="U364" s="411"/>
      <c r="V364" s="411"/>
      <c r="W364" s="411"/>
      <c r="X364" s="411"/>
      <c r="Y364" s="411"/>
      <c r="Z364" s="411"/>
      <c r="AA364" s="411"/>
      <c r="AB364" s="411"/>
      <c r="AC364" s="400"/>
      <c r="AD364" s="408"/>
      <c r="AE364" s="408"/>
      <c r="AF364" s="412"/>
      <c r="AG364" s="354"/>
      <c r="AH364" s="354"/>
    </row>
    <row r="365" spans="1:34" ht="15.75" customHeight="1">
      <c r="A365" s="413"/>
      <c r="B365" s="414"/>
      <c r="C365" s="415"/>
      <c r="D365" s="411"/>
      <c r="E365" s="411"/>
      <c r="F365" s="411"/>
      <c r="G365" s="411"/>
      <c r="H365" s="411"/>
      <c r="I365" s="411"/>
      <c r="J365" s="411"/>
      <c r="K365" s="411"/>
      <c r="L365" s="411"/>
      <c r="M365" s="411"/>
      <c r="N365" s="411"/>
      <c r="O365" s="411"/>
      <c r="P365" s="411"/>
      <c r="Q365" s="411"/>
      <c r="R365" s="411"/>
      <c r="S365" s="411"/>
      <c r="T365" s="411"/>
      <c r="U365" s="411"/>
      <c r="V365" s="411"/>
      <c r="W365" s="411"/>
      <c r="X365" s="411"/>
      <c r="Y365" s="411"/>
      <c r="Z365" s="411"/>
      <c r="AA365" s="411"/>
      <c r="AB365" s="411"/>
      <c r="AC365" s="400"/>
      <c r="AD365" s="408"/>
      <c r="AE365" s="408"/>
      <c r="AF365" s="412"/>
      <c r="AG365" s="354"/>
      <c r="AH365" s="354"/>
    </row>
    <row r="366" spans="1:34" ht="15.75" customHeight="1">
      <c r="A366" s="413"/>
      <c r="B366" s="414"/>
      <c r="C366" s="415"/>
      <c r="D366" s="411"/>
      <c r="E366" s="411"/>
      <c r="F366" s="411"/>
      <c r="G366" s="411"/>
      <c r="H366" s="411"/>
      <c r="I366" s="411"/>
      <c r="J366" s="411"/>
      <c r="K366" s="411"/>
      <c r="L366" s="411"/>
      <c r="M366" s="411"/>
      <c r="N366" s="411"/>
      <c r="O366" s="411"/>
      <c r="P366" s="411"/>
      <c r="Q366" s="411"/>
      <c r="R366" s="411"/>
      <c r="S366" s="411"/>
      <c r="T366" s="411"/>
      <c r="U366" s="411"/>
      <c r="V366" s="411"/>
      <c r="W366" s="411"/>
      <c r="X366" s="411"/>
      <c r="Y366" s="411"/>
      <c r="Z366" s="411"/>
      <c r="AA366" s="411"/>
      <c r="AB366" s="411"/>
      <c r="AC366" s="400"/>
      <c r="AD366" s="408"/>
      <c r="AE366" s="408"/>
      <c r="AF366" s="412"/>
      <c r="AG366" s="354"/>
      <c r="AH366" s="354"/>
    </row>
    <row r="367" spans="1:34" ht="15.75" customHeight="1">
      <c r="A367" s="413"/>
      <c r="B367" s="414"/>
      <c r="C367" s="415"/>
      <c r="D367" s="411"/>
      <c r="E367" s="411"/>
      <c r="F367" s="411"/>
      <c r="G367" s="411"/>
      <c r="H367" s="411"/>
      <c r="I367" s="411"/>
      <c r="J367" s="411"/>
      <c r="K367" s="411"/>
      <c r="L367" s="411"/>
      <c r="M367" s="411"/>
      <c r="N367" s="411"/>
      <c r="O367" s="411"/>
      <c r="P367" s="411"/>
      <c r="Q367" s="411"/>
      <c r="R367" s="411"/>
      <c r="S367" s="411"/>
      <c r="T367" s="411"/>
      <c r="U367" s="411"/>
      <c r="V367" s="411"/>
      <c r="W367" s="411"/>
      <c r="X367" s="411"/>
      <c r="Y367" s="411"/>
      <c r="Z367" s="411"/>
      <c r="AA367" s="411"/>
      <c r="AB367" s="411"/>
      <c r="AC367" s="400"/>
      <c r="AD367" s="408"/>
      <c r="AE367" s="408"/>
      <c r="AF367" s="412"/>
      <c r="AG367" s="354"/>
      <c r="AH367" s="354"/>
    </row>
    <row r="368" spans="1:34" ht="15.75" customHeight="1">
      <c r="A368" s="413"/>
      <c r="B368" s="414"/>
      <c r="C368" s="415"/>
      <c r="D368" s="411"/>
      <c r="E368" s="411"/>
      <c r="F368" s="411"/>
      <c r="G368" s="411"/>
      <c r="H368" s="411"/>
      <c r="I368" s="411"/>
      <c r="J368" s="411"/>
      <c r="K368" s="411"/>
      <c r="L368" s="411"/>
      <c r="M368" s="411"/>
      <c r="N368" s="411"/>
      <c r="O368" s="411"/>
      <c r="P368" s="411"/>
      <c r="Q368" s="411"/>
      <c r="R368" s="411"/>
      <c r="S368" s="411"/>
      <c r="T368" s="411"/>
      <c r="U368" s="411"/>
      <c r="V368" s="411"/>
      <c r="W368" s="411"/>
      <c r="X368" s="411"/>
      <c r="Y368" s="411"/>
      <c r="Z368" s="411"/>
      <c r="AA368" s="411"/>
      <c r="AB368" s="411"/>
      <c r="AC368" s="400"/>
      <c r="AD368" s="408"/>
      <c r="AE368" s="408"/>
      <c r="AF368" s="412"/>
      <c r="AG368" s="354"/>
      <c r="AH368" s="354"/>
    </row>
    <row r="369" spans="1:34" ht="15.75" customHeight="1">
      <c r="A369" s="413"/>
      <c r="B369" s="414"/>
      <c r="C369" s="415"/>
      <c r="D369" s="411"/>
      <c r="E369" s="411"/>
      <c r="F369" s="411"/>
      <c r="G369" s="411"/>
      <c r="H369" s="411"/>
      <c r="I369" s="411"/>
      <c r="J369" s="411"/>
      <c r="K369" s="411"/>
      <c r="L369" s="411"/>
      <c r="M369" s="411"/>
      <c r="N369" s="411"/>
      <c r="O369" s="411"/>
      <c r="P369" s="411"/>
      <c r="Q369" s="411"/>
      <c r="R369" s="411"/>
      <c r="S369" s="411"/>
      <c r="T369" s="411"/>
      <c r="U369" s="411"/>
      <c r="V369" s="411"/>
      <c r="W369" s="411"/>
      <c r="X369" s="411"/>
      <c r="Y369" s="411"/>
      <c r="Z369" s="411"/>
      <c r="AA369" s="411"/>
      <c r="AB369" s="411"/>
      <c r="AC369" s="400"/>
      <c r="AD369" s="408"/>
      <c r="AE369" s="408"/>
      <c r="AF369" s="412"/>
      <c r="AG369" s="354"/>
      <c r="AH369" s="354"/>
    </row>
    <row r="370" spans="1:34" ht="15.75" customHeight="1">
      <c r="A370" s="413"/>
      <c r="B370" s="414"/>
      <c r="C370" s="415"/>
      <c r="D370" s="411"/>
      <c r="E370" s="411"/>
      <c r="F370" s="411"/>
      <c r="G370" s="411"/>
      <c r="H370" s="411"/>
      <c r="I370" s="411"/>
      <c r="J370" s="411"/>
      <c r="K370" s="411"/>
      <c r="L370" s="411"/>
      <c r="M370" s="411"/>
      <c r="N370" s="411"/>
      <c r="O370" s="411"/>
      <c r="P370" s="411"/>
      <c r="Q370" s="411"/>
      <c r="R370" s="411"/>
      <c r="S370" s="411"/>
      <c r="T370" s="411"/>
      <c r="U370" s="411"/>
      <c r="V370" s="411"/>
      <c r="W370" s="411"/>
      <c r="X370" s="411"/>
      <c r="Y370" s="411"/>
      <c r="Z370" s="411"/>
      <c r="AA370" s="411"/>
      <c r="AB370" s="411"/>
      <c r="AC370" s="400"/>
      <c r="AD370" s="408"/>
      <c r="AE370" s="408"/>
      <c r="AF370" s="412"/>
      <c r="AG370" s="354"/>
      <c r="AH370" s="354"/>
    </row>
    <row r="371" spans="1:34" ht="15.75" customHeight="1">
      <c r="A371" s="413"/>
      <c r="B371" s="414"/>
      <c r="C371" s="415"/>
      <c r="D371" s="411"/>
      <c r="E371" s="411"/>
      <c r="F371" s="411"/>
      <c r="G371" s="411"/>
      <c r="H371" s="411"/>
      <c r="I371" s="411"/>
      <c r="J371" s="411"/>
      <c r="K371" s="411"/>
      <c r="L371" s="411"/>
      <c r="M371" s="411"/>
      <c r="N371" s="411"/>
      <c r="O371" s="411"/>
      <c r="P371" s="411"/>
      <c r="Q371" s="411"/>
      <c r="R371" s="411"/>
      <c r="S371" s="411"/>
      <c r="T371" s="411"/>
      <c r="U371" s="411"/>
      <c r="V371" s="411"/>
      <c r="W371" s="411"/>
      <c r="X371" s="411"/>
      <c r="Y371" s="411"/>
      <c r="Z371" s="411"/>
      <c r="AA371" s="411"/>
      <c r="AB371" s="411"/>
      <c r="AC371" s="400"/>
      <c r="AD371" s="408"/>
      <c r="AE371" s="408"/>
      <c r="AF371" s="412"/>
      <c r="AG371" s="354"/>
      <c r="AH371" s="354"/>
    </row>
    <row r="372" spans="1:34" ht="15.75" customHeight="1">
      <c r="A372" s="413"/>
      <c r="B372" s="414"/>
      <c r="C372" s="415"/>
      <c r="D372" s="411"/>
      <c r="E372" s="411"/>
      <c r="F372" s="411"/>
      <c r="G372" s="411"/>
      <c r="H372" s="411"/>
      <c r="I372" s="411"/>
      <c r="J372" s="411"/>
      <c r="K372" s="411"/>
      <c r="L372" s="411"/>
      <c r="M372" s="411"/>
      <c r="N372" s="411"/>
      <c r="O372" s="411"/>
      <c r="P372" s="411"/>
      <c r="Q372" s="411"/>
      <c r="R372" s="411"/>
      <c r="S372" s="411"/>
      <c r="T372" s="411"/>
      <c r="U372" s="411"/>
      <c r="V372" s="411"/>
      <c r="W372" s="411"/>
      <c r="X372" s="411"/>
      <c r="Y372" s="411"/>
      <c r="Z372" s="411"/>
      <c r="AA372" s="411"/>
      <c r="AB372" s="411"/>
      <c r="AC372" s="400"/>
      <c r="AD372" s="408"/>
      <c r="AE372" s="408"/>
      <c r="AF372" s="412"/>
      <c r="AG372" s="354"/>
      <c r="AH372" s="354"/>
    </row>
    <row r="373" spans="1:34" ht="15.75" customHeight="1">
      <c r="A373" s="413"/>
      <c r="B373" s="414"/>
      <c r="C373" s="415"/>
      <c r="D373" s="411"/>
      <c r="E373" s="411"/>
      <c r="F373" s="411"/>
      <c r="G373" s="411"/>
      <c r="H373" s="411"/>
      <c r="I373" s="411"/>
      <c r="J373" s="411"/>
      <c r="K373" s="411"/>
      <c r="L373" s="411"/>
      <c r="M373" s="411"/>
      <c r="N373" s="411"/>
      <c r="O373" s="411"/>
      <c r="P373" s="411"/>
      <c r="Q373" s="411"/>
      <c r="R373" s="411"/>
      <c r="S373" s="411"/>
      <c r="T373" s="411"/>
      <c r="U373" s="411"/>
      <c r="V373" s="411"/>
      <c r="W373" s="411"/>
      <c r="X373" s="411"/>
      <c r="Y373" s="411"/>
      <c r="Z373" s="411"/>
      <c r="AA373" s="411"/>
      <c r="AB373" s="411"/>
      <c r="AC373" s="400"/>
      <c r="AD373" s="408"/>
      <c r="AE373" s="408"/>
      <c r="AF373" s="412"/>
      <c r="AG373" s="354"/>
      <c r="AH373" s="354"/>
    </row>
    <row r="374" spans="1:34" ht="15.75" customHeight="1">
      <c r="A374" s="413"/>
      <c r="B374" s="414"/>
      <c r="C374" s="415"/>
      <c r="D374" s="411"/>
      <c r="E374" s="411"/>
      <c r="F374" s="411"/>
      <c r="G374" s="411"/>
      <c r="H374" s="411"/>
      <c r="I374" s="411"/>
      <c r="J374" s="411"/>
      <c r="K374" s="411"/>
      <c r="L374" s="411"/>
      <c r="M374" s="411"/>
      <c r="N374" s="411"/>
      <c r="O374" s="411"/>
      <c r="P374" s="411"/>
      <c r="Q374" s="411"/>
      <c r="R374" s="411"/>
      <c r="S374" s="411"/>
      <c r="T374" s="411"/>
      <c r="U374" s="411"/>
      <c r="V374" s="411"/>
      <c r="W374" s="411"/>
      <c r="X374" s="411"/>
      <c r="Y374" s="411"/>
      <c r="Z374" s="411"/>
      <c r="AA374" s="411"/>
      <c r="AB374" s="411"/>
      <c r="AC374" s="400"/>
      <c r="AD374" s="408"/>
      <c r="AE374" s="408"/>
      <c r="AF374" s="412"/>
      <c r="AG374" s="354"/>
      <c r="AH374" s="354"/>
    </row>
    <row r="375" spans="1:34" ht="15.75" customHeight="1">
      <c r="A375" s="413"/>
      <c r="B375" s="414"/>
      <c r="C375" s="415"/>
      <c r="D375" s="411"/>
      <c r="E375" s="411"/>
      <c r="F375" s="411"/>
      <c r="G375" s="411"/>
      <c r="H375" s="411"/>
      <c r="I375" s="411"/>
      <c r="J375" s="411"/>
      <c r="K375" s="411"/>
      <c r="L375" s="411"/>
      <c r="M375" s="411"/>
      <c r="N375" s="411"/>
      <c r="O375" s="411"/>
      <c r="P375" s="411"/>
      <c r="Q375" s="411"/>
      <c r="R375" s="411"/>
      <c r="S375" s="411"/>
      <c r="T375" s="411"/>
      <c r="U375" s="411"/>
      <c r="V375" s="411"/>
      <c r="W375" s="411"/>
      <c r="X375" s="411"/>
      <c r="Y375" s="411"/>
      <c r="Z375" s="411"/>
      <c r="AA375" s="411"/>
      <c r="AB375" s="411"/>
      <c r="AC375" s="400"/>
      <c r="AD375" s="408"/>
      <c r="AE375" s="408"/>
      <c r="AF375" s="412"/>
      <c r="AG375" s="354"/>
      <c r="AH375" s="354"/>
    </row>
    <row r="376" spans="1:34" ht="15.75" customHeight="1">
      <c r="A376" s="413"/>
      <c r="B376" s="414"/>
      <c r="C376" s="415"/>
      <c r="D376" s="411"/>
      <c r="E376" s="411"/>
      <c r="F376" s="411"/>
      <c r="G376" s="411"/>
      <c r="H376" s="411"/>
      <c r="I376" s="411"/>
      <c r="J376" s="411"/>
      <c r="K376" s="411"/>
      <c r="L376" s="411"/>
      <c r="M376" s="411"/>
      <c r="N376" s="411"/>
      <c r="O376" s="411"/>
      <c r="P376" s="411"/>
      <c r="Q376" s="411"/>
      <c r="R376" s="411"/>
      <c r="S376" s="411"/>
      <c r="T376" s="411"/>
      <c r="U376" s="411"/>
      <c r="V376" s="411"/>
      <c r="W376" s="411"/>
      <c r="X376" s="411"/>
      <c r="Y376" s="411"/>
      <c r="Z376" s="411"/>
      <c r="AA376" s="411"/>
      <c r="AB376" s="411"/>
      <c r="AC376" s="400"/>
      <c r="AD376" s="408"/>
      <c r="AE376" s="408"/>
      <c r="AF376" s="412"/>
      <c r="AG376" s="354"/>
      <c r="AH376" s="354"/>
    </row>
    <row r="377" spans="1:34" ht="15.75" customHeight="1">
      <c r="A377" s="413"/>
      <c r="B377" s="414"/>
      <c r="C377" s="415"/>
      <c r="D377" s="411"/>
      <c r="E377" s="411"/>
      <c r="F377" s="411"/>
      <c r="G377" s="411"/>
      <c r="H377" s="411"/>
      <c r="I377" s="411"/>
      <c r="J377" s="411"/>
      <c r="K377" s="411"/>
      <c r="L377" s="411"/>
      <c r="M377" s="411"/>
      <c r="N377" s="411"/>
      <c r="O377" s="411"/>
      <c r="P377" s="411"/>
      <c r="Q377" s="411"/>
      <c r="R377" s="411"/>
      <c r="S377" s="411"/>
      <c r="T377" s="411"/>
      <c r="U377" s="411"/>
      <c r="V377" s="411"/>
      <c r="W377" s="411"/>
      <c r="X377" s="411"/>
      <c r="Y377" s="411"/>
      <c r="Z377" s="411"/>
      <c r="AA377" s="411"/>
      <c r="AB377" s="411"/>
      <c r="AC377" s="400"/>
      <c r="AD377" s="408"/>
      <c r="AE377" s="408"/>
      <c r="AF377" s="412"/>
      <c r="AG377" s="354"/>
      <c r="AH377" s="354"/>
    </row>
    <row r="378" spans="1:34" ht="15.75" customHeight="1">
      <c r="A378" s="413"/>
      <c r="B378" s="414"/>
      <c r="C378" s="415"/>
      <c r="D378" s="411"/>
      <c r="E378" s="411"/>
      <c r="F378" s="411"/>
      <c r="G378" s="411"/>
      <c r="H378" s="411"/>
      <c r="I378" s="411"/>
      <c r="J378" s="411"/>
      <c r="K378" s="411"/>
      <c r="L378" s="411"/>
      <c r="M378" s="411"/>
      <c r="N378" s="411"/>
      <c r="O378" s="411"/>
      <c r="P378" s="411"/>
      <c r="Q378" s="411"/>
      <c r="R378" s="411"/>
      <c r="S378" s="411"/>
      <c r="T378" s="411"/>
      <c r="U378" s="411"/>
      <c r="V378" s="411"/>
      <c r="W378" s="411"/>
      <c r="X378" s="411"/>
      <c r="Y378" s="411"/>
      <c r="Z378" s="411"/>
      <c r="AA378" s="411"/>
      <c r="AB378" s="411"/>
      <c r="AC378" s="400"/>
      <c r="AD378" s="408"/>
      <c r="AE378" s="408"/>
      <c r="AF378" s="412"/>
      <c r="AG378" s="354"/>
      <c r="AH378" s="354"/>
    </row>
    <row r="379" spans="1:34" ht="15.75" customHeight="1">
      <c r="A379" s="413"/>
      <c r="B379" s="414"/>
      <c r="C379" s="415"/>
      <c r="D379" s="411"/>
      <c r="E379" s="411"/>
      <c r="F379" s="411"/>
      <c r="G379" s="411"/>
      <c r="H379" s="411"/>
      <c r="I379" s="411"/>
      <c r="J379" s="411"/>
      <c r="K379" s="411"/>
      <c r="L379" s="411"/>
      <c r="M379" s="411"/>
      <c r="N379" s="411"/>
      <c r="O379" s="411"/>
      <c r="P379" s="411"/>
      <c r="Q379" s="411"/>
      <c r="R379" s="411"/>
      <c r="S379" s="411"/>
      <c r="T379" s="411"/>
      <c r="U379" s="411"/>
      <c r="V379" s="411"/>
      <c r="W379" s="411"/>
      <c r="X379" s="411"/>
      <c r="Y379" s="411"/>
      <c r="Z379" s="411"/>
      <c r="AA379" s="411"/>
      <c r="AB379" s="411"/>
      <c r="AC379" s="400"/>
      <c r="AD379" s="408"/>
      <c r="AE379" s="408"/>
      <c r="AF379" s="412"/>
      <c r="AG379" s="354"/>
      <c r="AH379" s="354"/>
    </row>
    <row r="380" spans="1:34" ht="15.75" customHeight="1">
      <c r="A380" s="413"/>
      <c r="B380" s="414"/>
      <c r="C380" s="415"/>
      <c r="D380" s="411"/>
      <c r="E380" s="411"/>
      <c r="F380" s="411"/>
      <c r="G380" s="411"/>
      <c r="H380" s="411"/>
      <c r="I380" s="411"/>
      <c r="J380" s="411"/>
      <c r="K380" s="411"/>
      <c r="L380" s="411"/>
      <c r="M380" s="411"/>
      <c r="N380" s="411"/>
      <c r="O380" s="411"/>
      <c r="P380" s="411"/>
      <c r="Q380" s="411"/>
      <c r="R380" s="411"/>
      <c r="S380" s="411"/>
      <c r="T380" s="411"/>
      <c r="U380" s="411"/>
      <c r="V380" s="411"/>
      <c r="W380" s="411"/>
      <c r="X380" s="411"/>
      <c r="Y380" s="411"/>
      <c r="Z380" s="411"/>
      <c r="AA380" s="411"/>
      <c r="AB380" s="411"/>
      <c r="AC380" s="400"/>
      <c r="AD380" s="408"/>
      <c r="AE380" s="408"/>
      <c r="AF380" s="412"/>
      <c r="AG380" s="354"/>
      <c r="AH380" s="354"/>
    </row>
    <row r="381" spans="1:34" ht="15.75" customHeight="1">
      <c r="A381" s="413"/>
      <c r="B381" s="414"/>
      <c r="C381" s="415"/>
      <c r="D381" s="411"/>
      <c r="E381" s="411"/>
      <c r="F381" s="411"/>
      <c r="G381" s="411"/>
      <c r="H381" s="411"/>
      <c r="I381" s="411"/>
      <c r="J381" s="411"/>
      <c r="K381" s="411"/>
      <c r="L381" s="411"/>
      <c r="M381" s="411"/>
      <c r="N381" s="411"/>
      <c r="O381" s="411"/>
      <c r="P381" s="411"/>
      <c r="Q381" s="411"/>
      <c r="R381" s="411"/>
      <c r="S381" s="411"/>
      <c r="T381" s="411"/>
      <c r="U381" s="411"/>
      <c r="V381" s="411"/>
      <c r="W381" s="411"/>
      <c r="X381" s="411"/>
      <c r="Y381" s="411"/>
      <c r="Z381" s="411"/>
      <c r="AA381" s="411"/>
      <c r="AB381" s="411"/>
      <c r="AC381" s="400"/>
      <c r="AD381" s="408"/>
      <c r="AE381" s="408"/>
      <c r="AF381" s="412"/>
      <c r="AG381" s="354"/>
      <c r="AH381" s="354"/>
    </row>
    <row r="382" spans="1:34" ht="15.75" customHeight="1">
      <c r="A382" s="413"/>
      <c r="B382" s="414"/>
      <c r="C382" s="415"/>
      <c r="D382" s="411"/>
      <c r="E382" s="411"/>
      <c r="F382" s="411"/>
      <c r="G382" s="411"/>
      <c r="H382" s="411"/>
      <c r="I382" s="411"/>
      <c r="J382" s="411"/>
      <c r="K382" s="411"/>
      <c r="L382" s="411"/>
      <c r="M382" s="411"/>
      <c r="N382" s="411"/>
      <c r="O382" s="411"/>
      <c r="P382" s="411"/>
      <c r="Q382" s="411"/>
      <c r="R382" s="411"/>
      <c r="S382" s="411"/>
      <c r="T382" s="411"/>
      <c r="U382" s="411"/>
      <c r="V382" s="411"/>
      <c r="W382" s="411"/>
      <c r="X382" s="411"/>
      <c r="Y382" s="411"/>
      <c r="Z382" s="411"/>
      <c r="AA382" s="411"/>
      <c r="AB382" s="411"/>
      <c r="AC382" s="400"/>
      <c r="AD382" s="408"/>
      <c r="AE382" s="408"/>
      <c r="AF382" s="412"/>
      <c r="AG382" s="354"/>
      <c r="AH382" s="354"/>
    </row>
    <row r="383" spans="1:34" ht="15.75" customHeight="1">
      <c r="A383" s="413"/>
      <c r="B383" s="414"/>
      <c r="C383" s="415"/>
      <c r="D383" s="411"/>
      <c r="E383" s="411"/>
      <c r="F383" s="411"/>
      <c r="G383" s="411"/>
      <c r="H383" s="411"/>
      <c r="I383" s="411"/>
      <c r="J383" s="411"/>
      <c r="K383" s="411"/>
      <c r="L383" s="411"/>
      <c r="M383" s="411"/>
      <c r="N383" s="411"/>
      <c r="O383" s="411"/>
      <c r="P383" s="411"/>
      <c r="Q383" s="411"/>
      <c r="R383" s="411"/>
      <c r="S383" s="411"/>
      <c r="T383" s="411"/>
      <c r="U383" s="411"/>
      <c r="V383" s="411"/>
      <c r="W383" s="411"/>
      <c r="X383" s="411"/>
      <c r="Y383" s="411"/>
      <c r="Z383" s="411"/>
      <c r="AA383" s="411"/>
      <c r="AB383" s="411"/>
      <c r="AC383" s="400"/>
      <c r="AD383" s="408"/>
      <c r="AE383" s="408"/>
      <c r="AF383" s="412"/>
      <c r="AG383" s="354"/>
      <c r="AH383" s="354"/>
    </row>
    <row r="384" spans="1:34" ht="15.75" customHeight="1">
      <c r="A384" s="413"/>
      <c r="B384" s="414"/>
      <c r="C384" s="415"/>
      <c r="D384" s="411"/>
      <c r="E384" s="411"/>
      <c r="F384" s="411"/>
      <c r="G384" s="411"/>
      <c r="H384" s="411"/>
      <c r="I384" s="411"/>
      <c r="J384" s="411"/>
      <c r="K384" s="411"/>
      <c r="L384" s="411"/>
      <c r="M384" s="411"/>
      <c r="N384" s="411"/>
      <c r="O384" s="411"/>
      <c r="P384" s="411"/>
      <c r="Q384" s="411"/>
      <c r="R384" s="411"/>
      <c r="S384" s="411"/>
      <c r="T384" s="411"/>
      <c r="U384" s="411"/>
      <c r="V384" s="411"/>
      <c r="W384" s="411"/>
      <c r="X384" s="411"/>
      <c r="Y384" s="411"/>
      <c r="Z384" s="411"/>
      <c r="AA384" s="411"/>
      <c r="AB384" s="411"/>
      <c r="AC384" s="400"/>
      <c r="AD384" s="408"/>
      <c r="AE384" s="408"/>
      <c r="AF384" s="412"/>
      <c r="AG384" s="354"/>
      <c r="AH384" s="354"/>
    </row>
    <row r="385" spans="1:34" ht="15.75" customHeight="1">
      <c r="A385" s="413"/>
      <c r="B385" s="414"/>
      <c r="C385" s="415"/>
      <c r="D385" s="411"/>
      <c r="E385" s="411"/>
      <c r="F385" s="411"/>
      <c r="G385" s="411"/>
      <c r="H385" s="411"/>
      <c r="I385" s="411"/>
      <c r="J385" s="411"/>
      <c r="K385" s="411"/>
      <c r="L385" s="411"/>
      <c r="M385" s="411"/>
      <c r="N385" s="411"/>
      <c r="O385" s="411"/>
      <c r="P385" s="411"/>
      <c r="Q385" s="411"/>
      <c r="R385" s="411"/>
      <c r="S385" s="411"/>
      <c r="T385" s="411"/>
      <c r="U385" s="411"/>
      <c r="V385" s="411"/>
      <c r="W385" s="411"/>
      <c r="X385" s="411"/>
      <c r="Y385" s="411"/>
      <c r="Z385" s="411"/>
      <c r="AA385" s="411"/>
      <c r="AB385" s="411"/>
      <c r="AC385" s="400"/>
      <c r="AD385" s="408"/>
      <c r="AE385" s="408"/>
      <c r="AF385" s="412"/>
      <c r="AG385" s="354"/>
      <c r="AH385" s="354"/>
    </row>
    <row r="386" spans="1:34" ht="15.75" customHeight="1">
      <c r="A386" s="413"/>
      <c r="B386" s="414"/>
      <c r="C386" s="415"/>
      <c r="D386" s="411"/>
      <c r="E386" s="411"/>
      <c r="F386" s="411"/>
      <c r="G386" s="411"/>
      <c r="H386" s="411"/>
      <c r="I386" s="411"/>
      <c r="J386" s="411"/>
      <c r="K386" s="411"/>
      <c r="L386" s="411"/>
      <c r="M386" s="411"/>
      <c r="N386" s="411"/>
      <c r="O386" s="411"/>
      <c r="P386" s="411"/>
      <c r="Q386" s="411"/>
      <c r="R386" s="411"/>
      <c r="S386" s="411"/>
      <c r="T386" s="411"/>
      <c r="U386" s="411"/>
      <c r="V386" s="411"/>
      <c r="W386" s="411"/>
      <c r="X386" s="411"/>
      <c r="Y386" s="411"/>
      <c r="Z386" s="411"/>
      <c r="AA386" s="411"/>
      <c r="AB386" s="411"/>
      <c r="AC386" s="400"/>
      <c r="AD386" s="408"/>
      <c r="AE386" s="408"/>
      <c r="AF386" s="412"/>
      <c r="AG386" s="354"/>
      <c r="AH386" s="354"/>
    </row>
    <row r="387" spans="1:34" ht="15.75" customHeight="1">
      <c r="A387" s="413"/>
      <c r="B387" s="414"/>
      <c r="C387" s="415"/>
      <c r="D387" s="411"/>
      <c r="E387" s="411"/>
      <c r="F387" s="411"/>
      <c r="G387" s="411"/>
      <c r="H387" s="411"/>
      <c r="I387" s="411"/>
      <c r="J387" s="411"/>
      <c r="K387" s="411"/>
      <c r="L387" s="411"/>
      <c r="M387" s="411"/>
      <c r="N387" s="411"/>
      <c r="O387" s="411"/>
      <c r="P387" s="411"/>
      <c r="Q387" s="411"/>
      <c r="R387" s="411"/>
      <c r="S387" s="411"/>
      <c r="T387" s="411"/>
      <c r="U387" s="411"/>
      <c r="V387" s="411"/>
      <c r="W387" s="411"/>
      <c r="X387" s="411"/>
      <c r="Y387" s="411"/>
      <c r="Z387" s="411"/>
      <c r="AA387" s="411"/>
      <c r="AB387" s="411"/>
      <c r="AC387" s="400"/>
      <c r="AD387" s="408"/>
      <c r="AE387" s="408"/>
      <c r="AF387" s="412"/>
      <c r="AG387" s="354"/>
      <c r="AH387" s="354"/>
    </row>
    <row r="388" spans="1:34" ht="15.75" customHeight="1">
      <c r="A388" s="413"/>
      <c r="B388" s="414"/>
      <c r="C388" s="415"/>
      <c r="D388" s="411"/>
      <c r="E388" s="411"/>
      <c r="F388" s="411"/>
      <c r="G388" s="411"/>
      <c r="H388" s="411"/>
      <c r="I388" s="411"/>
      <c r="J388" s="411"/>
      <c r="K388" s="411"/>
      <c r="L388" s="411"/>
      <c r="M388" s="411"/>
      <c r="N388" s="411"/>
      <c r="O388" s="411"/>
      <c r="P388" s="411"/>
      <c r="Q388" s="411"/>
      <c r="R388" s="411"/>
      <c r="S388" s="411"/>
      <c r="T388" s="411"/>
      <c r="U388" s="411"/>
      <c r="V388" s="411"/>
      <c r="W388" s="411"/>
      <c r="X388" s="411"/>
      <c r="Y388" s="411"/>
      <c r="Z388" s="411"/>
      <c r="AA388" s="411"/>
      <c r="AB388" s="411"/>
      <c r="AC388" s="400"/>
      <c r="AD388" s="408"/>
      <c r="AE388" s="408"/>
      <c r="AF388" s="412"/>
      <c r="AG388" s="354"/>
      <c r="AH388" s="354"/>
    </row>
    <row r="389" spans="1:34" ht="15.75" customHeight="1">
      <c r="A389" s="413"/>
      <c r="B389" s="414"/>
      <c r="C389" s="415"/>
      <c r="D389" s="411"/>
      <c r="E389" s="411"/>
      <c r="F389" s="411"/>
      <c r="G389" s="411"/>
      <c r="H389" s="411"/>
      <c r="I389" s="411"/>
      <c r="J389" s="411"/>
      <c r="K389" s="411"/>
      <c r="L389" s="411"/>
      <c r="M389" s="411"/>
      <c r="N389" s="411"/>
      <c r="O389" s="411"/>
      <c r="P389" s="411"/>
      <c r="Q389" s="411"/>
      <c r="R389" s="411"/>
      <c r="S389" s="411"/>
      <c r="T389" s="411"/>
      <c r="U389" s="411"/>
      <c r="V389" s="411"/>
      <c r="W389" s="411"/>
      <c r="X389" s="411"/>
      <c r="Y389" s="411"/>
      <c r="Z389" s="411"/>
      <c r="AA389" s="411"/>
      <c r="AB389" s="411"/>
      <c r="AC389" s="400"/>
      <c r="AD389" s="408"/>
      <c r="AE389" s="408"/>
      <c r="AF389" s="412"/>
      <c r="AG389" s="354"/>
      <c r="AH389" s="354"/>
    </row>
    <row r="390" spans="1:34" ht="15.75" customHeight="1">
      <c r="A390" s="413"/>
      <c r="B390" s="414"/>
      <c r="C390" s="415"/>
      <c r="D390" s="411"/>
      <c r="E390" s="411"/>
      <c r="F390" s="411"/>
      <c r="G390" s="411"/>
      <c r="H390" s="411"/>
      <c r="I390" s="411"/>
      <c r="J390" s="411"/>
      <c r="K390" s="411"/>
      <c r="L390" s="411"/>
      <c r="M390" s="411"/>
      <c r="N390" s="411"/>
      <c r="O390" s="411"/>
      <c r="P390" s="411"/>
      <c r="Q390" s="411"/>
      <c r="R390" s="411"/>
      <c r="S390" s="411"/>
      <c r="T390" s="411"/>
      <c r="U390" s="411"/>
      <c r="V390" s="411"/>
      <c r="W390" s="411"/>
      <c r="X390" s="411"/>
      <c r="Y390" s="411"/>
      <c r="Z390" s="411"/>
      <c r="AA390" s="411"/>
      <c r="AB390" s="411"/>
      <c r="AC390" s="400"/>
      <c r="AD390" s="408"/>
      <c r="AE390" s="408"/>
      <c r="AF390" s="412"/>
      <c r="AG390" s="354"/>
      <c r="AH390" s="354"/>
    </row>
    <row r="391" spans="1:34" ht="15.75" customHeight="1">
      <c r="A391" s="413"/>
      <c r="B391" s="414"/>
      <c r="C391" s="415"/>
      <c r="D391" s="411"/>
      <c r="E391" s="411"/>
      <c r="F391" s="411"/>
      <c r="G391" s="411"/>
      <c r="H391" s="411"/>
      <c r="I391" s="411"/>
      <c r="J391" s="411"/>
      <c r="K391" s="411"/>
      <c r="L391" s="411"/>
      <c r="M391" s="411"/>
      <c r="N391" s="411"/>
      <c r="O391" s="411"/>
      <c r="P391" s="411"/>
      <c r="Q391" s="411"/>
      <c r="R391" s="411"/>
      <c r="S391" s="411"/>
      <c r="T391" s="411"/>
      <c r="U391" s="411"/>
      <c r="V391" s="411"/>
      <c r="W391" s="411"/>
      <c r="X391" s="411"/>
      <c r="Y391" s="411"/>
      <c r="Z391" s="411"/>
      <c r="AA391" s="411"/>
      <c r="AB391" s="411"/>
      <c r="AC391" s="400"/>
      <c r="AD391" s="408"/>
      <c r="AE391" s="408"/>
      <c r="AF391" s="412"/>
      <c r="AG391" s="354"/>
      <c r="AH391" s="354"/>
    </row>
    <row r="392" spans="1:34" ht="15.75" customHeight="1">
      <c r="A392" s="413"/>
      <c r="B392" s="414"/>
      <c r="C392" s="415"/>
      <c r="D392" s="411"/>
      <c r="E392" s="411"/>
      <c r="F392" s="411"/>
      <c r="G392" s="411"/>
      <c r="H392" s="411"/>
      <c r="I392" s="411"/>
      <c r="J392" s="411"/>
      <c r="K392" s="411"/>
      <c r="L392" s="411"/>
      <c r="M392" s="411"/>
      <c r="N392" s="411"/>
      <c r="O392" s="411"/>
      <c r="P392" s="411"/>
      <c r="Q392" s="411"/>
      <c r="R392" s="411"/>
      <c r="S392" s="411"/>
      <c r="T392" s="411"/>
      <c r="U392" s="411"/>
      <c r="V392" s="411"/>
      <c r="W392" s="411"/>
      <c r="X392" s="411"/>
      <c r="Y392" s="411"/>
      <c r="Z392" s="411"/>
      <c r="AA392" s="411"/>
      <c r="AB392" s="411"/>
      <c r="AC392" s="400"/>
      <c r="AD392" s="408"/>
      <c r="AE392" s="408"/>
      <c r="AF392" s="412"/>
      <c r="AG392" s="354"/>
      <c r="AH392" s="354"/>
    </row>
    <row r="393" spans="1:34" ht="15.75" customHeight="1">
      <c r="A393" s="413"/>
      <c r="B393" s="414"/>
      <c r="C393" s="415"/>
      <c r="D393" s="411"/>
      <c r="E393" s="411"/>
      <c r="F393" s="411"/>
      <c r="G393" s="411"/>
      <c r="H393" s="411"/>
      <c r="I393" s="411"/>
      <c r="J393" s="411"/>
      <c r="K393" s="411"/>
      <c r="L393" s="411"/>
      <c r="M393" s="411"/>
      <c r="N393" s="411"/>
      <c r="O393" s="411"/>
      <c r="P393" s="411"/>
      <c r="Q393" s="411"/>
      <c r="R393" s="411"/>
      <c r="S393" s="411"/>
      <c r="T393" s="411"/>
      <c r="U393" s="411"/>
      <c r="V393" s="411"/>
      <c r="W393" s="411"/>
      <c r="X393" s="411"/>
      <c r="Y393" s="411"/>
      <c r="Z393" s="411"/>
      <c r="AA393" s="411"/>
      <c r="AB393" s="411"/>
      <c r="AC393" s="400"/>
      <c r="AD393" s="408"/>
      <c r="AE393" s="408"/>
      <c r="AF393" s="412"/>
      <c r="AG393" s="354"/>
      <c r="AH393" s="354"/>
    </row>
    <row r="394" spans="1:34" ht="15.75" customHeight="1">
      <c r="A394" s="413"/>
      <c r="B394" s="414"/>
      <c r="C394" s="415"/>
      <c r="D394" s="411"/>
      <c r="E394" s="411"/>
      <c r="F394" s="411"/>
      <c r="G394" s="411"/>
      <c r="H394" s="411"/>
      <c r="I394" s="411"/>
      <c r="J394" s="411"/>
      <c r="K394" s="411"/>
      <c r="L394" s="411"/>
      <c r="M394" s="411"/>
      <c r="N394" s="411"/>
      <c r="O394" s="411"/>
      <c r="P394" s="411"/>
      <c r="Q394" s="411"/>
      <c r="R394" s="411"/>
      <c r="S394" s="411"/>
      <c r="T394" s="411"/>
      <c r="U394" s="411"/>
      <c r="V394" s="411"/>
      <c r="W394" s="411"/>
      <c r="X394" s="411"/>
      <c r="Y394" s="411"/>
      <c r="Z394" s="411"/>
      <c r="AA394" s="411"/>
      <c r="AB394" s="411"/>
      <c r="AC394" s="400"/>
      <c r="AD394" s="408"/>
      <c r="AE394" s="408"/>
      <c r="AF394" s="412"/>
      <c r="AG394" s="354"/>
      <c r="AH394" s="354"/>
    </row>
    <row r="395" spans="1:34" ht="15.75" customHeight="1">
      <c r="A395" s="413"/>
      <c r="B395" s="414"/>
      <c r="C395" s="415"/>
      <c r="D395" s="411"/>
      <c r="E395" s="411"/>
      <c r="F395" s="411"/>
      <c r="G395" s="411"/>
      <c r="H395" s="411"/>
      <c r="I395" s="411"/>
      <c r="J395" s="411"/>
      <c r="K395" s="411"/>
      <c r="L395" s="411"/>
      <c r="M395" s="411"/>
      <c r="N395" s="411"/>
      <c r="O395" s="411"/>
      <c r="P395" s="411"/>
      <c r="Q395" s="411"/>
      <c r="R395" s="411"/>
      <c r="S395" s="411"/>
      <c r="T395" s="411"/>
      <c r="U395" s="411"/>
      <c r="V395" s="411"/>
      <c r="W395" s="411"/>
      <c r="X395" s="411"/>
      <c r="Y395" s="411"/>
      <c r="Z395" s="411"/>
      <c r="AA395" s="411"/>
      <c r="AB395" s="411"/>
      <c r="AC395" s="400"/>
      <c r="AD395" s="408"/>
      <c r="AE395" s="408"/>
      <c r="AF395" s="412"/>
      <c r="AG395" s="354"/>
      <c r="AH395" s="354"/>
    </row>
    <row r="396" spans="1:34" ht="15.75" customHeight="1">
      <c r="A396" s="413"/>
      <c r="B396" s="414"/>
      <c r="C396" s="415"/>
      <c r="D396" s="411"/>
      <c r="E396" s="411"/>
      <c r="F396" s="411"/>
      <c r="G396" s="411"/>
      <c r="H396" s="411"/>
      <c r="I396" s="411"/>
      <c r="J396" s="411"/>
      <c r="K396" s="411"/>
      <c r="L396" s="411"/>
      <c r="M396" s="411"/>
      <c r="N396" s="411"/>
      <c r="O396" s="411"/>
      <c r="P396" s="411"/>
      <c r="Q396" s="411"/>
      <c r="R396" s="411"/>
      <c r="S396" s="411"/>
      <c r="T396" s="411"/>
      <c r="U396" s="411"/>
      <c r="V396" s="411"/>
      <c r="W396" s="411"/>
      <c r="X396" s="411"/>
      <c r="Y396" s="411"/>
      <c r="Z396" s="411"/>
      <c r="AA396" s="411"/>
      <c r="AB396" s="411"/>
      <c r="AC396" s="400"/>
      <c r="AD396" s="408"/>
      <c r="AE396" s="408"/>
      <c r="AF396" s="412"/>
      <c r="AG396" s="354"/>
      <c r="AH396" s="354"/>
    </row>
    <row r="397" spans="1:34" ht="15.75" customHeight="1">
      <c r="A397" s="413"/>
      <c r="B397" s="414"/>
      <c r="C397" s="415"/>
      <c r="D397" s="411"/>
      <c r="E397" s="411"/>
      <c r="F397" s="411"/>
      <c r="G397" s="411"/>
      <c r="H397" s="411"/>
      <c r="I397" s="411"/>
      <c r="J397" s="411"/>
      <c r="K397" s="411"/>
      <c r="L397" s="411"/>
      <c r="M397" s="411"/>
      <c r="N397" s="411"/>
      <c r="O397" s="411"/>
      <c r="P397" s="411"/>
      <c r="Q397" s="411"/>
      <c r="R397" s="411"/>
      <c r="S397" s="411"/>
      <c r="T397" s="411"/>
      <c r="U397" s="411"/>
      <c r="V397" s="411"/>
      <c r="W397" s="411"/>
      <c r="X397" s="411"/>
      <c r="Y397" s="411"/>
      <c r="Z397" s="411"/>
      <c r="AA397" s="411"/>
      <c r="AB397" s="411"/>
      <c r="AC397" s="400"/>
      <c r="AD397" s="408"/>
      <c r="AE397" s="408"/>
      <c r="AF397" s="412"/>
      <c r="AG397" s="354"/>
      <c r="AH397" s="354"/>
    </row>
    <row r="398" spans="1:34" ht="15.75" customHeight="1">
      <c r="A398" s="413"/>
      <c r="B398" s="414"/>
      <c r="C398" s="415"/>
      <c r="D398" s="411"/>
      <c r="E398" s="411"/>
      <c r="F398" s="411"/>
      <c r="G398" s="411"/>
      <c r="H398" s="411"/>
      <c r="I398" s="411"/>
      <c r="J398" s="411"/>
      <c r="K398" s="411"/>
      <c r="L398" s="411"/>
      <c r="M398" s="411"/>
      <c r="N398" s="411"/>
      <c r="O398" s="411"/>
      <c r="P398" s="411"/>
      <c r="Q398" s="411"/>
      <c r="R398" s="411"/>
      <c r="S398" s="411"/>
      <c r="T398" s="411"/>
      <c r="U398" s="411"/>
      <c r="V398" s="411"/>
      <c r="W398" s="411"/>
      <c r="X398" s="411"/>
      <c r="Y398" s="411"/>
      <c r="Z398" s="411"/>
      <c r="AA398" s="411"/>
      <c r="AB398" s="411"/>
      <c r="AC398" s="400"/>
      <c r="AD398" s="408"/>
      <c r="AE398" s="408"/>
      <c r="AF398" s="412"/>
      <c r="AG398" s="354"/>
      <c r="AH398" s="354"/>
    </row>
    <row r="399" spans="1:34" ht="15.75" customHeight="1">
      <c r="A399" s="413"/>
      <c r="B399" s="414"/>
      <c r="C399" s="415"/>
      <c r="D399" s="411"/>
      <c r="E399" s="411"/>
      <c r="F399" s="411"/>
      <c r="G399" s="411"/>
      <c r="H399" s="411"/>
      <c r="I399" s="411"/>
      <c r="J399" s="411"/>
      <c r="K399" s="411"/>
      <c r="L399" s="411"/>
      <c r="M399" s="411"/>
      <c r="N399" s="411"/>
      <c r="O399" s="411"/>
      <c r="P399" s="411"/>
      <c r="Q399" s="411"/>
      <c r="R399" s="411"/>
      <c r="S399" s="411"/>
      <c r="T399" s="411"/>
      <c r="U399" s="411"/>
      <c r="V399" s="411"/>
      <c r="W399" s="411"/>
      <c r="X399" s="411"/>
      <c r="Y399" s="411"/>
      <c r="Z399" s="411"/>
      <c r="AA399" s="411"/>
      <c r="AB399" s="411"/>
      <c r="AC399" s="400"/>
      <c r="AD399" s="408"/>
      <c r="AE399" s="408"/>
      <c r="AF399" s="412"/>
      <c r="AG399" s="354"/>
      <c r="AH399" s="354"/>
    </row>
    <row r="400" spans="1:34" ht="15.75" customHeight="1">
      <c r="A400" s="413"/>
      <c r="B400" s="414"/>
      <c r="C400" s="415"/>
      <c r="D400" s="411"/>
      <c r="E400" s="411"/>
      <c r="F400" s="411"/>
      <c r="G400" s="411"/>
      <c r="H400" s="411"/>
      <c r="I400" s="411"/>
      <c r="J400" s="411"/>
      <c r="K400" s="411"/>
      <c r="L400" s="411"/>
      <c r="M400" s="411"/>
      <c r="N400" s="411"/>
      <c r="O400" s="411"/>
      <c r="P400" s="411"/>
      <c r="Q400" s="411"/>
      <c r="R400" s="411"/>
      <c r="S400" s="411"/>
      <c r="T400" s="411"/>
      <c r="U400" s="411"/>
      <c r="V400" s="411"/>
      <c r="W400" s="411"/>
      <c r="X400" s="411"/>
      <c r="Y400" s="411"/>
      <c r="Z400" s="411"/>
      <c r="AA400" s="411"/>
      <c r="AB400" s="411"/>
      <c r="AC400" s="400"/>
      <c r="AD400" s="408"/>
      <c r="AE400" s="408"/>
      <c r="AF400" s="412"/>
      <c r="AG400" s="354"/>
      <c r="AH400" s="354"/>
    </row>
    <row r="401" spans="1:34" ht="15.75" customHeight="1">
      <c r="A401" s="413"/>
      <c r="B401" s="414"/>
      <c r="C401" s="415"/>
      <c r="D401" s="411"/>
      <c r="E401" s="411"/>
      <c r="F401" s="411"/>
      <c r="G401" s="411"/>
      <c r="H401" s="411"/>
      <c r="I401" s="411"/>
      <c r="J401" s="411"/>
      <c r="K401" s="411"/>
      <c r="L401" s="411"/>
      <c r="M401" s="411"/>
      <c r="N401" s="411"/>
      <c r="O401" s="411"/>
      <c r="P401" s="411"/>
      <c r="Q401" s="411"/>
      <c r="R401" s="411"/>
      <c r="S401" s="411"/>
      <c r="T401" s="411"/>
      <c r="U401" s="411"/>
      <c r="V401" s="411"/>
      <c r="W401" s="411"/>
      <c r="X401" s="411"/>
      <c r="Y401" s="411"/>
      <c r="Z401" s="411"/>
      <c r="AA401" s="411"/>
      <c r="AB401" s="411"/>
      <c r="AC401" s="400"/>
      <c r="AD401" s="408"/>
      <c r="AE401" s="408"/>
      <c r="AF401" s="412"/>
      <c r="AG401" s="354"/>
      <c r="AH401" s="354"/>
    </row>
    <row r="402" spans="1:34" ht="15.75" customHeight="1">
      <c r="A402" s="413"/>
      <c r="B402" s="414"/>
      <c r="C402" s="415"/>
      <c r="D402" s="411"/>
      <c r="E402" s="411"/>
      <c r="F402" s="411"/>
      <c r="G402" s="411"/>
      <c r="H402" s="411"/>
      <c r="I402" s="411"/>
      <c r="J402" s="411"/>
      <c r="K402" s="411"/>
      <c r="L402" s="411"/>
      <c r="M402" s="411"/>
      <c r="N402" s="411"/>
      <c r="O402" s="411"/>
      <c r="P402" s="411"/>
      <c r="Q402" s="411"/>
      <c r="R402" s="411"/>
      <c r="S402" s="411"/>
      <c r="T402" s="411"/>
      <c r="U402" s="411"/>
      <c r="V402" s="411"/>
      <c r="W402" s="411"/>
      <c r="X402" s="411"/>
      <c r="Y402" s="411"/>
      <c r="Z402" s="411"/>
      <c r="AA402" s="411"/>
      <c r="AB402" s="411"/>
      <c r="AC402" s="400"/>
      <c r="AD402" s="408"/>
      <c r="AE402" s="408"/>
      <c r="AF402" s="412"/>
      <c r="AG402" s="354"/>
      <c r="AH402" s="354"/>
    </row>
    <row r="403" spans="1:34" ht="15.75" customHeight="1">
      <c r="A403" s="413"/>
      <c r="B403" s="414"/>
      <c r="C403" s="415"/>
      <c r="D403" s="411"/>
      <c r="E403" s="411"/>
      <c r="F403" s="411"/>
      <c r="G403" s="411"/>
      <c r="H403" s="411"/>
      <c r="I403" s="411"/>
      <c r="J403" s="411"/>
      <c r="K403" s="411"/>
      <c r="L403" s="411"/>
      <c r="M403" s="411"/>
      <c r="N403" s="411"/>
      <c r="O403" s="411"/>
      <c r="P403" s="411"/>
      <c r="Q403" s="411"/>
      <c r="R403" s="411"/>
      <c r="S403" s="411"/>
      <c r="T403" s="411"/>
      <c r="U403" s="411"/>
      <c r="V403" s="411"/>
      <c r="W403" s="411"/>
      <c r="X403" s="411"/>
      <c r="Y403" s="411"/>
      <c r="Z403" s="411"/>
      <c r="AA403" s="411"/>
      <c r="AB403" s="411"/>
      <c r="AC403" s="400"/>
      <c r="AD403" s="408"/>
      <c r="AE403" s="408"/>
      <c r="AF403" s="412"/>
      <c r="AG403" s="354"/>
      <c r="AH403" s="354"/>
    </row>
    <row r="404" spans="1:34" ht="15.75" customHeight="1">
      <c r="A404" s="413"/>
      <c r="B404" s="414"/>
      <c r="C404" s="415"/>
      <c r="D404" s="411"/>
      <c r="E404" s="411"/>
      <c r="F404" s="411"/>
      <c r="G404" s="411"/>
      <c r="H404" s="411"/>
      <c r="I404" s="411"/>
      <c r="J404" s="411"/>
      <c r="K404" s="411"/>
      <c r="L404" s="411"/>
      <c r="M404" s="411"/>
      <c r="N404" s="411"/>
      <c r="O404" s="411"/>
      <c r="P404" s="411"/>
      <c r="Q404" s="411"/>
      <c r="R404" s="411"/>
      <c r="S404" s="411"/>
      <c r="T404" s="411"/>
      <c r="U404" s="411"/>
      <c r="V404" s="411"/>
      <c r="W404" s="411"/>
      <c r="X404" s="411"/>
      <c r="Y404" s="411"/>
      <c r="Z404" s="411"/>
      <c r="AA404" s="411"/>
      <c r="AB404" s="411"/>
      <c r="AC404" s="400"/>
      <c r="AD404" s="408"/>
      <c r="AE404" s="408"/>
      <c r="AF404" s="412"/>
      <c r="AG404" s="354"/>
      <c r="AH404" s="354"/>
    </row>
    <row r="405" spans="1:34" ht="15.75" customHeight="1">
      <c r="A405" s="413"/>
      <c r="B405" s="414"/>
      <c r="C405" s="415"/>
      <c r="D405" s="411"/>
      <c r="E405" s="411"/>
      <c r="F405" s="411"/>
      <c r="G405" s="411"/>
      <c r="H405" s="411"/>
      <c r="I405" s="411"/>
      <c r="J405" s="411"/>
      <c r="K405" s="411"/>
      <c r="L405" s="411"/>
      <c r="M405" s="411"/>
      <c r="N405" s="411"/>
      <c r="O405" s="411"/>
      <c r="P405" s="411"/>
      <c r="Q405" s="411"/>
      <c r="R405" s="411"/>
      <c r="S405" s="411"/>
      <c r="T405" s="411"/>
      <c r="U405" s="411"/>
      <c r="V405" s="411"/>
      <c r="W405" s="411"/>
      <c r="X405" s="411"/>
      <c r="Y405" s="411"/>
      <c r="Z405" s="411"/>
      <c r="AA405" s="411"/>
      <c r="AB405" s="411"/>
      <c r="AC405" s="400"/>
      <c r="AD405" s="408"/>
      <c r="AE405" s="408"/>
      <c r="AF405" s="412"/>
      <c r="AG405" s="354"/>
      <c r="AH405" s="354"/>
    </row>
    <row r="406" spans="1:34" ht="15.75" customHeight="1">
      <c r="A406" s="413"/>
      <c r="B406" s="414"/>
      <c r="C406" s="415"/>
      <c r="D406" s="411"/>
      <c r="E406" s="411"/>
      <c r="F406" s="411"/>
      <c r="G406" s="411"/>
      <c r="H406" s="411"/>
      <c r="I406" s="411"/>
      <c r="J406" s="411"/>
      <c r="K406" s="411"/>
      <c r="L406" s="411"/>
      <c r="M406" s="411"/>
      <c r="N406" s="411"/>
      <c r="O406" s="411"/>
      <c r="P406" s="411"/>
      <c r="Q406" s="411"/>
      <c r="R406" s="411"/>
      <c r="S406" s="411"/>
      <c r="T406" s="411"/>
      <c r="U406" s="411"/>
      <c r="V406" s="411"/>
      <c r="W406" s="411"/>
      <c r="X406" s="411"/>
      <c r="Y406" s="411"/>
      <c r="Z406" s="411"/>
      <c r="AA406" s="411"/>
      <c r="AB406" s="411"/>
      <c r="AC406" s="400"/>
      <c r="AD406" s="408"/>
      <c r="AE406" s="408"/>
      <c r="AF406" s="412"/>
      <c r="AG406" s="354"/>
      <c r="AH406" s="354"/>
    </row>
    <row r="407" spans="1:34" ht="15.75" customHeight="1">
      <c r="A407" s="413"/>
      <c r="B407" s="414"/>
      <c r="C407" s="415"/>
      <c r="D407" s="411"/>
      <c r="E407" s="411"/>
      <c r="F407" s="411"/>
      <c r="G407" s="411"/>
      <c r="H407" s="411"/>
      <c r="I407" s="411"/>
      <c r="J407" s="411"/>
      <c r="K407" s="411"/>
      <c r="L407" s="411"/>
      <c r="M407" s="411"/>
      <c r="N407" s="411"/>
      <c r="O407" s="411"/>
      <c r="P407" s="411"/>
      <c r="Q407" s="411"/>
      <c r="R407" s="411"/>
      <c r="S407" s="411"/>
      <c r="T407" s="411"/>
      <c r="U407" s="411"/>
      <c r="V407" s="411"/>
      <c r="W407" s="411"/>
      <c r="X407" s="411"/>
      <c r="Y407" s="411"/>
      <c r="Z407" s="411"/>
      <c r="AA407" s="411"/>
      <c r="AB407" s="411"/>
      <c r="AC407" s="400"/>
      <c r="AD407" s="408"/>
      <c r="AE407" s="408"/>
      <c r="AF407" s="412"/>
      <c r="AG407" s="354"/>
      <c r="AH407" s="354"/>
    </row>
    <row r="408" spans="1:34" ht="15.75" customHeight="1">
      <c r="A408" s="413"/>
      <c r="B408" s="414"/>
      <c r="C408" s="415"/>
      <c r="D408" s="411"/>
      <c r="E408" s="411"/>
      <c r="F408" s="411"/>
      <c r="G408" s="411"/>
      <c r="H408" s="411"/>
      <c r="I408" s="411"/>
      <c r="J408" s="411"/>
      <c r="K408" s="411"/>
      <c r="L408" s="411"/>
      <c r="M408" s="411"/>
      <c r="N408" s="411"/>
      <c r="O408" s="411"/>
      <c r="P408" s="411"/>
      <c r="Q408" s="411"/>
      <c r="R408" s="411"/>
      <c r="S408" s="411"/>
      <c r="T408" s="411"/>
      <c r="U408" s="411"/>
      <c r="V408" s="411"/>
      <c r="W408" s="411"/>
      <c r="X408" s="411"/>
      <c r="Y408" s="411"/>
      <c r="Z408" s="411"/>
      <c r="AA408" s="411"/>
      <c r="AB408" s="411"/>
      <c r="AC408" s="400"/>
      <c r="AD408" s="408"/>
      <c r="AE408" s="408"/>
      <c r="AF408" s="412"/>
      <c r="AG408" s="354"/>
      <c r="AH408" s="354"/>
    </row>
    <row r="409" spans="1:34" ht="15.75" customHeight="1">
      <c r="A409" s="413"/>
      <c r="B409" s="414"/>
      <c r="C409" s="415"/>
      <c r="D409" s="411"/>
      <c r="E409" s="411"/>
      <c r="F409" s="411"/>
      <c r="G409" s="411"/>
      <c r="H409" s="411"/>
      <c r="I409" s="411"/>
      <c r="J409" s="411"/>
      <c r="K409" s="411"/>
      <c r="L409" s="411"/>
      <c r="M409" s="411"/>
      <c r="N409" s="411"/>
      <c r="O409" s="411"/>
      <c r="P409" s="411"/>
      <c r="Q409" s="411"/>
      <c r="R409" s="411"/>
      <c r="S409" s="411"/>
      <c r="T409" s="411"/>
      <c r="U409" s="411"/>
      <c r="V409" s="411"/>
      <c r="W409" s="411"/>
      <c r="X409" s="411"/>
      <c r="Y409" s="411"/>
      <c r="Z409" s="411"/>
      <c r="AA409" s="411"/>
      <c r="AB409" s="411"/>
      <c r="AC409" s="400"/>
      <c r="AD409" s="408"/>
      <c r="AE409" s="408"/>
      <c r="AF409" s="412"/>
      <c r="AG409" s="354"/>
      <c r="AH409" s="354"/>
    </row>
    <row r="410" spans="1:34" ht="15.75" customHeight="1">
      <c r="A410" s="413"/>
      <c r="B410" s="414"/>
      <c r="C410" s="415"/>
      <c r="D410" s="411"/>
      <c r="E410" s="411"/>
      <c r="F410" s="411"/>
      <c r="G410" s="411"/>
      <c r="H410" s="411"/>
      <c r="I410" s="411"/>
      <c r="J410" s="411"/>
      <c r="K410" s="411"/>
      <c r="L410" s="411"/>
      <c r="M410" s="411"/>
      <c r="N410" s="411"/>
      <c r="O410" s="411"/>
      <c r="P410" s="411"/>
      <c r="Q410" s="411"/>
      <c r="R410" s="411"/>
      <c r="S410" s="411"/>
      <c r="T410" s="411"/>
      <c r="U410" s="411"/>
      <c r="V410" s="411"/>
      <c r="W410" s="411"/>
      <c r="X410" s="411"/>
      <c r="Y410" s="411"/>
      <c r="Z410" s="411"/>
      <c r="AA410" s="411"/>
      <c r="AB410" s="411"/>
      <c r="AC410" s="400"/>
      <c r="AD410" s="408"/>
      <c r="AE410" s="408"/>
      <c r="AF410" s="412"/>
      <c r="AG410" s="354"/>
      <c r="AH410" s="354"/>
    </row>
    <row r="411" spans="1:34" ht="15.75" customHeight="1">
      <c r="A411" s="413"/>
      <c r="B411" s="414"/>
      <c r="C411" s="415"/>
      <c r="D411" s="411"/>
      <c r="E411" s="411"/>
      <c r="F411" s="411"/>
      <c r="G411" s="411"/>
      <c r="H411" s="411"/>
      <c r="I411" s="411"/>
      <c r="J411" s="411"/>
      <c r="K411" s="411"/>
      <c r="L411" s="411"/>
      <c r="M411" s="411"/>
      <c r="N411" s="411"/>
      <c r="O411" s="411"/>
      <c r="P411" s="411"/>
      <c r="Q411" s="411"/>
      <c r="R411" s="411"/>
      <c r="S411" s="411"/>
      <c r="T411" s="411"/>
      <c r="U411" s="411"/>
      <c r="V411" s="411"/>
      <c r="W411" s="411"/>
      <c r="X411" s="411"/>
      <c r="Y411" s="411"/>
      <c r="Z411" s="411"/>
      <c r="AA411" s="411"/>
      <c r="AB411" s="411"/>
      <c r="AC411" s="400"/>
      <c r="AD411" s="408"/>
      <c r="AE411" s="408"/>
      <c r="AF411" s="412"/>
      <c r="AG411" s="354"/>
      <c r="AH411" s="354"/>
    </row>
    <row r="412" spans="1:34" ht="15.75" customHeight="1">
      <c r="A412" s="413"/>
      <c r="B412" s="414"/>
      <c r="C412" s="415"/>
      <c r="D412" s="411"/>
      <c r="E412" s="411"/>
      <c r="F412" s="411"/>
      <c r="G412" s="411"/>
      <c r="H412" s="411"/>
      <c r="I412" s="411"/>
      <c r="J412" s="411"/>
      <c r="K412" s="411"/>
      <c r="L412" s="411"/>
      <c r="M412" s="411"/>
      <c r="N412" s="411"/>
      <c r="O412" s="411"/>
      <c r="P412" s="411"/>
      <c r="Q412" s="411"/>
      <c r="R412" s="411"/>
      <c r="S412" s="411"/>
      <c r="T412" s="411"/>
      <c r="U412" s="411"/>
      <c r="V412" s="411"/>
      <c r="W412" s="411"/>
      <c r="X412" s="411"/>
      <c r="Y412" s="411"/>
      <c r="Z412" s="411"/>
      <c r="AA412" s="411"/>
      <c r="AB412" s="411"/>
      <c r="AC412" s="400"/>
      <c r="AD412" s="408"/>
      <c r="AE412" s="408"/>
      <c r="AF412" s="412"/>
      <c r="AG412" s="354"/>
      <c r="AH412" s="354"/>
    </row>
    <row r="413" spans="1:34" ht="15.75" customHeight="1">
      <c r="A413" s="413"/>
      <c r="B413" s="414"/>
      <c r="C413" s="415"/>
      <c r="D413" s="411"/>
      <c r="E413" s="411"/>
      <c r="F413" s="411"/>
      <c r="G413" s="411"/>
      <c r="H413" s="411"/>
      <c r="I413" s="411"/>
      <c r="J413" s="411"/>
      <c r="K413" s="411"/>
      <c r="L413" s="411"/>
      <c r="M413" s="411"/>
      <c r="N413" s="411"/>
      <c r="O413" s="411"/>
      <c r="P413" s="411"/>
      <c r="Q413" s="411"/>
      <c r="R413" s="411"/>
      <c r="S413" s="411"/>
      <c r="T413" s="411"/>
      <c r="U413" s="411"/>
      <c r="V413" s="411"/>
      <c r="W413" s="411"/>
      <c r="X413" s="411"/>
      <c r="Y413" s="411"/>
      <c r="Z413" s="411"/>
      <c r="AA413" s="411"/>
      <c r="AB413" s="411"/>
      <c r="AC413" s="400"/>
      <c r="AD413" s="408"/>
      <c r="AE413" s="408"/>
      <c r="AF413" s="412"/>
      <c r="AG413" s="354"/>
      <c r="AH413" s="354"/>
    </row>
    <row r="414" spans="1:34" ht="15.75" customHeight="1">
      <c r="A414" s="413"/>
      <c r="B414" s="414"/>
      <c r="C414" s="415"/>
      <c r="D414" s="411"/>
      <c r="E414" s="411"/>
      <c r="F414" s="411"/>
      <c r="G414" s="411"/>
      <c r="H414" s="411"/>
      <c r="I414" s="411"/>
      <c r="J414" s="411"/>
      <c r="K414" s="411"/>
      <c r="L414" s="411"/>
      <c r="M414" s="411"/>
      <c r="N414" s="411"/>
      <c r="O414" s="411"/>
      <c r="P414" s="411"/>
      <c r="Q414" s="411"/>
      <c r="R414" s="411"/>
      <c r="S414" s="411"/>
      <c r="T414" s="411"/>
      <c r="U414" s="411"/>
      <c r="V414" s="411"/>
      <c r="W414" s="411"/>
      <c r="X414" s="411"/>
      <c r="Y414" s="411"/>
      <c r="Z414" s="411"/>
      <c r="AA414" s="411"/>
      <c r="AB414" s="411"/>
      <c r="AC414" s="400"/>
      <c r="AD414" s="408"/>
      <c r="AE414" s="408"/>
      <c r="AF414" s="412"/>
      <c r="AG414" s="354"/>
      <c r="AH414" s="354"/>
    </row>
    <row r="415" spans="1:34" ht="15.75" customHeight="1">
      <c r="A415" s="413"/>
      <c r="B415" s="414"/>
      <c r="C415" s="415"/>
      <c r="D415" s="411"/>
      <c r="E415" s="411"/>
      <c r="F415" s="411"/>
      <c r="G415" s="411"/>
      <c r="H415" s="411"/>
      <c r="I415" s="411"/>
      <c r="J415" s="411"/>
      <c r="K415" s="411"/>
      <c r="L415" s="411"/>
      <c r="M415" s="411"/>
      <c r="N415" s="411"/>
      <c r="O415" s="411"/>
      <c r="P415" s="411"/>
      <c r="Q415" s="411"/>
      <c r="R415" s="411"/>
      <c r="S415" s="411"/>
      <c r="T415" s="411"/>
      <c r="U415" s="411"/>
      <c r="V415" s="411"/>
      <c r="W415" s="411"/>
      <c r="X415" s="411"/>
      <c r="Y415" s="411"/>
      <c r="Z415" s="411"/>
      <c r="AA415" s="411"/>
      <c r="AB415" s="411"/>
      <c r="AC415" s="400"/>
      <c r="AD415" s="408"/>
      <c r="AE415" s="408"/>
      <c r="AF415" s="412"/>
      <c r="AG415" s="354"/>
      <c r="AH415" s="354"/>
    </row>
    <row r="416" spans="1:34" ht="15.75" customHeight="1">
      <c r="A416" s="413"/>
      <c r="B416" s="414"/>
      <c r="C416" s="415"/>
      <c r="D416" s="411"/>
      <c r="E416" s="411"/>
      <c r="F416" s="411"/>
      <c r="G416" s="411"/>
      <c r="H416" s="411"/>
      <c r="I416" s="411"/>
      <c r="J416" s="411"/>
      <c r="K416" s="411"/>
      <c r="L416" s="411"/>
      <c r="M416" s="411"/>
      <c r="N416" s="411"/>
      <c r="O416" s="411"/>
      <c r="P416" s="411"/>
      <c r="Q416" s="411"/>
      <c r="R416" s="411"/>
      <c r="S416" s="411"/>
      <c r="T416" s="411"/>
      <c r="U416" s="411"/>
      <c r="V416" s="411"/>
      <c r="W416" s="411"/>
      <c r="X416" s="411"/>
      <c r="Y416" s="411"/>
      <c r="Z416" s="411"/>
      <c r="AA416" s="411"/>
      <c r="AB416" s="411"/>
      <c r="AC416" s="400"/>
      <c r="AD416" s="408"/>
      <c r="AE416" s="408"/>
      <c r="AF416" s="412"/>
      <c r="AG416" s="354"/>
      <c r="AH416" s="354"/>
    </row>
    <row r="417" spans="1:34" ht="15.75" customHeight="1">
      <c r="A417" s="413"/>
      <c r="B417" s="414"/>
      <c r="C417" s="415"/>
      <c r="D417" s="411"/>
      <c r="E417" s="411"/>
      <c r="F417" s="411"/>
      <c r="G417" s="411"/>
      <c r="H417" s="411"/>
      <c r="I417" s="411"/>
      <c r="J417" s="411"/>
      <c r="K417" s="411"/>
      <c r="L417" s="411"/>
      <c r="M417" s="411"/>
      <c r="N417" s="411"/>
      <c r="O417" s="411"/>
      <c r="P417" s="411"/>
      <c r="Q417" s="411"/>
      <c r="R417" s="411"/>
      <c r="S417" s="411"/>
      <c r="T417" s="411"/>
      <c r="U417" s="411"/>
      <c r="V417" s="411"/>
      <c r="W417" s="411"/>
      <c r="X417" s="411"/>
      <c r="Y417" s="411"/>
      <c r="Z417" s="411"/>
      <c r="AA417" s="411"/>
      <c r="AB417" s="411"/>
      <c r="AC417" s="400"/>
      <c r="AD417" s="408"/>
      <c r="AE417" s="408"/>
      <c r="AF417" s="412"/>
      <c r="AG417" s="354"/>
      <c r="AH417" s="354"/>
    </row>
    <row r="418" spans="1:34" ht="15.75" customHeight="1">
      <c r="A418" s="413"/>
      <c r="B418" s="414"/>
      <c r="C418" s="415"/>
      <c r="D418" s="411"/>
      <c r="E418" s="411"/>
      <c r="F418" s="411"/>
      <c r="G418" s="411"/>
      <c r="H418" s="411"/>
      <c r="I418" s="411"/>
      <c r="J418" s="411"/>
      <c r="K418" s="411"/>
      <c r="L418" s="411"/>
      <c r="M418" s="411"/>
      <c r="N418" s="411"/>
      <c r="O418" s="411"/>
      <c r="P418" s="411"/>
      <c r="Q418" s="411"/>
      <c r="R418" s="411"/>
      <c r="S418" s="411"/>
      <c r="T418" s="411"/>
      <c r="U418" s="411"/>
      <c r="V418" s="411"/>
      <c r="W418" s="411"/>
      <c r="X418" s="411"/>
      <c r="Y418" s="411"/>
      <c r="Z418" s="411"/>
      <c r="AA418" s="411"/>
      <c r="AB418" s="411"/>
      <c r="AC418" s="400"/>
      <c r="AD418" s="408"/>
      <c r="AE418" s="408"/>
      <c r="AF418" s="412"/>
      <c r="AG418" s="354"/>
      <c r="AH418" s="354"/>
    </row>
    <row r="419" spans="1:34" ht="15.75" customHeight="1">
      <c r="A419" s="413"/>
      <c r="B419" s="414"/>
      <c r="C419" s="415"/>
      <c r="D419" s="411"/>
      <c r="E419" s="411"/>
      <c r="F419" s="411"/>
      <c r="G419" s="411"/>
      <c r="H419" s="411"/>
      <c r="I419" s="411"/>
      <c r="J419" s="411"/>
      <c r="K419" s="411"/>
      <c r="L419" s="411"/>
      <c r="M419" s="411"/>
      <c r="N419" s="411"/>
      <c r="O419" s="411"/>
      <c r="P419" s="411"/>
      <c r="Q419" s="411"/>
      <c r="R419" s="411"/>
      <c r="S419" s="411"/>
      <c r="T419" s="411"/>
      <c r="U419" s="411"/>
      <c r="V419" s="411"/>
      <c r="W419" s="411"/>
      <c r="X419" s="411"/>
      <c r="Y419" s="411"/>
      <c r="Z419" s="411"/>
      <c r="AA419" s="411"/>
      <c r="AB419" s="411"/>
      <c r="AC419" s="400"/>
      <c r="AD419" s="408"/>
      <c r="AE419" s="408"/>
      <c r="AF419" s="412"/>
      <c r="AG419" s="354"/>
      <c r="AH419" s="354"/>
    </row>
    <row r="420" spans="1:34" ht="15.75" customHeight="1">
      <c r="A420" s="413"/>
      <c r="B420" s="414"/>
      <c r="C420" s="415"/>
      <c r="D420" s="411"/>
      <c r="E420" s="411"/>
      <c r="F420" s="411"/>
      <c r="G420" s="411"/>
      <c r="H420" s="411"/>
      <c r="I420" s="411"/>
      <c r="J420" s="411"/>
      <c r="K420" s="411"/>
      <c r="L420" s="411"/>
      <c r="M420" s="411"/>
      <c r="N420" s="411"/>
      <c r="O420" s="411"/>
      <c r="P420" s="411"/>
      <c r="Q420" s="411"/>
      <c r="R420" s="411"/>
      <c r="S420" s="411"/>
      <c r="T420" s="411"/>
      <c r="U420" s="411"/>
      <c r="V420" s="411"/>
      <c r="W420" s="411"/>
      <c r="X420" s="411"/>
      <c r="Y420" s="411"/>
      <c r="Z420" s="411"/>
      <c r="AA420" s="411"/>
      <c r="AB420" s="411"/>
      <c r="AC420" s="400"/>
      <c r="AD420" s="408"/>
      <c r="AE420" s="408"/>
      <c r="AF420" s="412"/>
      <c r="AG420" s="354"/>
      <c r="AH420" s="354"/>
    </row>
    <row r="421" spans="1:34" ht="15.75" customHeight="1">
      <c r="A421" s="413"/>
      <c r="B421" s="414"/>
      <c r="C421" s="415"/>
      <c r="D421" s="411"/>
      <c r="E421" s="411"/>
      <c r="F421" s="411"/>
      <c r="G421" s="411"/>
      <c r="H421" s="411"/>
      <c r="I421" s="411"/>
      <c r="J421" s="411"/>
      <c r="K421" s="411"/>
      <c r="L421" s="411"/>
      <c r="M421" s="411"/>
      <c r="N421" s="411"/>
      <c r="O421" s="411"/>
      <c r="P421" s="411"/>
      <c r="Q421" s="411"/>
      <c r="R421" s="411"/>
      <c r="S421" s="411"/>
      <c r="T421" s="411"/>
      <c r="U421" s="411"/>
      <c r="V421" s="411"/>
      <c r="W421" s="411"/>
      <c r="X421" s="411"/>
      <c r="Y421" s="411"/>
      <c r="Z421" s="411"/>
      <c r="AA421" s="411"/>
      <c r="AB421" s="411"/>
      <c r="AC421" s="400"/>
      <c r="AD421" s="408"/>
      <c r="AE421" s="408"/>
      <c r="AF421" s="412"/>
      <c r="AG421" s="354"/>
      <c r="AH421" s="354"/>
    </row>
    <row r="422" spans="1:34" ht="15.75" customHeight="1">
      <c r="A422" s="413"/>
      <c r="B422" s="414"/>
      <c r="C422" s="415"/>
      <c r="D422" s="411"/>
      <c r="E422" s="411"/>
      <c r="F422" s="411"/>
      <c r="G422" s="411"/>
      <c r="H422" s="411"/>
      <c r="I422" s="411"/>
      <c r="J422" s="411"/>
      <c r="K422" s="411"/>
      <c r="L422" s="411"/>
      <c r="M422" s="411"/>
      <c r="N422" s="411"/>
      <c r="O422" s="411"/>
      <c r="P422" s="411"/>
      <c r="Q422" s="411"/>
      <c r="R422" s="411"/>
      <c r="S422" s="411"/>
      <c r="T422" s="411"/>
      <c r="U422" s="411"/>
      <c r="V422" s="411"/>
      <c r="W422" s="411"/>
      <c r="X422" s="411"/>
      <c r="Y422" s="411"/>
      <c r="Z422" s="411"/>
      <c r="AA422" s="411"/>
      <c r="AB422" s="411"/>
      <c r="AC422" s="400"/>
      <c r="AD422" s="408"/>
      <c r="AE422" s="408"/>
      <c r="AF422" s="412"/>
      <c r="AG422" s="354"/>
      <c r="AH422" s="354"/>
    </row>
    <row r="423" spans="1:34" ht="15.75" customHeight="1">
      <c r="A423" s="413"/>
      <c r="B423" s="414"/>
      <c r="C423" s="415"/>
      <c r="D423" s="411"/>
      <c r="E423" s="411"/>
      <c r="F423" s="411"/>
      <c r="G423" s="411"/>
      <c r="H423" s="411"/>
      <c r="I423" s="411"/>
      <c r="J423" s="411"/>
      <c r="K423" s="411"/>
      <c r="L423" s="411"/>
      <c r="M423" s="411"/>
      <c r="N423" s="411"/>
      <c r="O423" s="411"/>
      <c r="P423" s="411"/>
      <c r="Q423" s="411"/>
      <c r="R423" s="411"/>
      <c r="S423" s="411"/>
      <c r="T423" s="411"/>
      <c r="U423" s="411"/>
      <c r="V423" s="411"/>
      <c r="W423" s="411"/>
      <c r="X423" s="411"/>
      <c r="Y423" s="411"/>
      <c r="Z423" s="411"/>
      <c r="AA423" s="411"/>
      <c r="AB423" s="411"/>
      <c r="AC423" s="400"/>
      <c r="AD423" s="408"/>
      <c r="AE423" s="408"/>
      <c r="AF423" s="412"/>
      <c r="AG423" s="354"/>
      <c r="AH423" s="354"/>
    </row>
    <row r="424" spans="1:34" ht="15.75" customHeight="1">
      <c r="A424" s="413"/>
      <c r="B424" s="414"/>
      <c r="C424" s="415"/>
      <c r="D424" s="411"/>
      <c r="E424" s="411"/>
      <c r="F424" s="411"/>
      <c r="G424" s="411"/>
      <c r="H424" s="411"/>
      <c r="I424" s="411"/>
      <c r="J424" s="411"/>
      <c r="K424" s="411"/>
      <c r="L424" s="411"/>
      <c r="M424" s="411"/>
      <c r="N424" s="411"/>
      <c r="O424" s="411"/>
      <c r="P424" s="411"/>
      <c r="Q424" s="411"/>
      <c r="R424" s="411"/>
      <c r="S424" s="411"/>
      <c r="T424" s="411"/>
      <c r="U424" s="411"/>
      <c r="V424" s="411"/>
      <c r="W424" s="411"/>
      <c r="X424" s="411"/>
      <c r="Y424" s="411"/>
      <c r="Z424" s="411"/>
      <c r="AA424" s="411"/>
      <c r="AB424" s="411"/>
      <c r="AC424" s="400"/>
      <c r="AD424" s="408"/>
      <c r="AE424" s="408"/>
      <c r="AF424" s="412"/>
      <c r="AG424" s="354"/>
      <c r="AH424" s="354"/>
    </row>
    <row r="425" spans="1:34" ht="15.75" customHeight="1">
      <c r="A425" s="413"/>
      <c r="B425" s="414"/>
      <c r="C425" s="415"/>
      <c r="D425" s="411"/>
      <c r="E425" s="411"/>
      <c r="F425" s="411"/>
      <c r="G425" s="411"/>
      <c r="H425" s="411"/>
      <c r="I425" s="411"/>
      <c r="J425" s="411"/>
      <c r="K425" s="411"/>
      <c r="L425" s="411"/>
      <c r="M425" s="411"/>
      <c r="N425" s="411"/>
      <c r="O425" s="411"/>
      <c r="P425" s="411"/>
      <c r="Q425" s="411"/>
      <c r="R425" s="411"/>
      <c r="S425" s="411"/>
      <c r="T425" s="411"/>
      <c r="U425" s="411"/>
      <c r="V425" s="411"/>
      <c r="W425" s="411"/>
      <c r="X425" s="411"/>
      <c r="Y425" s="411"/>
      <c r="Z425" s="411"/>
      <c r="AA425" s="411"/>
      <c r="AB425" s="411"/>
      <c r="AC425" s="400"/>
      <c r="AD425" s="408"/>
      <c r="AE425" s="408"/>
      <c r="AF425" s="412"/>
      <c r="AG425" s="354"/>
      <c r="AH425" s="354"/>
    </row>
    <row r="426" spans="1:34" ht="15.75" customHeight="1">
      <c r="A426" s="413"/>
      <c r="B426" s="414"/>
      <c r="C426" s="415"/>
      <c r="D426" s="411"/>
      <c r="E426" s="411"/>
      <c r="F426" s="411"/>
      <c r="G426" s="411"/>
      <c r="H426" s="411"/>
      <c r="I426" s="411"/>
      <c r="J426" s="411"/>
      <c r="K426" s="411"/>
      <c r="L426" s="411"/>
      <c r="M426" s="411"/>
      <c r="N426" s="411"/>
      <c r="O426" s="411"/>
      <c r="P426" s="411"/>
      <c r="Q426" s="411"/>
      <c r="R426" s="411"/>
      <c r="S426" s="411"/>
      <c r="T426" s="411"/>
      <c r="U426" s="411"/>
      <c r="V426" s="411"/>
      <c r="W426" s="411"/>
      <c r="X426" s="411"/>
      <c r="Y426" s="411"/>
      <c r="Z426" s="411"/>
      <c r="AA426" s="411"/>
      <c r="AB426" s="411"/>
      <c r="AC426" s="400"/>
      <c r="AD426" s="408"/>
      <c r="AE426" s="408"/>
      <c r="AF426" s="412"/>
      <c r="AG426" s="354"/>
      <c r="AH426" s="354"/>
    </row>
    <row r="427" spans="1:34" ht="15.75" customHeight="1">
      <c r="A427" s="413"/>
      <c r="B427" s="414"/>
      <c r="C427" s="415"/>
      <c r="D427" s="411"/>
      <c r="E427" s="411"/>
      <c r="F427" s="411"/>
      <c r="G427" s="411"/>
      <c r="H427" s="411"/>
      <c r="I427" s="411"/>
      <c r="J427" s="411"/>
      <c r="K427" s="411"/>
      <c r="L427" s="411"/>
      <c r="M427" s="411"/>
      <c r="N427" s="411"/>
      <c r="O427" s="411"/>
      <c r="P427" s="411"/>
      <c r="Q427" s="411"/>
      <c r="R427" s="411"/>
      <c r="S427" s="411"/>
      <c r="T427" s="411"/>
      <c r="U427" s="411"/>
      <c r="V427" s="411"/>
      <c r="W427" s="411"/>
      <c r="X427" s="411"/>
      <c r="Y427" s="411"/>
      <c r="Z427" s="411"/>
      <c r="AA427" s="411"/>
      <c r="AB427" s="411"/>
      <c r="AC427" s="400"/>
      <c r="AD427" s="408"/>
      <c r="AE427" s="408"/>
      <c r="AF427" s="412"/>
      <c r="AG427" s="354"/>
      <c r="AH427" s="354"/>
    </row>
    <row r="428" spans="1:34" ht="15.75" customHeight="1">
      <c r="A428" s="413"/>
      <c r="B428" s="414"/>
      <c r="C428" s="415"/>
      <c r="D428" s="411"/>
      <c r="E428" s="411"/>
      <c r="F428" s="411"/>
      <c r="G428" s="411"/>
      <c r="H428" s="411"/>
      <c r="I428" s="411"/>
      <c r="J428" s="411"/>
      <c r="K428" s="411"/>
      <c r="L428" s="411"/>
      <c r="M428" s="411"/>
      <c r="N428" s="411"/>
      <c r="O428" s="411"/>
      <c r="P428" s="411"/>
      <c r="Q428" s="411"/>
      <c r="R428" s="411"/>
      <c r="S428" s="411"/>
      <c r="T428" s="411"/>
      <c r="U428" s="411"/>
      <c r="V428" s="411"/>
      <c r="W428" s="411"/>
      <c r="X428" s="411"/>
      <c r="Y428" s="411"/>
      <c r="Z428" s="411"/>
      <c r="AA428" s="411"/>
      <c r="AB428" s="411"/>
      <c r="AC428" s="400"/>
      <c r="AD428" s="408"/>
      <c r="AE428" s="408"/>
      <c r="AF428" s="412"/>
      <c r="AG428" s="354"/>
      <c r="AH428" s="354"/>
    </row>
    <row r="429" spans="1:34" ht="15.75" customHeight="1">
      <c r="A429" s="413"/>
      <c r="B429" s="414"/>
      <c r="C429" s="415"/>
      <c r="D429" s="411"/>
      <c r="E429" s="411"/>
      <c r="F429" s="411"/>
      <c r="G429" s="411"/>
      <c r="H429" s="411"/>
      <c r="I429" s="411"/>
      <c r="J429" s="411"/>
      <c r="K429" s="411"/>
      <c r="L429" s="411"/>
      <c r="M429" s="411"/>
      <c r="N429" s="411"/>
      <c r="O429" s="411"/>
      <c r="P429" s="411"/>
      <c r="Q429" s="411"/>
      <c r="R429" s="411"/>
      <c r="S429" s="411"/>
      <c r="T429" s="411"/>
      <c r="U429" s="411"/>
      <c r="V429" s="411"/>
      <c r="W429" s="411"/>
      <c r="X429" s="411"/>
      <c r="Y429" s="411"/>
      <c r="Z429" s="411"/>
      <c r="AA429" s="411"/>
      <c r="AB429" s="411"/>
      <c r="AC429" s="400"/>
      <c r="AD429" s="408"/>
      <c r="AE429" s="408"/>
      <c r="AF429" s="412"/>
      <c r="AG429" s="354"/>
      <c r="AH429" s="354"/>
    </row>
    <row r="430" spans="1:34" ht="15.75" customHeight="1">
      <c r="A430" s="413"/>
      <c r="B430" s="414"/>
      <c r="C430" s="415"/>
      <c r="D430" s="411"/>
      <c r="E430" s="411"/>
      <c r="F430" s="411"/>
      <c r="G430" s="411"/>
      <c r="H430" s="411"/>
      <c r="I430" s="411"/>
      <c r="J430" s="411"/>
      <c r="K430" s="411"/>
      <c r="L430" s="411"/>
      <c r="M430" s="411"/>
      <c r="N430" s="411"/>
      <c r="O430" s="411"/>
      <c r="P430" s="411"/>
      <c r="Q430" s="411"/>
      <c r="R430" s="411"/>
      <c r="S430" s="411"/>
      <c r="T430" s="411"/>
      <c r="U430" s="411"/>
      <c r="V430" s="411"/>
      <c r="W430" s="411"/>
      <c r="X430" s="411"/>
      <c r="Y430" s="411"/>
      <c r="Z430" s="411"/>
      <c r="AA430" s="411"/>
      <c r="AB430" s="411"/>
      <c r="AC430" s="400"/>
      <c r="AD430" s="408"/>
      <c r="AE430" s="408"/>
      <c r="AF430" s="412"/>
      <c r="AG430" s="354"/>
      <c r="AH430" s="354"/>
    </row>
    <row r="431" spans="1:34" ht="15.75" customHeight="1">
      <c r="A431" s="413"/>
      <c r="B431" s="414"/>
      <c r="C431" s="415"/>
      <c r="D431" s="411"/>
      <c r="E431" s="411"/>
      <c r="F431" s="411"/>
      <c r="G431" s="411"/>
      <c r="H431" s="411"/>
      <c r="I431" s="411"/>
      <c r="J431" s="411"/>
      <c r="K431" s="411"/>
      <c r="L431" s="411"/>
      <c r="M431" s="411"/>
      <c r="N431" s="411"/>
      <c r="O431" s="411"/>
      <c r="P431" s="411"/>
      <c r="Q431" s="411"/>
      <c r="R431" s="411"/>
      <c r="S431" s="411"/>
      <c r="T431" s="411"/>
      <c r="U431" s="411"/>
      <c r="V431" s="411"/>
      <c r="W431" s="411"/>
      <c r="X431" s="411"/>
      <c r="Y431" s="411"/>
      <c r="Z431" s="411"/>
      <c r="AA431" s="411"/>
      <c r="AB431" s="411"/>
      <c r="AC431" s="400"/>
      <c r="AD431" s="408"/>
      <c r="AE431" s="408"/>
      <c r="AF431" s="412"/>
      <c r="AG431" s="354"/>
      <c r="AH431" s="354"/>
    </row>
    <row r="432" spans="1:34" ht="15.75" customHeight="1">
      <c r="A432" s="413"/>
      <c r="B432" s="414"/>
      <c r="C432" s="415"/>
      <c r="D432" s="411"/>
      <c r="E432" s="411"/>
      <c r="F432" s="411"/>
      <c r="G432" s="411"/>
      <c r="H432" s="411"/>
      <c r="I432" s="411"/>
      <c r="J432" s="411"/>
      <c r="K432" s="411"/>
      <c r="L432" s="411"/>
      <c r="M432" s="411"/>
      <c r="N432" s="411"/>
      <c r="O432" s="411"/>
      <c r="P432" s="411"/>
      <c r="Q432" s="411"/>
      <c r="R432" s="411"/>
      <c r="S432" s="411"/>
      <c r="T432" s="411"/>
      <c r="U432" s="411"/>
      <c r="V432" s="411"/>
      <c r="W432" s="411"/>
      <c r="X432" s="411"/>
      <c r="Y432" s="411"/>
      <c r="Z432" s="411"/>
      <c r="AA432" s="411"/>
      <c r="AB432" s="411"/>
      <c r="AC432" s="400"/>
      <c r="AD432" s="408"/>
      <c r="AE432" s="408"/>
      <c r="AF432" s="412"/>
      <c r="AG432" s="354"/>
      <c r="AH432" s="354"/>
    </row>
    <row r="433" spans="1:34" ht="15.75" customHeight="1">
      <c r="A433" s="413"/>
      <c r="B433" s="414"/>
      <c r="C433" s="415"/>
      <c r="D433" s="411"/>
      <c r="E433" s="411"/>
      <c r="F433" s="411"/>
      <c r="G433" s="411"/>
      <c r="H433" s="411"/>
      <c r="I433" s="411"/>
      <c r="J433" s="411"/>
      <c r="K433" s="411"/>
      <c r="L433" s="411"/>
      <c r="M433" s="411"/>
      <c r="N433" s="411"/>
      <c r="O433" s="411"/>
      <c r="P433" s="411"/>
      <c r="Q433" s="411"/>
      <c r="R433" s="411"/>
      <c r="S433" s="411"/>
      <c r="T433" s="411"/>
      <c r="U433" s="411"/>
      <c r="V433" s="411"/>
      <c r="W433" s="411"/>
      <c r="X433" s="411"/>
      <c r="Y433" s="411"/>
      <c r="Z433" s="411"/>
      <c r="AA433" s="411"/>
      <c r="AB433" s="411"/>
      <c r="AC433" s="400"/>
      <c r="AD433" s="408"/>
      <c r="AE433" s="408"/>
      <c r="AF433" s="412"/>
      <c r="AG433" s="354"/>
      <c r="AH433" s="354"/>
    </row>
    <row r="434" spans="1:34" ht="15.75" customHeight="1">
      <c r="A434" s="413"/>
      <c r="B434" s="414"/>
      <c r="C434" s="415"/>
      <c r="D434" s="411"/>
      <c r="E434" s="411"/>
      <c r="F434" s="411"/>
      <c r="G434" s="411"/>
      <c r="H434" s="411"/>
      <c r="I434" s="411"/>
      <c r="J434" s="411"/>
      <c r="K434" s="411"/>
      <c r="L434" s="411"/>
      <c r="M434" s="411"/>
      <c r="N434" s="411"/>
      <c r="O434" s="411"/>
      <c r="P434" s="411"/>
      <c r="Q434" s="411"/>
      <c r="R434" s="411"/>
      <c r="S434" s="411"/>
      <c r="T434" s="411"/>
      <c r="U434" s="411"/>
      <c r="V434" s="411"/>
      <c r="W434" s="411"/>
      <c r="X434" s="411"/>
      <c r="Y434" s="411"/>
      <c r="Z434" s="411"/>
      <c r="AA434" s="411"/>
      <c r="AB434" s="411"/>
      <c r="AC434" s="400"/>
      <c r="AD434" s="408"/>
      <c r="AE434" s="408"/>
      <c r="AF434" s="412"/>
      <c r="AG434" s="354"/>
      <c r="AH434" s="354"/>
    </row>
    <row r="435" spans="1:34" ht="15.75" customHeight="1">
      <c r="A435" s="413"/>
      <c r="B435" s="414"/>
      <c r="C435" s="415"/>
      <c r="D435" s="411"/>
      <c r="E435" s="411"/>
      <c r="F435" s="411"/>
      <c r="G435" s="411"/>
      <c r="H435" s="411"/>
      <c r="I435" s="411"/>
      <c r="J435" s="411"/>
      <c r="K435" s="411"/>
      <c r="L435" s="411"/>
      <c r="M435" s="411"/>
      <c r="N435" s="411"/>
      <c r="O435" s="411"/>
      <c r="P435" s="411"/>
      <c r="Q435" s="411"/>
      <c r="R435" s="411"/>
      <c r="S435" s="411"/>
      <c r="T435" s="411"/>
      <c r="U435" s="411"/>
      <c r="V435" s="411"/>
      <c r="W435" s="411"/>
      <c r="X435" s="411"/>
      <c r="Y435" s="411"/>
      <c r="Z435" s="411"/>
      <c r="AA435" s="411"/>
      <c r="AB435" s="411"/>
      <c r="AC435" s="400"/>
      <c r="AD435" s="408"/>
      <c r="AE435" s="408"/>
      <c r="AF435" s="412"/>
      <c r="AG435" s="354"/>
      <c r="AH435" s="354"/>
    </row>
    <row r="436" spans="1:34" ht="15.75" customHeight="1">
      <c r="A436" s="413"/>
      <c r="B436" s="414"/>
      <c r="C436" s="415"/>
      <c r="D436" s="411"/>
      <c r="E436" s="411"/>
      <c r="F436" s="411"/>
      <c r="G436" s="411"/>
      <c r="H436" s="411"/>
      <c r="I436" s="411"/>
      <c r="J436" s="411"/>
      <c r="K436" s="411"/>
      <c r="L436" s="411"/>
      <c r="M436" s="411"/>
      <c r="N436" s="411"/>
      <c r="O436" s="411"/>
      <c r="P436" s="411"/>
      <c r="Q436" s="411"/>
      <c r="R436" s="411"/>
      <c r="S436" s="411"/>
      <c r="T436" s="411"/>
      <c r="U436" s="411"/>
      <c r="V436" s="411"/>
      <c r="W436" s="411"/>
      <c r="X436" s="411"/>
      <c r="Y436" s="411"/>
      <c r="Z436" s="411"/>
      <c r="AA436" s="411"/>
      <c r="AB436" s="411"/>
      <c r="AC436" s="400"/>
      <c r="AD436" s="408"/>
      <c r="AE436" s="408"/>
      <c r="AF436" s="412"/>
      <c r="AG436" s="354"/>
      <c r="AH436" s="354"/>
    </row>
    <row r="437" spans="1:34" ht="15.75" customHeight="1">
      <c r="A437" s="413"/>
      <c r="B437" s="414"/>
      <c r="C437" s="415"/>
      <c r="D437" s="411"/>
      <c r="E437" s="411"/>
      <c r="F437" s="411"/>
      <c r="G437" s="411"/>
      <c r="H437" s="411"/>
      <c r="I437" s="411"/>
      <c r="J437" s="411"/>
      <c r="K437" s="411"/>
      <c r="L437" s="411"/>
      <c r="M437" s="411"/>
      <c r="N437" s="411"/>
      <c r="O437" s="411"/>
      <c r="P437" s="411"/>
      <c r="Q437" s="411"/>
      <c r="R437" s="411"/>
      <c r="S437" s="411"/>
      <c r="T437" s="411"/>
      <c r="U437" s="411"/>
      <c r="V437" s="411"/>
      <c r="W437" s="411"/>
      <c r="X437" s="411"/>
      <c r="Y437" s="411"/>
      <c r="Z437" s="411"/>
      <c r="AA437" s="411"/>
      <c r="AB437" s="411"/>
      <c r="AC437" s="400"/>
      <c r="AD437" s="408"/>
      <c r="AE437" s="408"/>
      <c r="AF437" s="412"/>
      <c r="AG437" s="354"/>
      <c r="AH437" s="354"/>
    </row>
    <row r="438" spans="1:34" ht="15.75" customHeight="1">
      <c r="A438" s="413"/>
      <c r="B438" s="414"/>
      <c r="C438" s="415"/>
      <c r="D438" s="411"/>
      <c r="E438" s="411"/>
      <c r="F438" s="411"/>
      <c r="G438" s="411"/>
      <c r="H438" s="411"/>
      <c r="I438" s="411"/>
      <c r="J438" s="411"/>
      <c r="K438" s="411"/>
      <c r="L438" s="411"/>
      <c r="M438" s="411"/>
      <c r="N438" s="411"/>
      <c r="O438" s="411"/>
      <c r="P438" s="411"/>
      <c r="Q438" s="411"/>
      <c r="R438" s="411"/>
      <c r="S438" s="411"/>
      <c r="T438" s="411"/>
      <c r="U438" s="411"/>
      <c r="V438" s="411"/>
      <c r="W438" s="411"/>
      <c r="X438" s="411"/>
      <c r="Y438" s="411"/>
      <c r="Z438" s="411"/>
      <c r="AA438" s="411"/>
      <c r="AB438" s="411"/>
      <c r="AC438" s="400"/>
      <c r="AD438" s="408"/>
      <c r="AE438" s="408"/>
      <c r="AF438" s="412"/>
      <c r="AG438" s="354"/>
      <c r="AH438" s="354"/>
    </row>
    <row r="439" spans="1:34" ht="15.75" customHeight="1">
      <c r="A439" s="413"/>
      <c r="B439" s="414"/>
      <c r="C439" s="415"/>
      <c r="D439" s="411"/>
      <c r="E439" s="411"/>
      <c r="F439" s="411"/>
      <c r="G439" s="411"/>
      <c r="H439" s="411"/>
      <c r="I439" s="411"/>
      <c r="J439" s="411"/>
      <c r="K439" s="411"/>
      <c r="L439" s="411"/>
      <c r="M439" s="411"/>
      <c r="N439" s="411"/>
      <c r="O439" s="411"/>
      <c r="P439" s="411"/>
      <c r="Q439" s="411"/>
      <c r="R439" s="411"/>
      <c r="S439" s="411"/>
      <c r="T439" s="411"/>
      <c r="U439" s="411"/>
      <c r="V439" s="411"/>
      <c r="W439" s="411"/>
      <c r="X439" s="411"/>
      <c r="Y439" s="411"/>
      <c r="Z439" s="411"/>
      <c r="AA439" s="411"/>
      <c r="AB439" s="411"/>
      <c r="AC439" s="400"/>
      <c r="AD439" s="408"/>
      <c r="AE439" s="408"/>
      <c r="AF439" s="412"/>
      <c r="AG439" s="354"/>
      <c r="AH439" s="354"/>
    </row>
    <row r="440" spans="1:34" ht="15.75" customHeight="1">
      <c r="A440" s="413"/>
      <c r="B440" s="414"/>
      <c r="C440" s="415"/>
      <c r="D440" s="411"/>
      <c r="E440" s="411"/>
      <c r="F440" s="411"/>
      <c r="G440" s="411"/>
      <c r="H440" s="411"/>
      <c r="I440" s="411"/>
      <c r="J440" s="411"/>
      <c r="K440" s="411"/>
      <c r="L440" s="411"/>
      <c r="M440" s="411"/>
      <c r="N440" s="411"/>
      <c r="O440" s="411"/>
      <c r="P440" s="411"/>
      <c r="Q440" s="411"/>
      <c r="R440" s="411"/>
      <c r="S440" s="411"/>
      <c r="T440" s="411"/>
      <c r="U440" s="411"/>
      <c r="V440" s="411"/>
      <c r="W440" s="411"/>
      <c r="X440" s="411"/>
      <c r="Y440" s="411"/>
      <c r="Z440" s="411"/>
      <c r="AA440" s="411"/>
      <c r="AB440" s="411"/>
      <c r="AC440" s="400"/>
      <c r="AD440" s="408"/>
      <c r="AE440" s="408"/>
      <c r="AF440" s="412"/>
      <c r="AG440" s="354"/>
      <c r="AH440" s="354"/>
    </row>
    <row r="441" spans="1:34" ht="15.75" customHeight="1">
      <c r="A441" s="413"/>
      <c r="B441" s="414"/>
      <c r="C441" s="415"/>
      <c r="D441" s="411"/>
      <c r="E441" s="411"/>
      <c r="F441" s="411"/>
      <c r="G441" s="411"/>
      <c r="H441" s="411"/>
      <c r="I441" s="411"/>
      <c r="J441" s="411"/>
      <c r="K441" s="411"/>
      <c r="L441" s="411"/>
      <c r="M441" s="411"/>
      <c r="N441" s="411"/>
      <c r="O441" s="411"/>
      <c r="P441" s="411"/>
      <c r="Q441" s="411"/>
      <c r="R441" s="411"/>
      <c r="S441" s="411"/>
      <c r="T441" s="411"/>
      <c r="U441" s="411"/>
      <c r="V441" s="411"/>
      <c r="W441" s="411"/>
      <c r="X441" s="411"/>
      <c r="Y441" s="411"/>
      <c r="Z441" s="411"/>
      <c r="AA441" s="411"/>
      <c r="AB441" s="411"/>
      <c r="AC441" s="400"/>
      <c r="AD441" s="408"/>
      <c r="AE441" s="408"/>
      <c r="AF441" s="412"/>
      <c r="AG441" s="354"/>
      <c r="AH441" s="354"/>
    </row>
    <row r="442" spans="1:34" ht="15.75" customHeight="1">
      <c r="A442" s="413"/>
      <c r="B442" s="414"/>
      <c r="C442" s="415"/>
      <c r="D442" s="411"/>
      <c r="E442" s="411"/>
      <c r="F442" s="411"/>
      <c r="G442" s="411"/>
      <c r="H442" s="411"/>
      <c r="I442" s="411"/>
      <c r="J442" s="411"/>
      <c r="K442" s="411"/>
      <c r="L442" s="411"/>
      <c r="M442" s="411"/>
      <c r="N442" s="411"/>
      <c r="O442" s="411"/>
      <c r="P442" s="411"/>
      <c r="Q442" s="411"/>
      <c r="R442" s="411"/>
      <c r="S442" s="411"/>
      <c r="T442" s="411"/>
      <c r="U442" s="411"/>
      <c r="V442" s="411"/>
      <c r="W442" s="411"/>
      <c r="X442" s="411"/>
      <c r="Y442" s="411"/>
      <c r="Z442" s="411"/>
      <c r="AA442" s="411"/>
      <c r="AB442" s="411"/>
      <c r="AC442" s="400"/>
      <c r="AD442" s="408"/>
      <c r="AE442" s="408"/>
      <c r="AF442" s="412"/>
      <c r="AG442" s="354"/>
      <c r="AH442" s="354"/>
    </row>
    <row r="443" spans="1:34" ht="15.75" customHeight="1">
      <c r="A443" s="413"/>
      <c r="B443" s="414"/>
      <c r="C443" s="415"/>
      <c r="D443" s="411"/>
      <c r="E443" s="411"/>
      <c r="F443" s="411"/>
      <c r="G443" s="411"/>
      <c r="H443" s="411"/>
      <c r="I443" s="411"/>
      <c r="J443" s="411"/>
      <c r="K443" s="411"/>
      <c r="L443" s="411"/>
      <c r="M443" s="411"/>
      <c r="N443" s="411"/>
      <c r="O443" s="411"/>
      <c r="P443" s="411"/>
      <c r="Q443" s="411"/>
      <c r="R443" s="411"/>
      <c r="S443" s="411"/>
      <c r="T443" s="411"/>
      <c r="U443" s="411"/>
      <c r="V443" s="411"/>
      <c r="W443" s="411"/>
      <c r="X443" s="411"/>
      <c r="Y443" s="411"/>
      <c r="Z443" s="411"/>
      <c r="AA443" s="411"/>
      <c r="AB443" s="411"/>
      <c r="AC443" s="400"/>
      <c r="AD443" s="408"/>
      <c r="AE443" s="408"/>
      <c r="AF443" s="412"/>
      <c r="AG443" s="354"/>
      <c r="AH443" s="354"/>
    </row>
    <row r="444" spans="1:34" ht="15.75" customHeight="1">
      <c r="A444" s="413"/>
      <c r="B444" s="414"/>
      <c r="C444" s="415"/>
      <c r="D444" s="411"/>
      <c r="E444" s="411"/>
      <c r="F444" s="411"/>
      <c r="G444" s="411"/>
      <c r="H444" s="411"/>
      <c r="I444" s="411"/>
      <c r="J444" s="411"/>
      <c r="K444" s="411"/>
      <c r="L444" s="411"/>
      <c r="M444" s="411"/>
      <c r="N444" s="411"/>
      <c r="O444" s="411"/>
      <c r="P444" s="411"/>
      <c r="Q444" s="411"/>
      <c r="R444" s="411"/>
      <c r="S444" s="411"/>
      <c r="T444" s="411"/>
      <c r="U444" s="411"/>
      <c r="V444" s="411"/>
      <c r="W444" s="411"/>
      <c r="X444" s="411"/>
      <c r="Y444" s="411"/>
      <c r="Z444" s="411"/>
      <c r="AA444" s="411"/>
      <c r="AB444" s="411"/>
      <c r="AC444" s="400"/>
      <c r="AD444" s="408"/>
      <c r="AE444" s="408"/>
      <c r="AF444" s="412"/>
      <c r="AG444" s="354"/>
      <c r="AH444" s="354"/>
    </row>
    <row r="445" spans="1:34" ht="15.75" customHeight="1">
      <c r="A445" s="413"/>
      <c r="B445" s="414"/>
      <c r="C445" s="415"/>
      <c r="D445" s="411"/>
      <c r="E445" s="411"/>
      <c r="F445" s="411"/>
      <c r="G445" s="411"/>
      <c r="H445" s="411"/>
      <c r="I445" s="411"/>
      <c r="J445" s="411"/>
      <c r="K445" s="411"/>
      <c r="L445" s="411"/>
      <c r="M445" s="411"/>
      <c r="N445" s="411"/>
      <c r="O445" s="411"/>
      <c r="P445" s="411"/>
      <c r="Q445" s="411"/>
      <c r="R445" s="411"/>
      <c r="S445" s="411"/>
      <c r="T445" s="411"/>
      <c r="U445" s="411"/>
      <c r="V445" s="411"/>
      <c r="W445" s="411"/>
      <c r="X445" s="411"/>
      <c r="Y445" s="411"/>
      <c r="Z445" s="411"/>
      <c r="AA445" s="411"/>
      <c r="AB445" s="411"/>
      <c r="AC445" s="400"/>
      <c r="AD445" s="408"/>
      <c r="AE445" s="408"/>
      <c r="AF445" s="412"/>
      <c r="AG445" s="354"/>
      <c r="AH445" s="354"/>
    </row>
    <row r="446" spans="1:34" ht="15.75" customHeight="1">
      <c r="A446" s="413"/>
      <c r="B446" s="414"/>
      <c r="C446" s="415"/>
      <c r="D446" s="411"/>
      <c r="E446" s="411"/>
      <c r="F446" s="411"/>
      <c r="G446" s="411"/>
      <c r="H446" s="411"/>
      <c r="I446" s="411"/>
      <c r="J446" s="411"/>
      <c r="K446" s="411"/>
      <c r="L446" s="411"/>
      <c r="M446" s="411"/>
      <c r="N446" s="411"/>
      <c r="O446" s="411"/>
      <c r="P446" s="411"/>
      <c r="Q446" s="411"/>
      <c r="R446" s="411"/>
      <c r="S446" s="411"/>
      <c r="T446" s="411"/>
      <c r="U446" s="411"/>
      <c r="V446" s="411"/>
      <c r="W446" s="411"/>
      <c r="X446" s="411"/>
      <c r="Y446" s="411"/>
      <c r="Z446" s="411"/>
      <c r="AA446" s="411"/>
      <c r="AB446" s="411"/>
      <c r="AC446" s="400"/>
      <c r="AD446" s="408"/>
      <c r="AE446" s="408"/>
      <c r="AF446" s="412"/>
      <c r="AG446" s="354"/>
      <c r="AH446" s="354"/>
    </row>
    <row r="447" spans="1:34" ht="15.75" customHeight="1">
      <c r="A447" s="413"/>
      <c r="B447" s="414"/>
      <c r="C447" s="415"/>
      <c r="D447" s="411"/>
      <c r="E447" s="411"/>
      <c r="F447" s="411"/>
      <c r="G447" s="411"/>
      <c r="H447" s="411"/>
      <c r="I447" s="411"/>
      <c r="J447" s="411"/>
      <c r="K447" s="411"/>
      <c r="L447" s="411"/>
      <c r="M447" s="411"/>
      <c r="N447" s="411"/>
      <c r="O447" s="411"/>
      <c r="P447" s="411"/>
      <c r="Q447" s="411"/>
      <c r="R447" s="411"/>
      <c r="S447" s="411"/>
      <c r="T447" s="411"/>
      <c r="U447" s="411"/>
      <c r="V447" s="411"/>
      <c r="W447" s="411"/>
      <c r="X447" s="411"/>
      <c r="Y447" s="411"/>
      <c r="Z447" s="411"/>
      <c r="AA447" s="411"/>
      <c r="AB447" s="411"/>
      <c r="AC447" s="400"/>
      <c r="AD447" s="408"/>
      <c r="AE447" s="408"/>
      <c r="AF447" s="412"/>
      <c r="AG447" s="354"/>
      <c r="AH447" s="354"/>
    </row>
    <row r="448" spans="1:34" ht="15.75" customHeight="1">
      <c r="A448" s="413"/>
      <c r="B448" s="414"/>
      <c r="C448" s="415"/>
      <c r="D448" s="411"/>
      <c r="E448" s="411"/>
      <c r="F448" s="411"/>
      <c r="G448" s="411"/>
      <c r="H448" s="411"/>
      <c r="I448" s="411"/>
      <c r="J448" s="411"/>
      <c r="K448" s="411"/>
      <c r="L448" s="411"/>
      <c r="M448" s="411"/>
      <c r="N448" s="411"/>
      <c r="O448" s="411"/>
      <c r="P448" s="411"/>
      <c r="Q448" s="411"/>
      <c r="R448" s="411"/>
      <c r="S448" s="411"/>
      <c r="T448" s="411"/>
      <c r="U448" s="411"/>
      <c r="V448" s="411"/>
      <c r="W448" s="411"/>
      <c r="X448" s="411"/>
      <c r="Y448" s="411"/>
      <c r="Z448" s="411"/>
      <c r="AA448" s="411"/>
      <c r="AB448" s="411"/>
      <c r="AC448" s="400"/>
      <c r="AD448" s="408"/>
      <c r="AE448" s="408"/>
      <c r="AF448" s="412"/>
      <c r="AG448" s="354"/>
      <c r="AH448" s="354"/>
    </row>
    <row r="449" spans="1:34" ht="15.75" customHeight="1">
      <c r="A449" s="413"/>
      <c r="B449" s="414"/>
      <c r="C449" s="415"/>
      <c r="D449" s="411"/>
      <c r="E449" s="411"/>
      <c r="F449" s="411"/>
      <c r="G449" s="411"/>
      <c r="H449" s="411"/>
      <c r="I449" s="411"/>
      <c r="J449" s="411"/>
      <c r="K449" s="411"/>
      <c r="L449" s="411"/>
      <c r="M449" s="411"/>
      <c r="N449" s="411"/>
      <c r="O449" s="411"/>
      <c r="P449" s="411"/>
      <c r="Q449" s="411"/>
      <c r="R449" s="411"/>
      <c r="S449" s="411"/>
      <c r="T449" s="411"/>
      <c r="U449" s="411"/>
      <c r="V449" s="411"/>
      <c r="W449" s="411"/>
      <c r="X449" s="411"/>
      <c r="Y449" s="411"/>
      <c r="Z449" s="411"/>
      <c r="AA449" s="411"/>
      <c r="AB449" s="411"/>
      <c r="AC449" s="400"/>
      <c r="AD449" s="408"/>
      <c r="AE449" s="408"/>
      <c r="AF449" s="412"/>
      <c r="AG449" s="354"/>
      <c r="AH449" s="354"/>
    </row>
    <row r="450" spans="1:34" ht="15.75" customHeight="1">
      <c r="A450" s="413"/>
      <c r="B450" s="414"/>
      <c r="C450" s="415"/>
      <c r="D450" s="411"/>
      <c r="E450" s="411"/>
      <c r="F450" s="411"/>
      <c r="G450" s="411"/>
      <c r="H450" s="411"/>
      <c r="I450" s="411"/>
      <c r="J450" s="411"/>
      <c r="K450" s="411"/>
      <c r="L450" s="411"/>
      <c r="M450" s="411"/>
      <c r="N450" s="411"/>
      <c r="O450" s="411"/>
      <c r="P450" s="411"/>
      <c r="Q450" s="411"/>
      <c r="R450" s="411"/>
      <c r="S450" s="411"/>
      <c r="T450" s="411"/>
      <c r="U450" s="411"/>
      <c r="V450" s="411"/>
      <c r="W450" s="411"/>
      <c r="X450" s="411"/>
      <c r="Y450" s="411"/>
      <c r="Z450" s="411"/>
      <c r="AA450" s="411"/>
      <c r="AB450" s="411"/>
      <c r="AC450" s="400"/>
      <c r="AD450" s="408"/>
      <c r="AE450" s="408"/>
      <c r="AF450" s="412"/>
      <c r="AG450" s="354"/>
      <c r="AH450" s="354"/>
    </row>
    <row r="451" spans="1:34" ht="15.75" customHeight="1">
      <c r="A451" s="413"/>
      <c r="B451" s="414"/>
      <c r="C451" s="415"/>
      <c r="D451" s="411"/>
      <c r="E451" s="411"/>
      <c r="F451" s="411"/>
      <c r="G451" s="411"/>
      <c r="H451" s="411"/>
      <c r="I451" s="411"/>
      <c r="J451" s="411"/>
      <c r="K451" s="411"/>
      <c r="L451" s="411"/>
      <c r="M451" s="411"/>
      <c r="N451" s="411"/>
      <c r="O451" s="411"/>
      <c r="P451" s="411"/>
      <c r="Q451" s="411"/>
      <c r="R451" s="411"/>
      <c r="S451" s="411"/>
      <c r="T451" s="411"/>
      <c r="U451" s="411"/>
      <c r="V451" s="411"/>
      <c r="W451" s="411"/>
      <c r="X451" s="411"/>
      <c r="Y451" s="411"/>
      <c r="Z451" s="411"/>
      <c r="AA451" s="411"/>
      <c r="AB451" s="411"/>
      <c r="AC451" s="400"/>
      <c r="AD451" s="408"/>
      <c r="AE451" s="408"/>
      <c r="AF451" s="412"/>
      <c r="AG451" s="354"/>
      <c r="AH451" s="354"/>
    </row>
    <row r="452" spans="1:34" ht="15.75" customHeight="1">
      <c r="A452" s="413"/>
      <c r="B452" s="414"/>
      <c r="C452" s="415"/>
      <c r="D452" s="411"/>
      <c r="E452" s="411"/>
      <c r="F452" s="411"/>
      <c r="G452" s="411"/>
      <c r="H452" s="411"/>
      <c r="I452" s="411"/>
      <c r="J452" s="411"/>
      <c r="K452" s="411"/>
      <c r="L452" s="411"/>
      <c r="M452" s="411"/>
      <c r="N452" s="411"/>
      <c r="O452" s="411"/>
      <c r="P452" s="411"/>
      <c r="Q452" s="411"/>
      <c r="R452" s="411"/>
      <c r="S452" s="411"/>
      <c r="T452" s="411"/>
      <c r="U452" s="411"/>
      <c r="V452" s="411"/>
      <c r="W452" s="411"/>
      <c r="X452" s="411"/>
      <c r="Y452" s="411"/>
      <c r="Z452" s="411"/>
      <c r="AA452" s="411"/>
      <c r="AB452" s="411"/>
      <c r="AC452" s="400"/>
      <c r="AD452" s="408"/>
      <c r="AE452" s="408"/>
      <c r="AF452" s="412"/>
      <c r="AG452" s="354"/>
      <c r="AH452" s="354"/>
    </row>
    <row r="453" spans="1:34" ht="15.75" customHeight="1">
      <c r="A453" s="413"/>
      <c r="B453" s="414"/>
      <c r="C453" s="415"/>
      <c r="D453" s="411"/>
      <c r="E453" s="411"/>
      <c r="F453" s="411"/>
      <c r="G453" s="411"/>
      <c r="H453" s="411"/>
      <c r="I453" s="411"/>
      <c r="J453" s="411"/>
      <c r="K453" s="411"/>
      <c r="L453" s="411"/>
      <c r="M453" s="411"/>
      <c r="N453" s="411"/>
      <c r="O453" s="411"/>
      <c r="P453" s="411"/>
      <c r="Q453" s="411"/>
      <c r="R453" s="411"/>
      <c r="S453" s="411"/>
      <c r="T453" s="411"/>
      <c r="U453" s="411"/>
      <c r="V453" s="411"/>
      <c r="W453" s="411"/>
      <c r="X453" s="411"/>
      <c r="Y453" s="411"/>
      <c r="Z453" s="411"/>
      <c r="AA453" s="411"/>
      <c r="AB453" s="411"/>
      <c r="AC453" s="400"/>
      <c r="AD453" s="408"/>
      <c r="AE453" s="408"/>
      <c r="AF453" s="412"/>
      <c r="AG453" s="354"/>
      <c r="AH453" s="354"/>
    </row>
    <row r="454" spans="1:34" ht="15.75" customHeight="1">
      <c r="A454" s="413"/>
      <c r="B454" s="414"/>
      <c r="C454" s="415"/>
      <c r="D454" s="411"/>
      <c r="E454" s="411"/>
      <c r="F454" s="411"/>
      <c r="G454" s="411"/>
      <c r="H454" s="411"/>
      <c r="I454" s="411"/>
      <c r="J454" s="411"/>
      <c r="K454" s="411"/>
      <c r="L454" s="411"/>
      <c r="M454" s="411"/>
      <c r="N454" s="411"/>
      <c r="O454" s="411"/>
      <c r="P454" s="411"/>
      <c r="Q454" s="411"/>
      <c r="R454" s="411"/>
      <c r="S454" s="411"/>
      <c r="T454" s="411"/>
      <c r="U454" s="411"/>
      <c r="V454" s="411"/>
      <c r="W454" s="411"/>
      <c r="X454" s="411"/>
      <c r="Y454" s="411"/>
      <c r="Z454" s="411"/>
      <c r="AA454" s="411"/>
      <c r="AB454" s="411"/>
      <c r="AC454" s="400"/>
      <c r="AD454" s="408"/>
      <c r="AE454" s="408"/>
      <c r="AF454" s="412"/>
      <c r="AG454" s="354"/>
      <c r="AH454" s="354"/>
    </row>
    <row r="455" spans="1:34" ht="15.75" customHeight="1">
      <c r="A455" s="413"/>
      <c r="B455" s="414"/>
      <c r="C455" s="415"/>
      <c r="D455" s="411"/>
      <c r="E455" s="411"/>
      <c r="F455" s="411"/>
      <c r="G455" s="411"/>
      <c r="H455" s="411"/>
      <c r="I455" s="411"/>
      <c r="J455" s="411"/>
      <c r="K455" s="411"/>
      <c r="L455" s="411"/>
      <c r="M455" s="411"/>
      <c r="N455" s="411"/>
      <c r="O455" s="411"/>
      <c r="P455" s="411"/>
      <c r="Q455" s="411"/>
      <c r="R455" s="411"/>
      <c r="S455" s="411"/>
      <c r="T455" s="411"/>
      <c r="U455" s="411"/>
      <c r="V455" s="411"/>
      <c r="W455" s="411"/>
      <c r="X455" s="411"/>
      <c r="Y455" s="411"/>
      <c r="Z455" s="411"/>
      <c r="AA455" s="411"/>
      <c r="AB455" s="411"/>
      <c r="AC455" s="400"/>
      <c r="AD455" s="408"/>
      <c r="AE455" s="408"/>
      <c r="AF455" s="412"/>
      <c r="AG455" s="354"/>
      <c r="AH455" s="354"/>
    </row>
    <row r="456" spans="1:34" ht="15.75" customHeight="1">
      <c r="A456" s="413"/>
      <c r="B456" s="414"/>
      <c r="C456" s="415"/>
      <c r="D456" s="411"/>
      <c r="E456" s="411"/>
      <c r="F456" s="411"/>
      <c r="G456" s="411"/>
      <c r="H456" s="411"/>
      <c r="I456" s="411"/>
      <c r="J456" s="411"/>
      <c r="K456" s="411"/>
      <c r="L456" s="411"/>
      <c r="M456" s="411"/>
      <c r="N456" s="411"/>
      <c r="O456" s="411"/>
      <c r="P456" s="411"/>
      <c r="Q456" s="411"/>
      <c r="R456" s="411"/>
      <c r="S456" s="411"/>
      <c r="T456" s="411"/>
      <c r="U456" s="411"/>
      <c r="V456" s="411"/>
      <c r="W456" s="411"/>
      <c r="X456" s="411"/>
      <c r="Y456" s="411"/>
      <c r="Z456" s="411"/>
      <c r="AA456" s="411"/>
      <c r="AB456" s="411"/>
      <c r="AC456" s="400"/>
      <c r="AD456" s="408"/>
      <c r="AE456" s="408"/>
      <c r="AF456" s="412"/>
      <c r="AG456" s="354"/>
      <c r="AH456" s="354"/>
    </row>
    <row r="457" spans="1:34" ht="15.75" customHeight="1">
      <c r="A457" s="413"/>
      <c r="B457" s="414"/>
      <c r="C457" s="415"/>
      <c r="D457" s="411"/>
      <c r="E457" s="411"/>
      <c r="F457" s="411"/>
      <c r="G457" s="411"/>
      <c r="H457" s="411"/>
      <c r="I457" s="411"/>
      <c r="J457" s="411"/>
      <c r="K457" s="411"/>
      <c r="L457" s="411"/>
      <c r="M457" s="411"/>
      <c r="N457" s="411"/>
      <c r="O457" s="411"/>
      <c r="P457" s="411"/>
      <c r="Q457" s="411"/>
      <c r="R457" s="411"/>
      <c r="S457" s="411"/>
      <c r="T457" s="411"/>
      <c r="U457" s="411"/>
      <c r="V457" s="411"/>
      <c r="W457" s="411"/>
      <c r="X457" s="411"/>
      <c r="Y457" s="411"/>
      <c r="Z457" s="411"/>
      <c r="AA457" s="411"/>
      <c r="AB457" s="411"/>
      <c r="AC457" s="400"/>
      <c r="AD457" s="408"/>
      <c r="AE457" s="408"/>
      <c r="AF457" s="412"/>
      <c r="AG457" s="354"/>
      <c r="AH457" s="354"/>
    </row>
    <row r="458" spans="1:34" ht="15.75" customHeight="1">
      <c r="A458" s="413"/>
      <c r="B458" s="414"/>
      <c r="C458" s="415"/>
      <c r="D458" s="411"/>
      <c r="E458" s="411"/>
      <c r="F458" s="411"/>
      <c r="G458" s="411"/>
      <c r="H458" s="411"/>
      <c r="I458" s="411"/>
      <c r="J458" s="411"/>
      <c r="K458" s="411"/>
      <c r="L458" s="411"/>
      <c r="M458" s="411"/>
      <c r="N458" s="411"/>
      <c r="O458" s="411"/>
      <c r="P458" s="411"/>
      <c r="Q458" s="411"/>
      <c r="R458" s="411"/>
      <c r="S458" s="411"/>
      <c r="T458" s="411"/>
      <c r="U458" s="411"/>
      <c r="V458" s="411"/>
      <c r="W458" s="411"/>
      <c r="X458" s="411"/>
      <c r="Y458" s="411"/>
      <c r="Z458" s="411"/>
      <c r="AA458" s="411"/>
      <c r="AB458" s="411"/>
      <c r="AC458" s="400"/>
      <c r="AD458" s="408"/>
      <c r="AE458" s="408"/>
      <c r="AF458" s="412"/>
      <c r="AG458" s="354"/>
      <c r="AH458" s="354"/>
    </row>
  </sheetData>
  <mergeCells count="9">
    <mergeCell ref="G7:Q7"/>
    <mergeCell ref="G8:AD8"/>
    <mergeCell ref="A1:AF1"/>
    <mergeCell ref="B7:F8"/>
    <mergeCell ref="R7:V7"/>
    <mergeCell ref="W7:Z7"/>
    <mergeCell ref="AA7:AC7"/>
    <mergeCell ref="AE7:AE9"/>
    <mergeCell ref="AF7:AF8"/>
  </mergeCells>
  <pageMargins left="0.35" right="0.7" top="0.59" bottom="0.75" header="0" footer="0"/>
  <pageSetup paperSize="5"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58"/>
  <sheetViews>
    <sheetView workbookViewId="0"/>
  </sheetViews>
  <sheetFormatPr baseColWidth="10" defaultColWidth="14.42578125" defaultRowHeight="15" customHeight="1"/>
  <cols>
    <col min="1" max="1" width="4.28515625" customWidth="1"/>
    <col min="2" max="2" width="28.28515625" customWidth="1"/>
    <col min="3" max="3" width="37.42578125" customWidth="1"/>
    <col min="4" max="9" width="5.7109375" customWidth="1"/>
    <col min="10" max="10" width="8.85546875" customWidth="1"/>
    <col min="11" max="11" width="9.85546875" customWidth="1"/>
    <col min="12" max="12" width="5.7109375" customWidth="1"/>
    <col min="13" max="13" width="11" customWidth="1"/>
    <col min="14" max="14" width="5.5703125" customWidth="1"/>
    <col min="15" max="15" width="7.7109375" customWidth="1"/>
    <col min="16" max="21" width="5.7109375" customWidth="1"/>
    <col min="22" max="22" width="52.28515625" customWidth="1"/>
    <col min="23" max="23" width="45.85546875" customWidth="1"/>
    <col min="24" max="24" width="17.28515625" hidden="1" customWidth="1"/>
    <col min="25" max="25" width="15.85546875" hidden="1" customWidth="1"/>
  </cols>
  <sheetData>
    <row r="1" spans="1:25" ht="15.75" customHeight="1">
      <c r="A1" s="715" t="s">
        <v>1403</v>
      </c>
      <c r="B1" s="632"/>
      <c r="C1" s="632"/>
      <c r="D1" s="632"/>
      <c r="E1" s="632"/>
      <c r="F1" s="632"/>
      <c r="G1" s="632"/>
      <c r="H1" s="632"/>
      <c r="I1" s="632"/>
      <c r="J1" s="632"/>
      <c r="K1" s="632"/>
      <c r="L1" s="632"/>
      <c r="M1" s="632"/>
      <c r="N1" s="632"/>
      <c r="O1" s="632"/>
      <c r="P1" s="632"/>
      <c r="Q1" s="632"/>
      <c r="R1" s="632"/>
      <c r="S1" s="632"/>
      <c r="T1" s="632"/>
      <c r="U1" s="632"/>
      <c r="V1" s="632"/>
      <c r="W1" s="633"/>
      <c r="X1" s="416"/>
      <c r="Y1" s="416"/>
    </row>
    <row r="2" spans="1:25" ht="15" customHeight="1">
      <c r="A2" s="417" t="s">
        <v>1349</v>
      </c>
      <c r="B2" s="418"/>
      <c r="C2" s="357" t="s">
        <v>285</v>
      </c>
      <c r="D2" s="419"/>
      <c r="E2" s="419"/>
      <c r="F2" s="419"/>
      <c r="G2" s="419"/>
      <c r="H2" s="419"/>
      <c r="I2" s="419"/>
      <c r="J2" s="419"/>
      <c r="K2" s="419"/>
      <c r="L2" s="419"/>
      <c r="M2" s="419"/>
      <c r="N2" s="419"/>
      <c r="O2" s="419"/>
      <c r="P2" s="419"/>
      <c r="Q2" s="419"/>
      <c r="R2" s="419"/>
      <c r="S2" s="419"/>
      <c r="T2" s="419"/>
      <c r="U2" s="419"/>
      <c r="V2" s="419"/>
      <c r="W2" s="420"/>
      <c r="X2" s="416"/>
      <c r="Y2" s="416"/>
    </row>
    <row r="3" spans="1:25" ht="15" customHeight="1">
      <c r="A3" s="421" t="s">
        <v>1350</v>
      </c>
      <c r="B3" s="422"/>
      <c r="C3" s="361" t="s">
        <v>1351</v>
      </c>
      <c r="D3" s="423"/>
      <c r="E3" s="423"/>
      <c r="F3" s="423"/>
      <c r="G3" s="423"/>
      <c r="H3" s="423"/>
      <c r="I3" s="423"/>
      <c r="J3" s="423"/>
      <c r="K3" s="423"/>
      <c r="L3" s="423"/>
      <c r="M3" s="423"/>
      <c r="N3" s="423"/>
      <c r="O3" s="423"/>
      <c r="P3" s="423"/>
      <c r="Q3" s="423"/>
      <c r="R3" s="423"/>
      <c r="S3" s="423"/>
      <c r="T3" s="423"/>
      <c r="U3" s="423"/>
      <c r="V3" s="423"/>
      <c r="W3" s="424"/>
      <c r="X3" s="416"/>
      <c r="Y3" s="416"/>
    </row>
    <row r="4" spans="1:25" ht="15" customHeight="1">
      <c r="A4" s="421" t="s">
        <v>1352</v>
      </c>
      <c r="B4" s="422"/>
      <c r="C4" s="361" t="s">
        <v>1087</v>
      </c>
      <c r="D4" s="423"/>
      <c r="E4" s="423"/>
      <c r="F4" s="423"/>
      <c r="G4" s="423"/>
      <c r="H4" s="423"/>
      <c r="I4" s="423"/>
      <c r="J4" s="423"/>
      <c r="K4" s="423"/>
      <c r="L4" s="423"/>
      <c r="M4" s="423"/>
      <c r="N4" s="423"/>
      <c r="O4" s="423"/>
      <c r="P4" s="423"/>
      <c r="Q4" s="423"/>
      <c r="R4" s="423"/>
      <c r="S4" s="423"/>
      <c r="T4" s="423"/>
      <c r="U4" s="423"/>
      <c r="V4" s="423"/>
      <c r="W4" s="424"/>
      <c r="X4" s="416"/>
      <c r="Y4" s="416"/>
    </row>
    <row r="5" spans="1:25" ht="15" customHeight="1">
      <c r="A5" s="421" t="s">
        <v>1353</v>
      </c>
      <c r="B5" s="422"/>
      <c r="C5" s="361" t="s">
        <v>1354</v>
      </c>
      <c r="D5" s="423"/>
      <c r="E5" s="423"/>
      <c r="F5" s="423"/>
      <c r="G5" s="423"/>
      <c r="H5" s="423"/>
      <c r="I5" s="423"/>
      <c r="J5" s="423"/>
      <c r="K5" s="423"/>
      <c r="L5" s="423"/>
      <c r="M5" s="423"/>
      <c r="N5" s="423"/>
      <c r="O5" s="423"/>
      <c r="P5" s="423"/>
      <c r="Q5" s="423"/>
      <c r="R5" s="423"/>
      <c r="S5" s="423"/>
      <c r="T5" s="423"/>
      <c r="U5" s="423"/>
      <c r="V5" s="423"/>
      <c r="W5" s="424"/>
      <c r="X5" s="416"/>
      <c r="Y5" s="416"/>
    </row>
    <row r="6" spans="1:25" ht="15" customHeight="1">
      <c r="A6" s="425" t="s">
        <v>1355</v>
      </c>
      <c r="B6" s="426"/>
      <c r="C6" s="367" t="s">
        <v>1356</v>
      </c>
      <c r="D6" s="427"/>
      <c r="E6" s="427"/>
      <c r="F6" s="427"/>
      <c r="G6" s="427"/>
      <c r="H6" s="427"/>
      <c r="I6" s="427"/>
      <c r="J6" s="427"/>
      <c r="K6" s="427"/>
      <c r="L6" s="427"/>
      <c r="M6" s="427"/>
      <c r="N6" s="427"/>
      <c r="O6" s="427"/>
      <c r="P6" s="427"/>
      <c r="Q6" s="427"/>
      <c r="R6" s="427"/>
      <c r="S6" s="427"/>
      <c r="T6" s="427"/>
      <c r="U6" s="427"/>
      <c r="V6" s="427"/>
      <c r="W6" s="428"/>
      <c r="X6" s="416"/>
      <c r="Y6" s="416"/>
    </row>
    <row r="7" spans="1:25" ht="36.75" customHeight="1">
      <c r="A7" s="370"/>
      <c r="B7" s="716" t="s">
        <v>1404</v>
      </c>
      <c r="C7" s="635"/>
      <c r="D7" s="635"/>
      <c r="E7" s="635"/>
      <c r="F7" s="636"/>
      <c r="G7" s="712" t="s">
        <v>1405</v>
      </c>
      <c r="H7" s="632"/>
      <c r="I7" s="632"/>
      <c r="J7" s="633"/>
      <c r="K7" s="719" t="s">
        <v>1406</v>
      </c>
      <c r="L7" s="633"/>
      <c r="M7" s="720" t="s">
        <v>1407</v>
      </c>
      <c r="N7" s="632"/>
      <c r="O7" s="632"/>
      <c r="P7" s="632"/>
      <c r="Q7" s="632"/>
      <c r="R7" s="632"/>
      <c r="S7" s="632"/>
      <c r="T7" s="632"/>
      <c r="U7" s="661"/>
      <c r="V7" s="728" t="s">
        <v>88</v>
      </c>
      <c r="W7" s="729" t="s">
        <v>1362</v>
      </c>
      <c r="X7" s="416"/>
      <c r="Y7" s="416"/>
    </row>
    <row r="8" spans="1:25" ht="24" customHeight="1">
      <c r="A8" s="372"/>
      <c r="B8" s="725"/>
      <c r="C8" s="726"/>
      <c r="D8" s="726"/>
      <c r="E8" s="726"/>
      <c r="F8" s="727"/>
      <c r="G8" s="730" t="s">
        <v>1363</v>
      </c>
      <c r="H8" s="515"/>
      <c r="I8" s="515"/>
      <c r="J8" s="515"/>
      <c r="K8" s="515"/>
      <c r="L8" s="515"/>
      <c r="M8" s="515"/>
      <c r="N8" s="515"/>
      <c r="O8" s="515"/>
      <c r="P8" s="515"/>
      <c r="Q8" s="515"/>
      <c r="R8" s="515"/>
      <c r="S8" s="515"/>
      <c r="T8" s="515"/>
      <c r="U8" s="516"/>
      <c r="V8" s="676"/>
      <c r="W8" s="724"/>
      <c r="X8" s="416"/>
      <c r="Y8" s="416"/>
    </row>
    <row r="9" spans="1:25" ht="120.75" customHeight="1">
      <c r="A9" s="372" t="s">
        <v>1364</v>
      </c>
      <c r="B9" s="429" t="s">
        <v>1365</v>
      </c>
      <c r="C9" s="430" t="s">
        <v>1366</v>
      </c>
      <c r="D9" s="431" t="s">
        <v>1367</v>
      </c>
      <c r="E9" s="431" t="s">
        <v>1368</v>
      </c>
      <c r="F9" s="432" t="s">
        <v>1369</v>
      </c>
      <c r="G9" s="433" t="s">
        <v>1408</v>
      </c>
      <c r="H9" s="378" t="s">
        <v>1409</v>
      </c>
      <c r="I9" s="378" t="s">
        <v>1410</v>
      </c>
      <c r="J9" s="434" t="s">
        <v>1411</v>
      </c>
      <c r="K9" s="435" t="s">
        <v>1412</v>
      </c>
      <c r="L9" s="436" t="s">
        <v>1413</v>
      </c>
      <c r="M9" s="437" t="s">
        <v>1414</v>
      </c>
      <c r="N9" s="438" t="s">
        <v>1415</v>
      </c>
      <c r="O9" s="438" t="s">
        <v>1416</v>
      </c>
      <c r="P9" s="438" t="s">
        <v>1417</v>
      </c>
      <c r="Q9" s="438" t="s">
        <v>1418</v>
      </c>
      <c r="R9" s="438" t="s">
        <v>1419</v>
      </c>
      <c r="S9" s="438" t="s">
        <v>1420</v>
      </c>
      <c r="T9" s="438" t="s">
        <v>1421</v>
      </c>
      <c r="U9" s="439" t="s">
        <v>1422</v>
      </c>
      <c r="V9" s="724"/>
      <c r="W9" s="440" t="s">
        <v>1393</v>
      </c>
      <c r="X9" s="393" t="s">
        <v>1394</v>
      </c>
      <c r="Y9" s="394" t="s">
        <v>1395</v>
      </c>
    </row>
    <row r="10" spans="1:25" ht="12.75" customHeight="1">
      <c r="A10" s="441">
        <v>1</v>
      </c>
      <c r="B10" s="396" t="s">
        <v>529</v>
      </c>
      <c r="C10" s="397" t="s">
        <v>1396</v>
      </c>
      <c r="D10" s="398"/>
      <c r="E10" s="398">
        <v>1</v>
      </c>
      <c r="F10" s="398" t="s">
        <v>1397</v>
      </c>
      <c r="G10" s="402" t="s">
        <v>1423</v>
      </c>
      <c r="H10" s="402">
        <v>0</v>
      </c>
      <c r="I10" s="402">
        <v>0</v>
      </c>
      <c r="J10" s="402">
        <v>0</v>
      </c>
      <c r="K10" s="402">
        <v>1</v>
      </c>
      <c r="L10" s="402">
        <v>0</v>
      </c>
      <c r="M10" s="402">
        <v>0</v>
      </c>
      <c r="N10" s="402">
        <v>0</v>
      </c>
      <c r="O10" s="402">
        <v>0</v>
      </c>
      <c r="P10" s="402">
        <v>1</v>
      </c>
      <c r="Q10" s="402">
        <v>0</v>
      </c>
      <c r="R10" s="402">
        <v>1</v>
      </c>
      <c r="S10" s="402">
        <v>0</v>
      </c>
      <c r="T10" s="402">
        <v>0</v>
      </c>
      <c r="U10" s="402">
        <v>0</v>
      </c>
      <c r="V10" s="403"/>
      <c r="W10" s="442"/>
      <c r="X10" s="443">
        <v>42859</v>
      </c>
      <c r="Y10" s="444">
        <v>0.38605324074074071</v>
      </c>
    </row>
    <row r="11" spans="1:25" ht="12.75" customHeight="1">
      <c r="A11" s="445">
        <v>2</v>
      </c>
      <c r="B11" s="408" t="s">
        <v>529</v>
      </c>
      <c r="C11" s="408" t="s">
        <v>1396</v>
      </c>
      <c r="D11" s="400"/>
      <c r="E11" s="400">
        <v>2</v>
      </c>
      <c r="F11" s="400" t="s">
        <v>1397</v>
      </c>
      <c r="G11" s="411" t="s">
        <v>1424</v>
      </c>
      <c r="H11" s="411">
        <v>0</v>
      </c>
      <c r="I11" s="411">
        <v>0</v>
      </c>
      <c r="J11" s="411">
        <v>0</v>
      </c>
      <c r="K11" s="411">
        <v>1</v>
      </c>
      <c r="L11" s="411">
        <v>0</v>
      </c>
      <c r="M11" s="411">
        <v>0</v>
      </c>
      <c r="N11" s="411">
        <v>0</v>
      </c>
      <c r="O11" s="411">
        <v>0</v>
      </c>
      <c r="P11" s="411">
        <v>1</v>
      </c>
      <c r="Q11" s="411">
        <v>0</v>
      </c>
      <c r="R11" s="411">
        <v>1</v>
      </c>
      <c r="S11" s="411">
        <v>0</v>
      </c>
      <c r="T11" s="411">
        <v>0</v>
      </c>
      <c r="U11" s="411">
        <v>0</v>
      </c>
      <c r="V11" s="408"/>
      <c r="W11" s="446"/>
      <c r="X11" s="443">
        <v>42859</v>
      </c>
      <c r="Y11" s="444">
        <v>0.38612268518518517</v>
      </c>
    </row>
    <row r="12" spans="1:25" ht="12.75" customHeight="1">
      <c r="A12" s="445">
        <v>3</v>
      </c>
      <c r="B12" s="408" t="s">
        <v>529</v>
      </c>
      <c r="C12" s="408" t="s">
        <v>1396</v>
      </c>
      <c r="D12" s="400"/>
      <c r="E12" s="400">
        <v>3</v>
      </c>
      <c r="F12" s="400" t="s">
        <v>1397</v>
      </c>
      <c r="G12" s="411" t="s">
        <v>1424</v>
      </c>
      <c r="H12" s="411">
        <v>0</v>
      </c>
      <c r="I12" s="411">
        <v>0</v>
      </c>
      <c r="J12" s="411">
        <v>0</v>
      </c>
      <c r="K12" s="411">
        <v>1</v>
      </c>
      <c r="L12" s="411">
        <v>0</v>
      </c>
      <c r="M12" s="411">
        <v>0</v>
      </c>
      <c r="N12" s="411">
        <v>0</v>
      </c>
      <c r="O12" s="411">
        <v>0</v>
      </c>
      <c r="P12" s="411">
        <v>1</v>
      </c>
      <c r="Q12" s="411">
        <v>0</v>
      </c>
      <c r="R12" s="411">
        <v>1</v>
      </c>
      <c r="S12" s="411">
        <v>0</v>
      </c>
      <c r="T12" s="411">
        <v>0</v>
      </c>
      <c r="U12" s="411">
        <v>0</v>
      </c>
      <c r="V12" s="408"/>
      <c r="W12" s="446"/>
      <c r="X12" s="443">
        <v>42859</v>
      </c>
      <c r="Y12" s="444">
        <v>0.38619212962962962</v>
      </c>
    </row>
    <row r="13" spans="1:25" ht="12.75" customHeight="1">
      <c r="A13" s="445">
        <v>4</v>
      </c>
      <c r="B13" s="408" t="s">
        <v>529</v>
      </c>
      <c r="C13" s="408" t="s">
        <v>1396</v>
      </c>
      <c r="D13" s="400"/>
      <c r="E13" s="400">
        <v>4</v>
      </c>
      <c r="F13" s="400" t="s">
        <v>1397</v>
      </c>
      <c r="G13" s="411" t="s">
        <v>1424</v>
      </c>
      <c r="H13" s="411">
        <v>0</v>
      </c>
      <c r="I13" s="411">
        <v>0</v>
      </c>
      <c r="J13" s="411">
        <v>0</v>
      </c>
      <c r="K13" s="411">
        <v>1</v>
      </c>
      <c r="L13" s="411">
        <v>0</v>
      </c>
      <c r="M13" s="411">
        <v>0</v>
      </c>
      <c r="N13" s="411">
        <v>0</v>
      </c>
      <c r="O13" s="411">
        <v>0</v>
      </c>
      <c r="P13" s="411">
        <v>1</v>
      </c>
      <c r="Q13" s="411">
        <v>0</v>
      </c>
      <c r="R13" s="411">
        <v>1</v>
      </c>
      <c r="S13" s="411">
        <v>0</v>
      </c>
      <c r="T13" s="411">
        <v>0</v>
      </c>
      <c r="U13" s="411">
        <v>0</v>
      </c>
      <c r="V13" s="408"/>
      <c r="W13" s="446"/>
      <c r="X13" s="443">
        <v>42859</v>
      </c>
      <c r="Y13" s="444">
        <v>0.38623842592592594</v>
      </c>
    </row>
    <row r="14" spans="1:25" ht="12.75" customHeight="1">
      <c r="A14" s="445">
        <v>5</v>
      </c>
      <c r="B14" s="408" t="s">
        <v>529</v>
      </c>
      <c r="C14" s="408" t="s">
        <v>1396</v>
      </c>
      <c r="D14" s="400"/>
      <c r="E14" s="400">
        <v>5</v>
      </c>
      <c r="F14" s="400" t="s">
        <v>1397</v>
      </c>
      <c r="G14" s="411" t="s">
        <v>1424</v>
      </c>
      <c r="H14" s="411">
        <v>0</v>
      </c>
      <c r="I14" s="411">
        <v>0</v>
      </c>
      <c r="J14" s="411">
        <v>0</v>
      </c>
      <c r="K14" s="411">
        <v>1</v>
      </c>
      <c r="L14" s="411">
        <v>0</v>
      </c>
      <c r="M14" s="411">
        <v>0</v>
      </c>
      <c r="N14" s="411">
        <v>0</v>
      </c>
      <c r="O14" s="411">
        <v>0</v>
      </c>
      <c r="P14" s="411">
        <v>1</v>
      </c>
      <c r="Q14" s="411">
        <v>0</v>
      </c>
      <c r="R14" s="411">
        <v>1</v>
      </c>
      <c r="S14" s="411">
        <v>0</v>
      </c>
      <c r="T14" s="411">
        <v>0</v>
      </c>
      <c r="U14" s="411">
        <v>0</v>
      </c>
      <c r="V14" s="408"/>
      <c r="W14" s="446"/>
      <c r="X14" s="443">
        <v>42859</v>
      </c>
      <c r="Y14" s="444">
        <v>0.3863078703703704</v>
      </c>
    </row>
    <row r="15" spans="1:25" ht="12.75" customHeight="1">
      <c r="A15" s="445">
        <v>6</v>
      </c>
      <c r="B15" s="408" t="s">
        <v>529</v>
      </c>
      <c r="C15" s="408" t="s">
        <v>1396</v>
      </c>
      <c r="D15" s="400"/>
      <c r="E15" s="400">
        <v>6</v>
      </c>
      <c r="F15" s="400" t="s">
        <v>1397</v>
      </c>
      <c r="G15" s="411" t="s">
        <v>1424</v>
      </c>
      <c r="H15" s="411">
        <v>0</v>
      </c>
      <c r="I15" s="411">
        <v>0</v>
      </c>
      <c r="J15" s="411">
        <v>0</v>
      </c>
      <c r="K15" s="411">
        <v>1</v>
      </c>
      <c r="L15" s="411">
        <v>0</v>
      </c>
      <c r="M15" s="411">
        <v>0</v>
      </c>
      <c r="N15" s="411">
        <v>0</v>
      </c>
      <c r="O15" s="411">
        <v>0</v>
      </c>
      <c r="P15" s="411">
        <v>1</v>
      </c>
      <c r="Q15" s="411">
        <v>0</v>
      </c>
      <c r="R15" s="411">
        <v>1</v>
      </c>
      <c r="S15" s="411">
        <v>0</v>
      </c>
      <c r="T15" s="411">
        <v>0</v>
      </c>
      <c r="U15" s="411">
        <v>0</v>
      </c>
      <c r="V15" s="408"/>
      <c r="W15" s="446"/>
      <c r="X15" s="443">
        <v>42859</v>
      </c>
      <c r="Y15" s="444">
        <v>0.38635416666666672</v>
      </c>
    </row>
    <row r="16" spans="1:25" ht="12.75" customHeight="1">
      <c r="A16" s="445">
        <v>7</v>
      </c>
      <c r="B16" s="408" t="s">
        <v>529</v>
      </c>
      <c r="C16" s="408" t="s">
        <v>1396</v>
      </c>
      <c r="D16" s="400"/>
      <c r="E16" s="400">
        <v>7</v>
      </c>
      <c r="F16" s="400" t="s">
        <v>1397</v>
      </c>
      <c r="G16" s="411" t="s">
        <v>1424</v>
      </c>
      <c r="H16" s="411">
        <v>0</v>
      </c>
      <c r="I16" s="411">
        <v>0</v>
      </c>
      <c r="J16" s="411">
        <v>0</v>
      </c>
      <c r="K16" s="411">
        <v>1</v>
      </c>
      <c r="L16" s="411">
        <v>0</v>
      </c>
      <c r="M16" s="411">
        <v>0</v>
      </c>
      <c r="N16" s="411">
        <v>0</v>
      </c>
      <c r="O16" s="411">
        <v>0</v>
      </c>
      <c r="P16" s="411">
        <v>1</v>
      </c>
      <c r="Q16" s="411">
        <v>0</v>
      </c>
      <c r="R16" s="411">
        <v>1</v>
      </c>
      <c r="S16" s="411">
        <v>0</v>
      </c>
      <c r="T16" s="411">
        <v>0</v>
      </c>
      <c r="U16" s="411">
        <v>0</v>
      </c>
      <c r="V16" s="408"/>
      <c r="W16" s="446"/>
      <c r="X16" s="443">
        <v>42859</v>
      </c>
      <c r="Y16" s="444">
        <v>0.38642361111111106</v>
      </c>
    </row>
    <row r="17" spans="1:25" ht="12.75" customHeight="1">
      <c r="A17" s="445">
        <v>8</v>
      </c>
      <c r="B17" s="408" t="s">
        <v>529</v>
      </c>
      <c r="C17" s="408" t="s">
        <v>1396</v>
      </c>
      <c r="D17" s="400"/>
      <c r="E17" s="400">
        <v>8</v>
      </c>
      <c r="F17" s="400" t="s">
        <v>1397</v>
      </c>
      <c r="G17" s="411" t="s">
        <v>1424</v>
      </c>
      <c r="H17" s="411">
        <v>0</v>
      </c>
      <c r="I17" s="411">
        <v>0</v>
      </c>
      <c r="J17" s="411">
        <v>0</v>
      </c>
      <c r="K17" s="411">
        <v>1</v>
      </c>
      <c r="L17" s="411">
        <v>0</v>
      </c>
      <c r="M17" s="411">
        <v>0</v>
      </c>
      <c r="N17" s="411">
        <v>0</v>
      </c>
      <c r="O17" s="411">
        <v>0</v>
      </c>
      <c r="P17" s="411">
        <v>1</v>
      </c>
      <c r="Q17" s="411">
        <v>0</v>
      </c>
      <c r="R17" s="411">
        <v>1</v>
      </c>
      <c r="S17" s="411">
        <v>0</v>
      </c>
      <c r="T17" s="411">
        <v>0</v>
      </c>
      <c r="U17" s="411">
        <v>0</v>
      </c>
      <c r="V17" s="408"/>
      <c r="W17" s="446"/>
      <c r="X17" s="443">
        <v>42859</v>
      </c>
      <c r="Y17" s="444">
        <v>0.38648148148148148</v>
      </c>
    </row>
    <row r="18" spans="1:25" ht="12.75" customHeight="1">
      <c r="A18" s="445">
        <v>9</v>
      </c>
      <c r="B18" s="408" t="s">
        <v>529</v>
      </c>
      <c r="C18" s="408" t="s">
        <v>1396</v>
      </c>
      <c r="D18" s="400"/>
      <c r="E18" s="400">
        <v>9</v>
      </c>
      <c r="F18" s="400" t="s">
        <v>1397</v>
      </c>
      <c r="G18" s="411" t="s">
        <v>1424</v>
      </c>
      <c r="H18" s="411">
        <v>0</v>
      </c>
      <c r="I18" s="411">
        <v>0</v>
      </c>
      <c r="J18" s="411">
        <v>0</v>
      </c>
      <c r="K18" s="411">
        <v>1</v>
      </c>
      <c r="L18" s="411">
        <v>0</v>
      </c>
      <c r="M18" s="411">
        <v>0</v>
      </c>
      <c r="N18" s="411">
        <v>0</v>
      </c>
      <c r="O18" s="411">
        <v>0</v>
      </c>
      <c r="P18" s="411">
        <v>1</v>
      </c>
      <c r="Q18" s="411">
        <v>0</v>
      </c>
      <c r="R18" s="411">
        <v>1</v>
      </c>
      <c r="S18" s="411">
        <v>0</v>
      </c>
      <c r="T18" s="411">
        <v>0</v>
      </c>
      <c r="U18" s="411">
        <v>0</v>
      </c>
      <c r="V18" s="408"/>
      <c r="W18" s="446"/>
      <c r="X18" s="443">
        <v>42859</v>
      </c>
      <c r="Y18" s="444">
        <v>0.3865277777777778</v>
      </c>
    </row>
    <row r="19" spans="1:25" ht="12.75" customHeight="1">
      <c r="A19" s="445">
        <v>10</v>
      </c>
      <c r="B19" s="408" t="s">
        <v>529</v>
      </c>
      <c r="C19" s="408" t="s">
        <v>1396</v>
      </c>
      <c r="D19" s="400"/>
      <c r="E19" s="400">
        <v>10</v>
      </c>
      <c r="F19" s="400" t="s">
        <v>1397</v>
      </c>
      <c r="G19" s="411" t="s">
        <v>1424</v>
      </c>
      <c r="H19" s="411">
        <v>0</v>
      </c>
      <c r="I19" s="411">
        <v>0</v>
      </c>
      <c r="J19" s="411">
        <v>0</v>
      </c>
      <c r="K19" s="411">
        <v>1</v>
      </c>
      <c r="L19" s="411">
        <v>0</v>
      </c>
      <c r="M19" s="411">
        <v>0</v>
      </c>
      <c r="N19" s="411">
        <v>0</v>
      </c>
      <c r="O19" s="411">
        <v>0</v>
      </c>
      <c r="P19" s="411">
        <v>1</v>
      </c>
      <c r="Q19" s="411">
        <v>0</v>
      </c>
      <c r="R19" s="411">
        <v>1</v>
      </c>
      <c r="S19" s="411">
        <v>0</v>
      </c>
      <c r="T19" s="411">
        <v>0</v>
      </c>
      <c r="U19" s="411">
        <v>0</v>
      </c>
      <c r="V19" s="408"/>
      <c r="W19" s="446"/>
      <c r="X19" s="443">
        <v>42859</v>
      </c>
      <c r="Y19" s="444">
        <v>0.38658564814814816</v>
      </c>
    </row>
    <row r="20" spans="1:25" ht="12.75" customHeight="1">
      <c r="A20" s="445">
        <v>11</v>
      </c>
      <c r="B20" s="408" t="s">
        <v>529</v>
      </c>
      <c r="C20" s="408" t="s">
        <v>1396</v>
      </c>
      <c r="D20" s="400"/>
      <c r="E20" s="400">
        <v>11</v>
      </c>
      <c r="F20" s="400" t="s">
        <v>1397</v>
      </c>
      <c r="G20" s="411" t="s">
        <v>1424</v>
      </c>
      <c r="H20" s="411">
        <v>0</v>
      </c>
      <c r="I20" s="411">
        <v>0</v>
      </c>
      <c r="J20" s="411">
        <v>0</v>
      </c>
      <c r="K20" s="411">
        <v>1</v>
      </c>
      <c r="L20" s="411">
        <v>0</v>
      </c>
      <c r="M20" s="411">
        <v>0</v>
      </c>
      <c r="N20" s="411">
        <v>0</v>
      </c>
      <c r="O20" s="411">
        <v>0</v>
      </c>
      <c r="P20" s="411">
        <v>1</v>
      </c>
      <c r="Q20" s="411">
        <v>0</v>
      </c>
      <c r="R20" s="411">
        <v>1</v>
      </c>
      <c r="S20" s="411">
        <v>0</v>
      </c>
      <c r="T20" s="411">
        <v>0</v>
      </c>
      <c r="U20" s="411">
        <v>0</v>
      </c>
      <c r="V20" s="408"/>
      <c r="W20" s="446"/>
      <c r="X20" s="443">
        <v>42859</v>
      </c>
      <c r="Y20" s="444">
        <v>0.38663194444444443</v>
      </c>
    </row>
    <row r="21" spans="1:25" ht="12.75" customHeight="1">
      <c r="A21" s="445">
        <v>12</v>
      </c>
      <c r="B21" s="408" t="s">
        <v>529</v>
      </c>
      <c r="C21" s="408" t="s">
        <v>1396</v>
      </c>
      <c r="D21" s="400"/>
      <c r="E21" s="400">
        <v>12</v>
      </c>
      <c r="F21" s="400" t="s">
        <v>1397</v>
      </c>
      <c r="G21" s="411" t="s">
        <v>1424</v>
      </c>
      <c r="H21" s="411">
        <v>0</v>
      </c>
      <c r="I21" s="411">
        <v>0</v>
      </c>
      <c r="J21" s="411">
        <v>0</v>
      </c>
      <c r="K21" s="411">
        <v>1</v>
      </c>
      <c r="L21" s="411">
        <v>0</v>
      </c>
      <c r="M21" s="411">
        <v>0</v>
      </c>
      <c r="N21" s="411">
        <v>0</v>
      </c>
      <c r="O21" s="411">
        <v>0</v>
      </c>
      <c r="P21" s="411">
        <v>1</v>
      </c>
      <c r="Q21" s="411">
        <v>0</v>
      </c>
      <c r="R21" s="411">
        <v>1</v>
      </c>
      <c r="S21" s="411">
        <v>0</v>
      </c>
      <c r="T21" s="411">
        <v>0</v>
      </c>
      <c r="U21" s="411">
        <v>0</v>
      </c>
      <c r="V21" s="408"/>
      <c r="W21" s="446"/>
      <c r="X21" s="443">
        <v>42859</v>
      </c>
      <c r="Y21" s="444">
        <v>0.38668981481481479</v>
      </c>
    </row>
    <row r="22" spans="1:25" ht="12.75" customHeight="1">
      <c r="A22" s="445">
        <v>13</v>
      </c>
      <c r="B22" s="408" t="s">
        <v>529</v>
      </c>
      <c r="C22" s="408" t="s">
        <v>1396</v>
      </c>
      <c r="D22" s="400"/>
      <c r="E22" s="400">
        <v>13</v>
      </c>
      <c r="F22" s="400" t="s">
        <v>1397</v>
      </c>
      <c r="G22" s="411" t="s">
        <v>1424</v>
      </c>
      <c r="H22" s="411">
        <v>0</v>
      </c>
      <c r="I22" s="411">
        <v>0</v>
      </c>
      <c r="J22" s="411">
        <v>0</v>
      </c>
      <c r="K22" s="411">
        <v>1</v>
      </c>
      <c r="L22" s="411">
        <v>0</v>
      </c>
      <c r="M22" s="411">
        <v>0</v>
      </c>
      <c r="N22" s="411">
        <v>0</v>
      </c>
      <c r="O22" s="411">
        <v>0</v>
      </c>
      <c r="P22" s="411">
        <v>1</v>
      </c>
      <c r="Q22" s="411">
        <v>0</v>
      </c>
      <c r="R22" s="411">
        <v>1</v>
      </c>
      <c r="S22" s="411">
        <v>0</v>
      </c>
      <c r="T22" s="411">
        <v>0</v>
      </c>
      <c r="U22" s="411">
        <v>0</v>
      </c>
      <c r="V22" s="408"/>
      <c r="W22" s="446"/>
      <c r="X22" s="443">
        <v>42859</v>
      </c>
      <c r="Y22" s="444">
        <v>0.38680555555555557</v>
      </c>
    </row>
    <row r="23" spans="1:25" ht="12.75" customHeight="1">
      <c r="A23" s="445">
        <v>14</v>
      </c>
      <c r="B23" s="408" t="s">
        <v>529</v>
      </c>
      <c r="C23" s="408" t="s">
        <v>1396</v>
      </c>
      <c r="D23" s="400"/>
      <c r="E23" s="400">
        <v>14</v>
      </c>
      <c r="F23" s="400" t="s">
        <v>1397</v>
      </c>
      <c r="G23" s="411" t="s">
        <v>1424</v>
      </c>
      <c r="H23" s="411">
        <v>0</v>
      </c>
      <c r="I23" s="411">
        <v>0</v>
      </c>
      <c r="J23" s="411">
        <v>0</v>
      </c>
      <c r="K23" s="411">
        <v>1</v>
      </c>
      <c r="L23" s="411">
        <v>0</v>
      </c>
      <c r="M23" s="411">
        <v>0</v>
      </c>
      <c r="N23" s="411">
        <v>0</v>
      </c>
      <c r="O23" s="411">
        <v>0</v>
      </c>
      <c r="P23" s="411">
        <v>1</v>
      </c>
      <c r="Q23" s="411">
        <v>0</v>
      </c>
      <c r="R23" s="411">
        <v>1</v>
      </c>
      <c r="S23" s="411">
        <v>0</v>
      </c>
      <c r="T23" s="411">
        <v>0</v>
      </c>
      <c r="U23" s="411">
        <v>0</v>
      </c>
      <c r="V23" s="408"/>
      <c r="W23" s="446"/>
      <c r="X23" s="443">
        <v>42859</v>
      </c>
      <c r="Y23" s="444">
        <v>0.3868402777777778</v>
      </c>
    </row>
    <row r="24" spans="1:25" ht="12.75" customHeight="1">
      <c r="A24" s="445">
        <v>15</v>
      </c>
      <c r="B24" s="408" t="s">
        <v>529</v>
      </c>
      <c r="C24" s="408" t="s">
        <v>1396</v>
      </c>
      <c r="D24" s="400"/>
      <c r="E24" s="400">
        <v>15</v>
      </c>
      <c r="F24" s="400" t="s">
        <v>1397</v>
      </c>
      <c r="G24" s="411" t="s">
        <v>1424</v>
      </c>
      <c r="H24" s="411">
        <v>0</v>
      </c>
      <c r="I24" s="411">
        <v>0</v>
      </c>
      <c r="J24" s="411">
        <v>0</v>
      </c>
      <c r="K24" s="411">
        <v>1</v>
      </c>
      <c r="L24" s="411">
        <v>0</v>
      </c>
      <c r="M24" s="411">
        <v>0</v>
      </c>
      <c r="N24" s="411">
        <v>0</v>
      </c>
      <c r="O24" s="411">
        <v>0</v>
      </c>
      <c r="P24" s="411">
        <v>1</v>
      </c>
      <c r="Q24" s="411">
        <v>0</v>
      </c>
      <c r="R24" s="411">
        <v>1</v>
      </c>
      <c r="S24" s="411">
        <v>0</v>
      </c>
      <c r="T24" s="411">
        <v>0</v>
      </c>
      <c r="U24" s="411">
        <v>0</v>
      </c>
      <c r="V24" s="408"/>
      <c r="W24" s="446"/>
      <c r="X24" s="443">
        <v>42859</v>
      </c>
      <c r="Y24" s="444">
        <v>0.38693287037037033</v>
      </c>
    </row>
    <row r="25" spans="1:25" ht="12.75" customHeight="1">
      <c r="A25" s="445">
        <v>16</v>
      </c>
      <c r="B25" s="408" t="s">
        <v>529</v>
      </c>
      <c r="C25" s="408" t="s">
        <v>1396</v>
      </c>
      <c r="D25" s="400"/>
      <c r="E25" s="400">
        <v>16</v>
      </c>
      <c r="F25" s="400" t="s">
        <v>1397</v>
      </c>
      <c r="G25" s="411" t="s">
        <v>1424</v>
      </c>
      <c r="H25" s="411">
        <v>0</v>
      </c>
      <c r="I25" s="411">
        <v>0</v>
      </c>
      <c r="J25" s="411">
        <v>0</v>
      </c>
      <c r="K25" s="411">
        <v>1</v>
      </c>
      <c r="L25" s="411">
        <v>0</v>
      </c>
      <c r="M25" s="411">
        <v>0</v>
      </c>
      <c r="N25" s="411">
        <v>0</v>
      </c>
      <c r="O25" s="411">
        <v>0</v>
      </c>
      <c r="P25" s="411">
        <v>1</v>
      </c>
      <c r="Q25" s="411">
        <v>0</v>
      </c>
      <c r="R25" s="411">
        <v>1</v>
      </c>
      <c r="S25" s="411">
        <v>0</v>
      </c>
      <c r="T25" s="411">
        <v>0</v>
      </c>
      <c r="U25" s="411">
        <v>0</v>
      </c>
      <c r="V25" s="408"/>
      <c r="W25" s="446"/>
      <c r="X25" s="443">
        <v>42859</v>
      </c>
      <c r="Y25" s="444">
        <v>0.38702546296296297</v>
      </c>
    </row>
    <row r="26" spans="1:25" ht="12.75" customHeight="1">
      <c r="A26" s="445">
        <v>17</v>
      </c>
      <c r="B26" s="408" t="s">
        <v>529</v>
      </c>
      <c r="C26" s="408" t="s">
        <v>1396</v>
      </c>
      <c r="D26" s="400"/>
      <c r="E26" s="400">
        <v>17</v>
      </c>
      <c r="F26" s="400" t="s">
        <v>1397</v>
      </c>
      <c r="G26" s="411" t="s">
        <v>1424</v>
      </c>
      <c r="H26" s="411">
        <v>0</v>
      </c>
      <c r="I26" s="411">
        <v>0</v>
      </c>
      <c r="J26" s="411">
        <v>0</v>
      </c>
      <c r="K26" s="411">
        <v>1</v>
      </c>
      <c r="L26" s="411">
        <v>0</v>
      </c>
      <c r="M26" s="411">
        <v>0</v>
      </c>
      <c r="N26" s="411">
        <v>0</v>
      </c>
      <c r="O26" s="411">
        <v>0</v>
      </c>
      <c r="P26" s="411">
        <v>1</v>
      </c>
      <c r="Q26" s="411">
        <v>0</v>
      </c>
      <c r="R26" s="411">
        <v>1</v>
      </c>
      <c r="S26" s="411">
        <v>0</v>
      </c>
      <c r="T26" s="411">
        <v>0</v>
      </c>
      <c r="U26" s="411">
        <v>0</v>
      </c>
      <c r="V26" s="408"/>
      <c r="W26" s="446"/>
      <c r="X26" s="443">
        <v>42859</v>
      </c>
      <c r="Y26" s="444">
        <v>0.38708333333333328</v>
      </c>
    </row>
    <row r="27" spans="1:25" ht="12.75" customHeight="1">
      <c r="A27" s="445">
        <v>18</v>
      </c>
      <c r="B27" s="408" t="s">
        <v>529</v>
      </c>
      <c r="C27" s="408" t="s">
        <v>1396</v>
      </c>
      <c r="D27" s="400"/>
      <c r="E27" s="400">
        <v>18</v>
      </c>
      <c r="F27" s="400" t="s">
        <v>1397</v>
      </c>
      <c r="G27" s="411" t="s">
        <v>1424</v>
      </c>
      <c r="H27" s="411">
        <v>0</v>
      </c>
      <c r="I27" s="411">
        <v>0</v>
      </c>
      <c r="J27" s="411">
        <v>0</v>
      </c>
      <c r="K27" s="411">
        <v>1</v>
      </c>
      <c r="L27" s="411">
        <v>0</v>
      </c>
      <c r="M27" s="411">
        <v>0</v>
      </c>
      <c r="N27" s="411">
        <v>0</v>
      </c>
      <c r="O27" s="411">
        <v>0</v>
      </c>
      <c r="P27" s="411">
        <v>1</v>
      </c>
      <c r="Q27" s="411">
        <v>0</v>
      </c>
      <c r="R27" s="411">
        <v>1</v>
      </c>
      <c r="S27" s="411">
        <v>0</v>
      </c>
      <c r="T27" s="411">
        <v>0</v>
      </c>
      <c r="U27" s="411">
        <v>0</v>
      </c>
      <c r="V27" s="408"/>
      <c r="W27" s="446"/>
      <c r="X27" s="443">
        <v>42859</v>
      </c>
      <c r="Y27" s="444">
        <v>0.38710648148148147</v>
      </c>
    </row>
    <row r="28" spans="1:25" ht="12.75" customHeight="1">
      <c r="A28" s="445">
        <v>19</v>
      </c>
      <c r="B28" s="408" t="s">
        <v>529</v>
      </c>
      <c r="C28" s="408" t="s">
        <v>1396</v>
      </c>
      <c r="D28" s="400"/>
      <c r="E28" s="400">
        <v>19</v>
      </c>
      <c r="F28" s="400" t="s">
        <v>1397</v>
      </c>
      <c r="G28" s="411" t="s">
        <v>1424</v>
      </c>
      <c r="H28" s="411">
        <v>0</v>
      </c>
      <c r="I28" s="411">
        <v>0</v>
      </c>
      <c r="J28" s="411">
        <v>0</v>
      </c>
      <c r="K28" s="411">
        <v>1</v>
      </c>
      <c r="L28" s="411">
        <v>0</v>
      </c>
      <c r="M28" s="411">
        <v>0</v>
      </c>
      <c r="N28" s="411">
        <v>0</v>
      </c>
      <c r="O28" s="411">
        <v>0</v>
      </c>
      <c r="P28" s="411">
        <v>1</v>
      </c>
      <c r="Q28" s="411">
        <v>0</v>
      </c>
      <c r="R28" s="411">
        <v>1</v>
      </c>
      <c r="S28" s="411">
        <v>0</v>
      </c>
      <c r="T28" s="411">
        <v>0</v>
      </c>
      <c r="U28" s="411">
        <v>0</v>
      </c>
      <c r="V28" s="408"/>
      <c r="W28" s="446"/>
      <c r="X28" s="443">
        <v>42859</v>
      </c>
      <c r="Y28" s="444">
        <v>0.38733796296296297</v>
      </c>
    </row>
    <row r="29" spans="1:25" ht="12.75" customHeight="1">
      <c r="A29" s="445">
        <v>20</v>
      </c>
      <c r="B29" s="414" t="s">
        <v>1398</v>
      </c>
      <c r="C29" s="415" t="s">
        <v>830</v>
      </c>
      <c r="D29" s="411">
        <v>1</v>
      </c>
      <c r="E29" s="411">
        <v>8</v>
      </c>
      <c r="F29" s="411" t="s">
        <v>1399</v>
      </c>
      <c r="G29" s="411" t="s">
        <v>1424</v>
      </c>
      <c r="H29" s="411">
        <v>1</v>
      </c>
      <c r="I29" s="411">
        <v>0</v>
      </c>
      <c r="J29" s="411">
        <v>1</v>
      </c>
      <c r="K29" s="411">
        <v>1</v>
      </c>
      <c r="L29" s="411">
        <v>1</v>
      </c>
      <c r="M29" s="411" t="s">
        <v>1425</v>
      </c>
      <c r="N29" s="411">
        <v>1</v>
      </c>
      <c r="O29" s="411">
        <v>1</v>
      </c>
      <c r="P29" s="411">
        <v>1</v>
      </c>
      <c r="Q29" s="411">
        <v>1</v>
      </c>
      <c r="R29" s="411">
        <v>1</v>
      </c>
      <c r="S29" s="411">
        <v>1</v>
      </c>
      <c r="T29" s="411">
        <v>1</v>
      </c>
      <c r="U29" s="411">
        <v>0</v>
      </c>
      <c r="V29" s="408"/>
      <c r="W29" s="446"/>
      <c r="X29" s="443">
        <v>42859</v>
      </c>
      <c r="Y29" s="444">
        <v>0.38750000000000001</v>
      </c>
    </row>
    <row r="30" spans="1:25" ht="12.75" customHeight="1">
      <c r="A30" s="445">
        <v>21</v>
      </c>
      <c r="B30" s="414" t="s">
        <v>1398</v>
      </c>
      <c r="C30" s="415" t="s">
        <v>830</v>
      </c>
      <c r="D30" s="411">
        <v>2</v>
      </c>
      <c r="E30" s="411">
        <v>8</v>
      </c>
      <c r="F30" s="411" t="s">
        <v>1399</v>
      </c>
      <c r="G30" s="411" t="s">
        <v>1424</v>
      </c>
      <c r="H30" s="411">
        <v>1</v>
      </c>
      <c r="I30" s="411">
        <v>0</v>
      </c>
      <c r="J30" s="411">
        <v>1</v>
      </c>
      <c r="K30" s="411">
        <v>1</v>
      </c>
      <c r="L30" s="411">
        <v>1</v>
      </c>
      <c r="M30" s="411" t="s">
        <v>1425</v>
      </c>
      <c r="N30" s="411">
        <v>1</v>
      </c>
      <c r="O30" s="411">
        <v>1</v>
      </c>
      <c r="P30" s="411">
        <v>1</v>
      </c>
      <c r="Q30" s="411">
        <v>1</v>
      </c>
      <c r="R30" s="411">
        <v>1</v>
      </c>
      <c r="S30" s="411">
        <v>1</v>
      </c>
      <c r="T30" s="411">
        <v>1</v>
      </c>
      <c r="U30" s="411">
        <v>0</v>
      </c>
      <c r="V30" s="408"/>
      <c r="W30" s="446"/>
      <c r="X30" s="443">
        <v>42859</v>
      </c>
      <c r="Y30" s="444">
        <v>0.38778935185185182</v>
      </c>
    </row>
    <row r="31" spans="1:25" ht="12.75" customHeight="1">
      <c r="A31" s="445">
        <v>22</v>
      </c>
      <c r="B31" s="414" t="s">
        <v>1398</v>
      </c>
      <c r="C31" s="415" t="s">
        <v>830</v>
      </c>
      <c r="D31" s="411">
        <v>3</v>
      </c>
      <c r="E31" s="411">
        <v>8</v>
      </c>
      <c r="F31" s="411" t="s">
        <v>1399</v>
      </c>
      <c r="G31" s="411" t="s">
        <v>1424</v>
      </c>
      <c r="H31" s="411">
        <v>1</v>
      </c>
      <c r="I31" s="411">
        <v>0</v>
      </c>
      <c r="J31" s="411">
        <v>1</v>
      </c>
      <c r="K31" s="411">
        <v>1</v>
      </c>
      <c r="L31" s="411">
        <v>1</v>
      </c>
      <c r="M31" s="411" t="s">
        <v>1425</v>
      </c>
      <c r="N31" s="411">
        <v>1</v>
      </c>
      <c r="O31" s="411">
        <v>1</v>
      </c>
      <c r="P31" s="411">
        <v>1</v>
      </c>
      <c r="Q31" s="411">
        <v>1</v>
      </c>
      <c r="R31" s="411">
        <v>1</v>
      </c>
      <c r="S31" s="411">
        <v>1</v>
      </c>
      <c r="T31" s="411">
        <v>1</v>
      </c>
      <c r="U31" s="411">
        <v>0</v>
      </c>
      <c r="V31" s="408"/>
      <c r="W31" s="446"/>
      <c r="X31" s="443">
        <v>42859</v>
      </c>
      <c r="Y31" s="444">
        <v>0.38797453703703705</v>
      </c>
    </row>
    <row r="32" spans="1:25" ht="12.75" customHeight="1">
      <c r="A32" s="445">
        <v>23</v>
      </c>
      <c r="B32" s="414" t="s">
        <v>1398</v>
      </c>
      <c r="C32" s="415" t="s">
        <v>830</v>
      </c>
      <c r="D32" s="411">
        <v>4</v>
      </c>
      <c r="E32" s="411">
        <v>8</v>
      </c>
      <c r="F32" s="411" t="s">
        <v>1399</v>
      </c>
      <c r="G32" s="411" t="s">
        <v>1424</v>
      </c>
      <c r="H32" s="411">
        <v>1</v>
      </c>
      <c r="I32" s="411">
        <v>0</v>
      </c>
      <c r="J32" s="411">
        <v>1</v>
      </c>
      <c r="K32" s="411">
        <v>1</v>
      </c>
      <c r="L32" s="411">
        <v>1</v>
      </c>
      <c r="M32" s="411" t="s">
        <v>1425</v>
      </c>
      <c r="N32" s="411">
        <v>1</v>
      </c>
      <c r="O32" s="411">
        <v>1</v>
      </c>
      <c r="P32" s="411">
        <v>1</v>
      </c>
      <c r="Q32" s="411">
        <v>1</v>
      </c>
      <c r="R32" s="411">
        <v>1</v>
      </c>
      <c r="S32" s="411">
        <v>1</v>
      </c>
      <c r="T32" s="411">
        <v>1</v>
      </c>
      <c r="U32" s="411">
        <v>0</v>
      </c>
      <c r="V32" s="408"/>
      <c r="W32" s="446"/>
      <c r="X32" s="443">
        <v>42859</v>
      </c>
      <c r="Y32" s="444">
        <v>0.38811342592592596</v>
      </c>
    </row>
    <row r="33" spans="1:25" ht="12.75" customHeight="1">
      <c r="A33" s="445">
        <v>24</v>
      </c>
      <c r="B33" s="414" t="s">
        <v>1398</v>
      </c>
      <c r="C33" s="415" t="s">
        <v>830</v>
      </c>
      <c r="D33" s="411">
        <v>5</v>
      </c>
      <c r="E33" s="411">
        <v>8</v>
      </c>
      <c r="F33" s="411" t="s">
        <v>1399</v>
      </c>
      <c r="G33" s="411" t="s">
        <v>1424</v>
      </c>
      <c r="H33" s="411">
        <v>1</v>
      </c>
      <c r="I33" s="411">
        <v>0</v>
      </c>
      <c r="J33" s="411">
        <v>1</v>
      </c>
      <c r="K33" s="411">
        <v>1</v>
      </c>
      <c r="L33" s="411">
        <v>1</v>
      </c>
      <c r="M33" s="411" t="s">
        <v>1425</v>
      </c>
      <c r="N33" s="411">
        <v>1</v>
      </c>
      <c r="O33" s="411">
        <v>1</v>
      </c>
      <c r="P33" s="411">
        <v>1</v>
      </c>
      <c r="Q33" s="411">
        <v>1</v>
      </c>
      <c r="R33" s="411">
        <v>1</v>
      </c>
      <c r="S33" s="411">
        <v>1</v>
      </c>
      <c r="T33" s="411">
        <v>1</v>
      </c>
      <c r="U33" s="411">
        <v>0</v>
      </c>
      <c r="V33" s="408"/>
      <c r="W33" s="446"/>
      <c r="X33" s="443">
        <v>42859</v>
      </c>
      <c r="Y33" s="444">
        <v>0.38858796296296294</v>
      </c>
    </row>
    <row r="34" spans="1:25" ht="12.75" customHeight="1">
      <c r="A34" s="445">
        <v>25</v>
      </c>
      <c r="B34" s="414" t="s">
        <v>1398</v>
      </c>
      <c r="C34" s="415" t="s">
        <v>830</v>
      </c>
      <c r="D34" s="411">
        <v>6</v>
      </c>
      <c r="E34" s="411">
        <v>8</v>
      </c>
      <c r="F34" s="411" t="s">
        <v>1399</v>
      </c>
      <c r="G34" s="411" t="s">
        <v>1424</v>
      </c>
      <c r="H34" s="411">
        <v>1</v>
      </c>
      <c r="I34" s="411">
        <v>0</v>
      </c>
      <c r="J34" s="411">
        <v>1</v>
      </c>
      <c r="K34" s="411">
        <v>1</v>
      </c>
      <c r="L34" s="411">
        <v>1</v>
      </c>
      <c r="M34" s="411" t="s">
        <v>1425</v>
      </c>
      <c r="N34" s="411">
        <v>1</v>
      </c>
      <c r="O34" s="411">
        <v>1</v>
      </c>
      <c r="P34" s="411">
        <v>1</v>
      </c>
      <c r="Q34" s="411">
        <v>1</v>
      </c>
      <c r="R34" s="411">
        <v>1</v>
      </c>
      <c r="S34" s="411">
        <v>1</v>
      </c>
      <c r="T34" s="411">
        <v>1</v>
      </c>
      <c r="U34" s="411">
        <v>0</v>
      </c>
      <c r="V34" s="408"/>
      <c r="W34" s="446"/>
      <c r="X34" s="443">
        <v>42859</v>
      </c>
      <c r="Y34" s="444">
        <v>0.38868055555555553</v>
      </c>
    </row>
    <row r="35" spans="1:25" ht="12.75" customHeight="1">
      <c r="A35" s="445">
        <v>26</v>
      </c>
      <c r="B35" s="414" t="s">
        <v>1398</v>
      </c>
      <c r="C35" s="415" t="s">
        <v>830</v>
      </c>
      <c r="D35" s="411">
        <v>7</v>
      </c>
      <c r="E35" s="411">
        <v>8</v>
      </c>
      <c r="F35" s="411" t="s">
        <v>1399</v>
      </c>
      <c r="G35" s="411" t="s">
        <v>1424</v>
      </c>
      <c r="H35" s="411">
        <v>1</v>
      </c>
      <c r="I35" s="411">
        <v>0</v>
      </c>
      <c r="J35" s="411">
        <v>1</v>
      </c>
      <c r="K35" s="411">
        <v>1</v>
      </c>
      <c r="L35" s="411">
        <v>1</v>
      </c>
      <c r="M35" s="411" t="s">
        <v>1425</v>
      </c>
      <c r="N35" s="411">
        <v>1</v>
      </c>
      <c r="O35" s="411">
        <v>1</v>
      </c>
      <c r="P35" s="411">
        <v>1</v>
      </c>
      <c r="Q35" s="411">
        <v>1</v>
      </c>
      <c r="R35" s="411">
        <v>1</v>
      </c>
      <c r="S35" s="411">
        <v>1</v>
      </c>
      <c r="T35" s="411">
        <v>1</v>
      </c>
      <c r="U35" s="411">
        <v>0</v>
      </c>
      <c r="V35" s="408"/>
      <c r="W35" s="446"/>
      <c r="X35" s="443">
        <v>42859</v>
      </c>
      <c r="Y35" s="444">
        <v>0.38890046296296293</v>
      </c>
    </row>
    <row r="36" spans="1:25" ht="12.75" customHeight="1">
      <c r="A36" s="445">
        <v>27</v>
      </c>
      <c r="B36" s="414" t="s">
        <v>1398</v>
      </c>
      <c r="C36" s="415" t="s">
        <v>830</v>
      </c>
      <c r="D36" s="411">
        <v>8</v>
      </c>
      <c r="E36" s="411">
        <v>8</v>
      </c>
      <c r="F36" s="411" t="s">
        <v>1399</v>
      </c>
      <c r="G36" s="411" t="s">
        <v>1424</v>
      </c>
      <c r="H36" s="411">
        <v>1</v>
      </c>
      <c r="I36" s="411">
        <v>0</v>
      </c>
      <c r="J36" s="411">
        <v>1</v>
      </c>
      <c r="K36" s="411">
        <v>1</v>
      </c>
      <c r="L36" s="411">
        <v>1</v>
      </c>
      <c r="M36" s="411" t="s">
        <v>1425</v>
      </c>
      <c r="N36" s="411">
        <v>1</v>
      </c>
      <c r="O36" s="411">
        <v>1</v>
      </c>
      <c r="P36" s="411">
        <v>1</v>
      </c>
      <c r="Q36" s="411">
        <v>1</v>
      </c>
      <c r="R36" s="411">
        <v>1</v>
      </c>
      <c r="S36" s="411">
        <v>1</v>
      </c>
      <c r="T36" s="411">
        <v>1</v>
      </c>
      <c r="U36" s="411">
        <v>0</v>
      </c>
      <c r="V36" s="408"/>
      <c r="W36" s="446"/>
      <c r="X36" s="443">
        <v>42859</v>
      </c>
      <c r="Y36" s="444">
        <v>0.3893287037037037</v>
      </c>
    </row>
    <row r="37" spans="1:25" ht="12.75" customHeight="1">
      <c r="A37" s="445">
        <v>28</v>
      </c>
      <c r="B37" s="414" t="s">
        <v>1398</v>
      </c>
      <c r="C37" s="415" t="s">
        <v>830</v>
      </c>
      <c r="D37" s="411">
        <v>9</v>
      </c>
      <c r="E37" s="411">
        <v>8</v>
      </c>
      <c r="F37" s="411" t="s">
        <v>1399</v>
      </c>
      <c r="G37" s="411" t="s">
        <v>1424</v>
      </c>
      <c r="H37" s="411">
        <v>1</v>
      </c>
      <c r="I37" s="411">
        <v>0</v>
      </c>
      <c r="J37" s="411">
        <v>1</v>
      </c>
      <c r="K37" s="411">
        <v>1</v>
      </c>
      <c r="L37" s="411">
        <v>1</v>
      </c>
      <c r="M37" s="411" t="s">
        <v>1425</v>
      </c>
      <c r="N37" s="411">
        <v>1</v>
      </c>
      <c r="O37" s="411">
        <v>1</v>
      </c>
      <c r="P37" s="411">
        <v>1</v>
      </c>
      <c r="Q37" s="411">
        <v>1</v>
      </c>
      <c r="R37" s="411">
        <v>1</v>
      </c>
      <c r="S37" s="411">
        <v>1</v>
      </c>
      <c r="T37" s="411">
        <v>1</v>
      </c>
      <c r="U37" s="411">
        <v>0</v>
      </c>
      <c r="V37" s="408"/>
      <c r="W37" s="446"/>
      <c r="X37" s="443">
        <v>42859</v>
      </c>
      <c r="Y37" s="444">
        <v>0.38945601851851852</v>
      </c>
    </row>
    <row r="38" spans="1:25" ht="12.75" customHeight="1">
      <c r="A38" s="445">
        <v>29</v>
      </c>
      <c r="B38" s="414" t="s">
        <v>1398</v>
      </c>
      <c r="C38" s="415" t="s">
        <v>830</v>
      </c>
      <c r="D38" s="411">
        <v>10</v>
      </c>
      <c r="E38" s="411">
        <v>8</v>
      </c>
      <c r="F38" s="411" t="s">
        <v>1399</v>
      </c>
      <c r="G38" s="411" t="s">
        <v>1424</v>
      </c>
      <c r="H38" s="411">
        <v>1</v>
      </c>
      <c r="I38" s="411">
        <v>0</v>
      </c>
      <c r="J38" s="411">
        <v>1</v>
      </c>
      <c r="K38" s="411">
        <v>1</v>
      </c>
      <c r="L38" s="411">
        <v>1</v>
      </c>
      <c r="M38" s="411" t="s">
        <v>1425</v>
      </c>
      <c r="N38" s="411">
        <v>1</v>
      </c>
      <c r="O38" s="411">
        <v>1</v>
      </c>
      <c r="P38" s="411">
        <v>1</v>
      </c>
      <c r="Q38" s="411">
        <v>1</v>
      </c>
      <c r="R38" s="411">
        <v>1</v>
      </c>
      <c r="S38" s="411">
        <v>1</v>
      </c>
      <c r="T38" s="411">
        <v>1</v>
      </c>
      <c r="U38" s="411">
        <v>0</v>
      </c>
      <c r="V38" s="408"/>
      <c r="W38" s="446"/>
      <c r="X38" s="443">
        <v>42859</v>
      </c>
      <c r="Y38" s="444">
        <v>0.38954861111111111</v>
      </c>
    </row>
    <row r="39" spans="1:25" ht="12.75" customHeight="1">
      <c r="A39" s="445">
        <v>30</v>
      </c>
      <c r="B39" s="414" t="s">
        <v>1398</v>
      </c>
      <c r="C39" s="415" t="s">
        <v>830</v>
      </c>
      <c r="D39" s="411">
        <v>11</v>
      </c>
      <c r="E39" s="411">
        <v>8</v>
      </c>
      <c r="F39" s="411" t="s">
        <v>1399</v>
      </c>
      <c r="G39" s="411" t="s">
        <v>1424</v>
      </c>
      <c r="H39" s="411">
        <v>1</v>
      </c>
      <c r="I39" s="411">
        <v>0</v>
      </c>
      <c r="J39" s="411">
        <v>1</v>
      </c>
      <c r="K39" s="411">
        <v>1</v>
      </c>
      <c r="L39" s="411">
        <v>1</v>
      </c>
      <c r="M39" s="411" t="s">
        <v>1425</v>
      </c>
      <c r="N39" s="411">
        <v>1</v>
      </c>
      <c r="O39" s="411">
        <v>1</v>
      </c>
      <c r="P39" s="411">
        <v>1</v>
      </c>
      <c r="Q39" s="411">
        <v>1</v>
      </c>
      <c r="R39" s="411">
        <v>1</v>
      </c>
      <c r="S39" s="411">
        <v>1</v>
      </c>
      <c r="T39" s="411">
        <v>1</v>
      </c>
      <c r="U39" s="411">
        <v>0</v>
      </c>
      <c r="V39" s="408"/>
      <c r="W39" s="446"/>
      <c r="X39" s="443">
        <v>42859</v>
      </c>
      <c r="Y39" s="444">
        <v>0.38966435185185189</v>
      </c>
    </row>
    <row r="40" spans="1:25" ht="12.75" customHeight="1">
      <c r="A40" s="445">
        <v>31</v>
      </c>
      <c r="B40" s="414" t="s">
        <v>1398</v>
      </c>
      <c r="C40" s="415" t="s">
        <v>830</v>
      </c>
      <c r="D40" s="411">
        <v>12</v>
      </c>
      <c r="E40" s="411">
        <v>8</v>
      </c>
      <c r="F40" s="411" t="s">
        <v>1399</v>
      </c>
      <c r="G40" s="411" t="s">
        <v>1424</v>
      </c>
      <c r="H40" s="411">
        <v>1</v>
      </c>
      <c r="I40" s="411">
        <v>0</v>
      </c>
      <c r="J40" s="411">
        <v>1</v>
      </c>
      <c r="K40" s="411">
        <v>1</v>
      </c>
      <c r="L40" s="411">
        <v>1</v>
      </c>
      <c r="M40" s="411" t="s">
        <v>1425</v>
      </c>
      <c r="N40" s="411">
        <v>1</v>
      </c>
      <c r="O40" s="411">
        <v>1</v>
      </c>
      <c r="P40" s="411">
        <v>1</v>
      </c>
      <c r="Q40" s="411">
        <v>1</v>
      </c>
      <c r="R40" s="411">
        <v>1</v>
      </c>
      <c r="S40" s="411">
        <v>1</v>
      </c>
      <c r="T40" s="411">
        <v>1</v>
      </c>
      <c r="U40" s="411">
        <v>0</v>
      </c>
      <c r="V40" s="408"/>
      <c r="W40" s="446"/>
      <c r="X40" s="443">
        <v>42859</v>
      </c>
      <c r="Y40" s="444">
        <v>0.38974537037037038</v>
      </c>
    </row>
    <row r="41" spans="1:25" ht="12.75" customHeight="1">
      <c r="A41" s="445">
        <v>32</v>
      </c>
      <c r="B41" s="414" t="s">
        <v>1398</v>
      </c>
      <c r="C41" s="415" t="s">
        <v>830</v>
      </c>
      <c r="D41" s="411">
        <v>13</v>
      </c>
      <c r="E41" s="411">
        <v>8</v>
      </c>
      <c r="F41" s="411" t="s">
        <v>1399</v>
      </c>
      <c r="G41" s="411" t="s">
        <v>1424</v>
      </c>
      <c r="H41" s="411">
        <v>1</v>
      </c>
      <c r="I41" s="411">
        <v>0</v>
      </c>
      <c r="J41" s="411">
        <v>1</v>
      </c>
      <c r="K41" s="411">
        <v>1</v>
      </c>
      <c r="L41" s="411">
        <v>1</v>
      </c>
      <c r="M41" s="411" t="s">
        <v>1425</v>
      </c>
      <c r="N41" s="411">
        <v>1</v>
      </c>
      <c r="O41" s="411">
        <v>1</v>
      </c>
      <c r="P41" s="411">
        <v>1</v>
      </c>
      <c r="Q41" s="411">
        <v>1</v>
      </c>
      <c r="R41" s="411">
        <v>1</v>
      </c>
      <c r="S41" s="411">
        <v>1</v>
      </c>
      <c r="T41" s="411">
        <v>1</v>
      </c>
      <c r="U41" s="411">
        <v>0</v>
      </c>
      <c r="V41" s="408"/>
      <c r="W41" s="446"/>
      <c r="X41" s="443">
        <v>42859</v>
      </c>
      <c r="Y41" s="444">
        <v>0.39003472222222224</v>
      </c>
    </row>
    <row r="42" spans="1:25" ht="12.75" customHeight="1">
      <c r="A42" s="445">
        <v>33</v>
      </c>
      <c r="B42" s="414" t="s">
        <v>1398</v>
      </c>
      <c r="C42" s="415" t="s">
        <v>830</v>
      </c>
      <c r="D42" s="411">
        <v>14</v>
      </c>
      <c r="E42" s="411">
        <v>8</v>
      </c>
      <c r="F42" s="411" t="s">
        <v>1399</v>
      </c>
      <c r="G42" s="411" t="s">
        <v>1424</v>
      </c>
      <c r="H42" s="411">
        <v>1</v>
      </c>
      <c r="I42" s="411">
        <v>0</v>
      </c>
      <c r="J42" s="411">
        <v>1</v>
      </c>
      <c r="K42" s="411">
        <v>1</v>
      </c>
      <c r="L42" s="411">
        <v>1</v>
      </c>
      <c r="M42" s="411" t="s">
        <v>1425</v>
      </c>
      <c r="N42" s="411">
        <v>1</v>
      </c>
      <c r="O42" s="411">
        <v>1</v>
      </c>
      <c r="P42" s="411">
        <v>1</v>
      </c>
      <c r="Q42" s="411">
        <v>1</v>
      </c>
      <c r="R42" s="411">
        <v>1</v>
      </c>
      <c r="S42" s="411">
        <v>1</v>
      </c>
      <c r="T42" s="411">
        <v>1</v>
      </c>
      <c r="U42" s="411">
        <v>0</v>
      </c>
      <c r="V42" s="408"/>
      <c r="W42" s="446"/>
      <c r="X42" s="443">
        <v>42859</v>
      </c>
      <c r="Y42" s="444">
        <v>0.39013888888888887</v>
      </c>
    </row>
    <row r="43" spans="1:25" ht="12.75" customHeight="1">
      <c r="A43" s="445">
        <v>34</v>
      </c>
      <c r="B43" s="414" t="s">
        <v>1398</v>
      </c>
      <c r="C43" s="415" t="s">
        <v>830</v>
      </c>
      <c r="D43" s="411">
        <v>15</v>
      </c>
      <c r="E43" s="411">
        <v>8</v>
      </c>
      <c r="F43" s="411" t="s">
        <v>1399</v>
      </c>
      <c r="G43" s="411" t="s">
        <v>1424</v>
      </c>
      <c r="H43" s="411">
        <v>1</v>
      </c>
      <c r="I43" s="411">
        <v>0</v>
      </c>
      <c r="J43" s="411">
        <v>1</v>
      </c>
      <c r="K43" s="411">
        <v>1</v>
      </c>
      <c r="L43" s="411">
        <v>1</v>
      </c>
      <c r="M43" s="411" t="s">
        <v>1425</v>
      </c>
      <c r="N43" s="411">
        <v>1</v>
      </c>
      <c r="O43" s="411">
        <v>1</v>
      </c>
      <c r="P43" s="411">
        <v>1</v>
      </c>
      <c r="Q43" s="411">
        <v>1</v>
      </c>
      <c r="R43" s="411">
        <v>1</v>
      </c>
      <c r="S43" s="411">
        <v>1</v>
      </c>
      <c r="T43" s="411">
        <v>1</v>
      </c>
      <c r="U43" s="411">
        <v>0</v>
      </c>
      <c r="V43" s="408"/>
      <c r="W43" s="446"/>
      <c r="X43" s="443">
        <v>42859</v>
      </c>
      <c r="Y43" s="444">
        <v>0.39023148148148151</v>
      </c>
    </row>
    <row r="44" spans="1:25" ht="12.75" customHeight="1">
      <c r="A44" s="445">
        <v>35</v>
      </c>
      <c r="B44" s="414" t="s">
        <v>1398</v>
      </c>
      <c r="C44" s="415" t="s">
        <v>830</v>
      </c>
      <c r="D44" s="411">
        <v>16</v>
      </c>
      <c r="E44" s="411">
        <v>8</v>
      </c>
      <c r="F44" s="411" t="s">
        <v>1399</v>
      </c>
      <c r="G44" s="411" t="s">
        <v>1424</v>
      </c>
      <c r="H44" s="411">
        <v>1</v>
      </c>
      <c r="I44" s="411">
        <v>0</v>
      </c>
      <c r="J44" s="411">
        <v>1</v>
      </c>
      <c r="K44" s="411">
        <v>1</v>
      </c>
      <c r="L44" s="411">
        <v>1</v>
      </c>
      <c r="M44" s="411" t="s">
        <v>1425</v>
      </c>
      <c r="N44" s="411">
        <v>1</v>
      </c>
      <c r="O44" s="411">
        <v>1</v>
      </c>
      <c r="P44" s="411">
        <v>1</v>
      </c>
      <c r="Q44" s="411">
        <v>1</v>
      </c>
      <c r="R44" s="411">
        <v>1</v>
      </c>
      <c r="S44" s="411">
        <v>1</v>
      </c>
      <c r="T44" s="411">
        <v>1</v>
      </c>
      <c r="U44" s="411">
        <v>0</v>
      </c>
      <c r="V44" s="408"/>
      <c r="W44" s="446"/>
      <c r="X44" s="443">
        <v>42859</v>
      </c>
      <c r="Y44" s="444">
        <v>0.39033564814814814</v>
      </c>
    </row>
    <row r="45" spans="1:25" ht="12.75" customHeight="1">
      <c r="A45" s="445">
        <v>36</v>
      </c>
      <c r="B45" s="414" t="s">
        <v>886</v>
      </c>
      <c r="C45" s="415" t="s">
        <v>994</v>
      </c>
      <c r="D45" s="411"/>
      <c r="E45" s="411">
        <v>1</v>
      </c>
      <c r="F45" s="411" t="s">
        <v>1400</v>
      </c>
      <c r="G45" s="411" t="s">
        <v>1424</v>
      </c>
      <c r="H45" s="411">
        <v>1</v>
      </c>
      <c r="I45" s="411">
        <v>0</v>
      </c>
      <c r="J45" s="411">
        <v>0</v>
      </c>
      <c r="K45" s="411">
        <v>1</v>
      </c>
      <c r="L45" s="411">
        <v>1</v>
      </c>
      <c r="M45" s="411" t="s">
        <v>1425</v>
      </c>
      <c r="N45" s="411">
        <v>1</v>
      </c>
      <c r="O45" s="411">
        <v>1</v>
      </c>
      <c r="P45" s="411">
        <v>1</v>
      </c>
      <c r="Q45" s="411">
        <v>1</v>
      </c>
      <c r="R45" s="411">
        <v>1</v>
      </c>
      <c r="S45" s="411">
        <v>1</v>
      </c>
      <c r="T45" s="411">
        <v>1</v>
      </c>
      <c r="U45" s="411">
        <v>0</v>
      </c>
      <c r="V45" s="408"/>
      <c r="W45" s="446"/>
      <c r="X45" s="443">
        <v>42859</v>
      </c>
      <c r="Y45" s="444">
        <v>0.39042824074074073</v>
      </c>
    </row>
    <row r="46" spans="1:25" ht="12.75" customHeight="1">
      <c r="A46" s="445">
        <v>37</v>
      </c>
      <c r="B46" s="414" t="s">
        <v>886</v>
      </c>
      <c r="C46" s="415" t="s">
        <v>994</v>
      </c>
      <c r="D46" s="411"/>
      <c r="E46" s="411">
        <v>2</v>
      </c>
      <c r="F46" s="411" t="s">
        <v>1400</v>
      </c>
      <c r="G46" s="411" t="s">
        <v>1424</v>
      </c>
      <c r="H46" s="411">
        <v>1</v>
      </c>
      <c r="I46" s="411">
        <v>0</v>
      </c>
      <c r="J46" s="411">
        <v>0</v>
      </c>
      <c r="K46" s="411">
        <v>1</v>
      </c>
      <c r="L46" s="411">
        <v>1</v>
      </c>
      <c r="M46" s="411" t="s">
        <v>1425</v>
      </c>
      <c r="N46" s="411">
        <v>1</v>
      </c>
      <c r="O46" s="411">
        <v>1</v>
      </c>
      <c r="P46" s="411">
        <v>1</v>
      </c>
      <c r="Q46" s="411">
        <v>1</v>
      </c>
      <c r="R46" s="411">
        <v>1</v>
      </c>
      <c r="S46" s="411">
        <v>1</v>
      </c>
      <c r="T46" s="411">
        <v>1</v>
      </c>
      <c r="U46" s="411">
        <v>0</v>
      </c>
      <c r="V46" s="408"/>
      <c r="W46" s="446"/>
      <c r="X46" s="443">
        <v>42859</v>
      </c>
      <c r="Y46" s="444">
        <v>0.39052083333333337</v>
      </c>
    </row>
    <row r="47" spans="1:25" ht="12.75" customHeight="1">
      <c r="A47" s="445">
        <v>38</v>
      </c>
      <c r="B47" s="414" t="s">
        <v>886</v>
      </c>
      <c r="C47" s="415" t="s">
        <v>994</v>
      </c>
      <c r="D47" s="411"/>
      <c r="E47" s="411">
        <v>3</v>
      </c>
      <c r="F47" s="411" t="s">
        <v>1400</v>
      </c>
      <c r="G47" s="411" t="s">
        <v>1424</v>
      </c>
      <c r="H47" s="411">
        <v>1</v>
      </c>
      <c r="I47" s="411">
        <v>0</v>
      </c>
      <c r="J47" s="411">
        <v>0</v>
      </c>
      <c r="K47" s="411">
        <v>1</v>
      </c>
      <c r="L47" s="411">
        <v>1</v>
      </c>
      <c r="M47" s="411" t="s">
        <v>1425</v>
      </c>
      <c r="N47" s="411">
        <v>1</v>
      </c>
      <c r="O47" s="411">
        <v>1</v>
      </c>
      <c r="P47" s="411">
        <v>1</v>
      </c>
      <c r="Q47" s="411">
        <v>1</v>
      </c>
      <c r="R47" s="411">
        <v>1</v>
      </c>
      <c r="S47" s="411">
        <v>1</v>
      </c>
      <c r="T47" s="411">
        <v>1</v>
      </c>
      <c r="U47" s="411">
        <v>0</v>
      </c>
      <c r="V47" s="408"/>
      <c r="W47" s="446"/>
      <c r="X47" s="443">
        <v>42859</v>
      </c>
      <c r="Y47" s="444">
        <v>0.390625</v>
      </c>
    </row>
    <row r="48" spans="1:25" ht="12.75" customHeight="1">
      <c r="A48" s="445">
        <v>39</v>
      </c>
      <c r="B48" s="414" t="s">
        <v>886</v>
      </c>
      <c r="C48" s="415" t="s">
        <v>994</v>
      </c>
      <c r="D48" s="411"/>
      <c r="E48" s="411">
        <v>4</v>
      </c>
      <c r="F48" s="411" t="s">
        <v>1400</v>
      </c>
      <c r="G48" s="411" t="s">
        <v>1424</v>
      </c>
      <c r="H48" s="411">
        <v>1</v>
      </c>
      <c r="I48" s="411">
        <v>0</v>
      </c>
      <c r="J48" s="411">
        <v>0</v>
      </c>
      <c r="K48" s="411">
        <v>1</v>
      </c>
      <c r="L48" s="411">
        <v>1</v>
      </c>
      <c r="M48" s="411" t="s">
        <v>1425</v>
      </c>
      <c r="N48" s="411">
        <v>1</v>
      </c>
      <c r="O48" s="411">
        <v>1</v>
      </c>
      <c r="P48" s="411">
        <v>1</v>
      </c>
      <c r="Q48" s="411">
        <v>1</v>
      </c>
      <c r="R48" s="411">
        <v>1</v>
      </c>
      <c r="S48" s="411">
        <v>1</v>
      </c>
      <c r="T48" s="411">
        <v>1</v>
      </c>
      <c r="U48" s="411">
        <v>0</v>
      </c>
      <c r="V48" s="408"/>
      <c r="W48" s="446"/>
      <c r="X48" s="443">
        <v>42859</v>
      </c>
      <c r="Y48" s="444">
        <v>0.39069444444444446</v>
      </c>
    </row>
    <row r="49" spans="1:25" ht="12.75" customHeight="1">
      <c r="A49" s="445">
        <v>40</v>
      </c>
      <c r="B49" s="414" t="s">
        <v>886</v>
      </c>
      <c r="C49" s="415" t="s">
        <v>994</v>
      </c>
      <c r="D49" s="411"/>
      <c r="E49" s="411">
        <v>5</v>
      </c>
      <c r="F49" s="411" t="s">
        <v>1400</v>
      </c>
      <c r="G49" s="411" t="s">
        <v>1424</v>
      </c>
      <c r="H49" s="411">
        <v>1</v>
      </c>
      <c r="I49" s="411">
        <v>0</v>
      </c>
      <c r="J49" s="411">
        <v>0</v>
      </c>
      <c r="K49" s="411">
        <v>1</v>
      </c>
      <c r="L49" s="411">
        <v>1</v>
      </c>
      <c r="M49" s="411" t="s">
        <v>1425</v>
      </c>
      <c r="N49" s="411">
        <v>1</v>
      </c>
      <c r="O49" s="411">
        <v>1</v>
      </c>
      <c r="P49" s="411">
        <v>1</v>
      </c>
      <c r="Q49" s="411">
        <v>1</v>
      </c>
      <c r="R49" s="411">
        <v>1</v>
      </c>
      <c r="S49" s="411">
        <v>1</v>
      </c>
      <c r="T49" s="411">
        <v>1</v>
      </c>
      <c r="U49" s="411">
        <v>0</v>
      </c>
      <c r="V49" s="408"/>
      <c r="W49" s="446"/>
      <c r="X49" s="443">
        <v>42859</v>
      </c>
      <c r="Y49" s="444">
        <v>0.3941203703703704</v>
      </c>
    </row>
    <row r="50" spans="1:25" ht="12.75" customHeight="1">
      <c r="A50" s="445">
        <v>41</v>
      </c>
      <c r="B50" s="414" t="s">
        <v>886</v>
      </c>
      <c r="C50" s="415" t="s">
        <v>994</v>
      </c>
      <c r="D50" s="411"/>
      <c r="E50" s="411">
        <v>6</v>
      </c>
      <c r="F50" s="411" t="s">
        <v>1400</v>
      </c>
      <c r="G50" s="411" t="s">
        <v>1424</v>
      </c>
      <c r="H50" s="411">
        <v>1</v>
      </c>
      <c r="I50" s="411">
        <v>0</v>
      </c>
      <c r="J50" s="411">
        <v>0</v>
      </c>
      <c r="K50" s="411">
        <v>1</v>
      </c>
      <c r="L50" s="411">
        <v>1</v>
      </c>
      <c r="M50" s="411" t="s">
        <v>1425</v>
      </c>
      <c r="N50" s="411">
        <v>1</v>
      </c>
      <c r="O50" s="411">
        <v>1</v>
      </c>
      <c r="P50" s="411">
        <v>1</v>
      </c>
      <c r="Q50" s="411">
        <v>1</v>
      </c>
      <c r="R50" s="411">
        <v>1</v>
      </c>
      <c r="S50" s="411">
        <v>1</v>
      </c>
      <c r="T50" s="411">
        <v>1</v>
      </c>
      <c r="U50" s="411">
        <v>0</v>
      </c>
      <c r="V50" s="408"/>
      <c r="W50" s="446"/>
      <c r="X50" s="443">
        <v>42859</v>
      </c>
      <c r="Y50" s="444">
        <v>0.39417824074074076</v>
      </c>
    </row>
    <row r="51" spans="1:25" ht="12.75" customHeight="1">
      <c r="A51" s="445">
        <v>42</v>
      </c>
      <c r="B51" s="414" t="s">
        <v>886</v>
      </c>
      <c r="C51" s="415" t="s">
        <v>994</v>
      </c>
      <c r="D51" s="411"/>
      <c r="E51" s="411">
        <v>7</v>
      </c>
      <c r="F51" s="411" t="s">
        <v>1400</v>
      </c>
      <c r="G51" s="411" t="s">
        <v>1424</v>
      </c>
      <c r="H51" s="411">
        <v>1</v>
      </c>
      <c r="I51" s="411">
        <v>0</v>
      </c>
      <c r="J51" s="411">
        <v>0</v>
      </c>
      <c r="K51" s="411">
        <v>1</v>
      </c>
      <c r="L51" s="411">
        <v>1</v>
      </c>
      <c r="M51" s="411" t="s">
        <v>1425</v>
      </c>
      <c r="N51" s="411">
        <v>1</v>
      </c>
      <c r="O51" s="411">
        <v>1</v>
      </c>
      <c r="P51" s="411">
        <v>1</v>
      </c>
      <c r="Q51" s="411">
        <v>1</v>
      </c>
      <c r="R51" s="411">
        <v>1</v>
      </c>
      <c r="S51" s="411">
        <v>1</v>
      </c>
      <c r="T51" s="411">
        <v>1</v>
      </c>
      <c r="U51" s="411">
        <v>0</v>
      </c>
      <c r="V51" s="408"/>
      <c r="W51" s="446"/>
      <c r="X51" s="443">
        <v>42859</v>
      </c>
      <c r="Y51" s="444">
        <v>0.39428240740740739</v>
      </c>
    </row>
    <row r="52" spans="1:25" ht="12.75" customHeight="1">
      <c r="A52" s="445">
        <v>43</v>
      </c>
      <c r="B52" s="414" t="s">
        <v>886</v>
      </c>
      <c r="C52" s="415" t="s">
        <v>994</v>
      </c>
      <c r="D52" s="411"/>
      <c r="E52" s="411">
        <v>8</v>
      </c>
      <c r="F52" s="411" t="s">
        <v>1400</v>
      </c>
      <c r="G52" s="411" t="s">
        <v>1424</v>
      </c>
      <c r="H52" s="411">
        <v>1</v>
      </c>
      <c r="I52" s="411">
        <v>0</v>
      </c>
      <c r="J52" s="411">
        <v>0</v>
      </c>
      <c r="K52" s="411">
        <v>1</v>
      </c>
      <c r="L52" s="411">
        <v>1</v>
      </c>
      <c r="M52" s="411" t="s">
        <v>1425</v>
      </c>
      <c r="N52" s="411">
        <v>1</v>
      </c>
      <c r="O52" s="411">
        <v>1</v>
      </c>
      <c r="P52" s="411">
        <v>1</v>
      </c>
      <c r="Q52" s="411">
        <v>1</v>
      </c>
      <c r="R52" s="411">
        <v>1</v>
      </c>
      <c r="S52" s="411">
        <v>1</v>
      </c>
      <c r="T52" s="411">
        <v>1</v>
      </c>
      <c r="U52" s="411">
        <v>0</v>
      </c>
      <c r="V52" s="408"/>
      <c r="W52" s="446"/>
      <c r="X52" s="443">
        <v>42859</v>
      </c>
      <c r="Y52" s="444">
        <v>0.3943402777777778</v>
      </c>
    </row>
    <row r="53" spans="1:25" ht="12.75" customHeight="1">
      <c r="A53" s="445">
        <v>44</v>
      </c>
      <c r="B53" s="414" t="s">
        <v>886</v>
      </c>
      <c r="C53" s="415" t="s">
        <v>994</v>
      </c>
      <c r="D53" s="411"/>
      <c r="E53" s="411">
        <v>9</v>
      </c>
      <c r="F53" s="411" t="s">
        <v>1400</v>
      </c>
      <c r="G53" s="411" t="s">
        <v>1424</v>
      </c>
      <c r="H53" s="411">
        <v>1</v>
      </c>
      <c r="I53" s="411">
        <v>0</v>
      </c>
      <c r="J53" s="411">
        <v>0</v>
      </c>
      <c r="K53" s="411">
        <v>1</v>
      </c>
      <c r="L53" s="411">
        <v>1</v>
      </c>
      <c r="M53" s="411" t="s">
        <v>1425</v>
      </c>
      <c r="N53" s="411">
        <v>1</v>
      </c>
      <c r="O53" s="411">
        <v>1</v>
      </c>
      <c r="P53" s="411">
        <v>1</v>
      </c>
      <c r="Q53" s="411">
        <v>1</v>
      </c>
      <c r="R53" s="411">
        <v>1</v>
      </c>
      <c r="S53" s="411">
        <v>1</v>
      </c>
      <c r="T53" s="411">
        <v>1</v>
      </c>
      <c r="U53" s="411">
        <v>0</v>
      </c>
      <c r="V53" s="408"/>
      <c r="W53" s="446"/>
      <c r="X53" s="443">
        <v>42859</v>
      </c>
      <c r="Y53" s="444">
        <v>0.39438657407407413</v>
      </c>
    </row>
    <row r="54" spans="1:25" ht="12.75" customHeight="1">
      <c r="A54" s="445">
        <v>45</v>
      </c>
      <c r="B54" s="414" t="s">
        <v>886</v>
      </c>
      <c r="C54" s="415" t="s">
        <v>994</v>
      </c>
      <c r="D54" s="411"/>
      <c r="E54" s="411">
        <v>10</v>
      </c>
      <c r="F54" s="411" t="s">
        <v>1400</v>
      </c>
      <c r="G54" s="411" t="s">
        <v>1424</v>
      </c>
      <c r="H54" s="411">
        <v>1</v>
      </c>
      <c r="I54" s="411">
        <v>0</v>
      </c>
      <c r="J54" s="411">
        <v>0</v>
      </c>
      <c r="K54" s="411">
        <v>1</v>
      </c>
      <c r="L54" s="411">
        <v>1</v>
      </c>
      <c r="M54" s="411" t="s">
        <v>1425</v>
      </c>
      <c r="N54" s="411">
        <v>1</v>
      </c>
      <c r="O54" s="411">
        <v>1</v>
      </c>
      <c r="P54" s="411">
        <v>1</v>
      </c>
      <c r="Q54" s="411">
        <v>1</v>
      </c>
      <c r="R54" s="411">
        <v>1</v>
      </c>
      <c r="S54" s="411">
        <v>1</v>
      </c>
      <c r="T54" s="411">
        <v>1</v>
      </c>
      <c r="U54" s="411">
        <v>0</v>
      </c>
      <c r="V54" s="408"/>
      <c r="W54" s="446"/>
      <c r="X54" s="443">
        <v>42859</v>
      </c>
      <c r="Y54" s="444">
        <v>0.39659722222222221</v>
      </c>
    </row>
    <row r="55" spans="1:25" ht="12.75" customHeight="1">
      <c r="A55" s="445">
        <v>46</v>
      </c>
      <c r="B55" s="414" t="s">
        <v>886</v>
      </c>
      <c r="C55" s="415" t="s">
        <v>994</v>
      </c>
      <c r="D55" s="411"/>
      <c r="E55" s="411">
        <v>11</v>
      </c>
      <c r="F55" s="411" t="s">
        <v>1400</v>
      </c>
      <c r="G55" s="411" t="s">
        <v>1424</v>
      </c>
      <c r="H55" s="411">
        <v>1</v>
      </c>
      <c r="I55" s="411">
        <v>0</v>
      </c>
      <c r="J55" s="411">
        <v>0</v>
      </c>
      <c r="K55" s="411">
        <v>1</v>
      </c>
      <c r="L55" s="411">
        <v>1</v>
      </c>
      <c r="M55" s="411" t="s">
        <v>1425</v>
      </c>
      <c r="N55" s="411">
        <v>1</v>
      </c>
      <c r="O55" s="411">
        <v>1</v>
      </c>
      <c r="P55" s="411">
        <v>1</v>
      </c>
      <c r="Q55" s="411">
        <v>1</v>
      </c>
      <c r="R55" s="411">
        <v>1</v>
      </c>
      <c r="S55" s="411">
        <v>1</v>
      </c>
      <c r="T55" s="411">
        <v>1</v>
      </c>
      <c r="U55" s="411">
        <v>0</v>
      </c>
      <c r="V55" s="408"/>
      <c r="W55" s="446"/>
      <c r="X55" s="443">
        <v>42859</v>
      </c>
      <c r="Y55" s="444">
        <v>0.39674768518518522</v>
      </c>
    </row>
    <row r="56" spans="1:25" ht="12.75" customHeight="1">
      <c r="A56" s="445">
        <v>47</v>
      </c>
      <c r="B56" s="414" t="s">
        <v>886</v>
      </c>
      <c r="C56" s="415" t="s">
        <v>994</v>
      </c>
      <c r="D56" s="411"/>
      <c r="E56" s="411">
        <v>12</v>
      </c>
      <c r="F56" s="411" t="s">
        <v>1400</v>
      </c>
      <c r="G56" s="411" t="s">
        <v>1424</v>
      </c>
      <c r="H56" s="411">
        <v>1</v>
      </c>
      <c r="I56" s="411">
        <v>0</v>
      </c>
      <c r="J56" s="411">
        <v>0</v>
      </c>
      <c r="K56" s="411">
        <v>1</v>
      </c>
      <c r="L56" s="411">
        <v>1</v>
      </c>
      <c r="M56" s="411" t="s">
        <v>1425</v>
      </c>
      <c r="N56" s="411">
        <v>1</v>
      </c>
      <c r="O56" s="411">
        <v>1</v>
      </c>
      <c r="P56" s="411">
        <v>1</v>
      </c>
      <c r="Q56" s="411">
        <v>1</v>
      </c>
      <c r="R56" s="411">
        <v>1</v>
      </c>
      <c r="S56" s="411">
        <v>1</v>
      </c>
      <c r="T56" s="411">
        <v>1</v>
      </c>
      <c r="U56" s="411">
        <v>0</v>
      </c>
      <c r="V56" s="408"/>
      <c r="W56" s="446"/>
      <c r="X56" s="443">
        <v>42859</v>
      </c>
      <c r="Y56" s="444">
        <v>0.39678240740740739</v>
      </c>
    </row>
    <row r="57" spans="1:25" ht="12.75" customHeight="1">
      <c r="A57" s="445">
        <v>48</v>
      </c>
      <c r="B57" s="414" t="s">
        <v>886</v>
      </c>
      <c r="C57" s="415" t="s">
        <v>994</v>
      </c>
      <c r="D57" s="411"/>
      <c r="E57" s="411">
        <v>13</v>
      </c>
      <c r="F57" s="411" t="s">
        <v>1400</v>
      </c>
      <c r="G57" s="411" t="s">
        <v>1424</v>
      </c>
      <c r="H57" s="411">
        <v>1</v>
      </c>
      <c r="I57" s="411">
        <v>0</v>
      </c>
      <c r="J57" s="411">
        <v>0</v>
      </c>
      <c r="K57" s="411">
        <v>1</v>
      </c>
      <c r="L57" s="411">
        <v>1</v>
      </c>
      <c r="M57" s="411" t="s">
        <v>1425</v>
      </c>
      <c r="N57" s="411">
        <v>1</v>
      </c>
      <c r="O57" s="411">
        <v>1</v>
      </c>
      <c r="P57" s="411">
        <v>1</v>
      </c>
      <c r="Q57" s="411">
        <v>1</v>
      </c>
      <c r="R57" s="411">
        <v>1</v>
      </c>
      <c r="S57" s="411">
        <v>1</v>
      </c>
      <c r="T57" s="411">
        <v>1</v>
      </c>
      <c r="U57" s="411">
        <v>0</v>
      </c>
      <c r="V57" s="408"/>
      <c r="W57" s="446"/>
      <c r="X57" s="443">
        <v>42859</v>
      </c>
      <c r="Y57" s="444">
        <v>0.39686342592592588</v>
      </c>
    </row>
    <row r="58" spans="1:25" ht="12.75" customHeight="1">
      <c r="A58" s="445">
        <v>49</v>
      </c>
      <c r="B58" s="414" t="s">
        <v>886</v>
      </c>
      <c r="C58" s="415" t="s">
        <v>994</v>
      </c>
      <c r="D58" s="411"/>
      <c r="E58" s="411">
        <v>14</v>
      </c>
      <c r="F58" s="411" t="s">
        <v>1400</v>
      </c>
      <c r="G58" s="411" t="s">
        <v>1424</v>
      </c>
      <c r="H58" s="411">
        <v>1</v>
      </c>
      <c r="I58" s="411">
        <v>0</v>
      </c>
      <c r="J58" s="411">
        <v>0</v>
      </c>
      <c r="K58" s="411">
        <v>1</v>
      </c>
      <c r="L58" s="411">
        <v>1</v>
      </c>
      <c r="M58" s="411" t="s">
        <v>1425</v>
      </c>
      <c r="N58" s="411">
        <v>1</v>
      </c>
      <c r="O58" s="411">
        <v>1</v>
      </c>
      <c r="P58" s="411">
        <v>1</v>
      </c>
      <c r="Q58" s="411">
        <v>1</v>
      </c>
      <c r="R58" s="411">
        <v>1</v>
      </c>
      <c r="S58" s="411">
        <v>1</v>
      </c>
      <c r="T58" s="411">
        <v>1</v>
      </c>
      <c r="U58" s="411">
        <v>0</v>
      </c>
      <c r="V58" s="408"/>
      <c r="W58" s="446"/>
      <c r="X58" s="443">
        <v>42859</v>
      </c>
      <c r="Y58" s="444">
        <v>0.39706018518518515</v>
      </c>
    </row>
    <row r="59" spans="1:25" ht="12.75" customHeight="1">
      <c r="A59" s="445">
        <v>50</v>
      </c>
      <c r="B59" s="414" t="s">
        <v>886</v>
      </c>
      <c r="C59" s="415" t="s">
        <v>994</v>
      </c>
      <c r="D59" s="411"/>
      <c r="E59" s="411">
        <v>15</v>
      </c>
      <c r="F59" s="411" t="s">
        <v>1400</v>
      </c>
      <c r="G59" s="411" t="s">
        <v>1424</v>
      </c>
      <c r="H59" s="411">
        <v>1</v>
      </c>
      <c r="I59" s="411">
        <v>0</v>
      </c>
      <c r="J59" s="411">
        <v>0</v>
      </c>
      <c r="K59" s="411">
        <v>1</v>
      </c>
      <c r="L59" s="411">
        <v>1</v>
      </c>
      <c r="M59" s="411" t="s">
        <v>1425</v>
      </c>
      <c r="N59" s="411">
        <v>1</v>
      </c>
      <c r="O59" s="411">
        <v>1</v>
      </c>
      <c r="P59" s="411">
        <v>1</v>
      </c>
      <c r="Q59" s="411">
        <v>1</v>
      </c>
      <c r="R59" s="411">
        <v>1</v>
      </c>
      <c r="S59" s="411">
        <v>1</v>
      </c>
      <c r="T59" s="411">
        <v>1</v>
      </c>
      <c r="U59" s="411">
        <v>0</v>
      </c>
      <c r="V59" s="408"/>
      <c r="W59" s="446"/>
      <c r="X59" s="443">
        <v>42859</v>
      </c>
      <c r="Y59" s="444">
        <v>0.39711805555555557</v>
      </c>
    </row>
    <row r="60" spans="1:25" ht="12.75" customHeight="1">
      <c r="A60" s="445">
        <v>51</v>
      </c>
      <c r="B60" s="414" t="s">
        <v>886</v>
      </c>
      <c r="C60" s="415" t="s">
        <v>994</v>
      </c>
      <c r="D60" s="411"/>
      <c r="E60" s="411">
        <v>16</v>
      </c>
      <c r="F60" s="411" t="s">
        <v>1400</v>
      </c>
      <c r="G60" s="411" t="s">
        <v>1424</v>
      </c>
      <c r="H60" s="411">
        <v>1</v>
      </c>
      <c r="I60" s="411">
        <v>0</v>
      </c>
      <c r="J60" s="411">
        <v>0</v>
      </c>
      <c r="K60" s="411">
        <v>1</v>
      </c>
      <c r="L60" s="411">
        <v>1</v>
      </c>
      <c r="M60" s="411" t="s">
        <v>1425</v>
      </c>
      <c r="N60" s="411">
        <v>1</v>
      </c>
      <c r="O60" s="411">
        <v>1</v>
      </c>
      <c r="P60" s="411">
        <v>1</v>
      </c>
      <c r="Q60" s="411">
        <v>1</v>
      </c>
      <c r="R60" s="411">
        <v>1</v>
      </c>
      <c r="S60" s="411">
        <v>1</v>
      </c>
      <c r="T60" s="411">
        <v>1</v>
      </c>
      <c r="U60" s="411">
        <v>0</v>
      </c>
      <c r="V60" s="408"/>
      <c r="W60" s="446"/>
      <c r="X60" s="443">
        <v>42859</v>
      </c>
      <c r="Y60" s="444">
        <v>0.3977430555555555</v>
      </c>
    </row>
    <row r="61" spans="1:25" ht="12.75" customHeight="1">
      <c r="A61" s="445">
        <v>52</v>
      </c>
      <c r="B61" s="414" t="s">
        <v>886</v>
      </c>
      <c r="C61" s="415" t="s">
        <v>994</v>
      </c>
      <c r="D61" s="411"/>
      <c r="E61" s="411">
        <v>17</v>
      </c>
      <c r="F61" s="411" t="s">
        <v>1400</v>
      </c>
      <c r="G61" s="411" t="s">
        <v>1424</v>
      </c>
      <c r="H61" s="411">
        <v>1</v>
      </c>
      <c r="I61" s="411">
        <v>0</v>
      </c>
      <c r="J61" s="411">
        <v>0</v>
      </c>
      <c r="K61" s="411">
        <v>1</v>
      </c>
      <c r="L61" s="411">
        <v>1</v>
      </c>
      <c r="M61" s="411" t="s">
        <v>1425</v>
      </c>
      <c r="N61" s="411">
        <v>1</v>
      </c>
      <c r="O61" s="411">
        <v>1</v>
      </c>
      <c r="P61" s="411">
        <v>1</v>
      </c>
      <c r="Q61" s="411">
        <v>1</v>
      </c>
      <c r="R61" s="411">
        <v>1</v>
      </c>
      <c r="S61" s="411">
        <v>1</v>
      </c>
      <c r="T61" s="411">
        <v>1</v>
      </c>
      <c r="U61" s="411">
        <v>0</v>
      </c>
      <c r="V61" s="408"/>
      <c r="W61" s="446"/>
      <c r="X61" s="443">
        <v>42859</v>
      </c>
      <c r="Y61" s="444">
        <v>0.39777777777777779</v>
      </c>
    </row>
    <row r="62" spans="1:25" ht="12.75" customHeight="1">
      <c r="A62" s="445">
        <v>53</v>
      </c>
      <c r="B62" s="414" t="s">
        <v>886</v>
      </c>
      <c r="C62" s="415" t="s">
        <v>994</v>
      </c>
      <c r="D62" s="411"/>
      <c r="E62" s="411">
        <v>18</v>
      </c>
      <c r="F62" s="411" t="s">
        <v>1400</v>
      </c>
      <c r="G62" s="411" t="s">
        <v>1424</v>
      </c>
      <c r="H62" s="411">
        <v>1</v>
      </c>
      <c r="I62" s="411">
        <v>0</v>
      </c>
      <c r="J62" s="411">
        <v>0</v>
      </c>
      <c r="K62" s="411">
        <v>1</v>
      </c>
      <c r="L62" s="411">
        <v>1</v>
      </c>
      <c r="M62" s="411" t="s">
        <v>1425</v>
      </c>
      <c r="N62" s="411">
        <v>1</v>
      </c>
      <c r="O62" s="411">
        <v>1</v>
      </c>
      <c r="P62" s="411">
        <v>1</v>
      </c>
      <c r="Q62" s="411">
        <v>1</v>
      </c>
      <c r="R62" s="411">
        <v>1</v>
      </c>
      <c r="S62" s="411">
        <v>1</v>
      </c>
      <c r="T62" s="411">
        <v>1</v>
      </c>
      <c r="U62" s="411">
        <v>0</v>
      </c>
      <c r="V62" s="408"/>
      <c r="W62" s="446"/>
      <c r="X62" s="443">
        <v>42859</v>
      </c>
      <c r="Y62" s="444">
        <v>0.39782407407407411</v>
      </c>
    </row>
    <row r="63" spans="1:25" ht="12.75" customHeight="1">
      <c r="A63" s="445">
        <v>54</v>
      </c>
      <c r="B63" s="414" t="s">
        <v>886</v>
      </c>
      <c r="C63" s="415" t="s">
        <v>994</v>
      </c>
      <c r="D63" s="411"/>
      <c r="E63" s="411">
        <v>19</v>
      </c>
      <c r="F63" s="411" t="s">
        <v>1400</v>
      </c>
      <c r="G63" s="411" t="s">
        <v>1424</v>
      </c>
      <c r="H63" s="411">
        <v>1</v>
      </c>
      <c r="I63" s="411">
        <v>0</v>
      </c>
      <c r="J63" s="411">
        <v>0</v>
      </c>
      <c r="K63" s="411">
        <v>1</v>
      </c>
      <c r="L63" s="411">
        <v>1</v>
      </c>
      <c r="M63" s="411" t="s">
        <v>1425</v>
      </c>
      <c r="N63" s="411">
        <v>1</v>
      </c>
      <c r="O63" s="411">
        <v>1</v>
      </c>
      <c r="P63" s="411">
        <v>1</v>
      </c>
      <c r="Q63" s="411">
        <v>1</v>
      </c>
      <c r="R63" s="411">
        <v>1</v>
      </c>
      <c r="S63" s="411">
        <v>1</v>
      </c>
      <c r="T63" s="411">
        <v>1</v>
      </c>
      <c r="U63" s="411">
        <v>0</v>
      </c>
      <c r="V63" s="408"/>
      <c r="W63" s="446"/>
      <c r="X63" s="443">
        <v>42859</v>
      </c>
      <c r="Y63" s="444">
        <v>0.39802083333333332</v>
      </c>
    </row>
    <row r="64" spans="1:25" ht="12.75" customHeight="1">
      <c r="A64" s="445">
        <v>55</v>
      </c>
      <c r="B64" s="414" t="s">
        <v>886</v>
      </c>
      <c r="C64" s="415" t="s">
        <v>994</v>
      </c>
      <c r="D64" s="411"/>
      <c r="E64" s="411">
        <v>20</v>
      </c>
      <c r="F64" s="411" t="s">
        <v>1400</v>
      </c>
      <c r="G64" s="411" t="s">
        <v>1424</v>
      </c>
      <c r="H64" s="411">
        <v>1</v>
      </c>
      <c r="I64" s="411">
        <v>0</v>
      </c>
      <c r="J64" s="411">
        <v>0</v>
      </c>
      <c r="K64" s="411">
        <v>1</v>
      </c>
      <c r="L64" s="411">
        <v>1</v>
      </c>
      <c r="M64" s="411" t="s">
        <v>1425</v>
      </c>
      <c r="N64" s="411">
        <v>1</v>
      </c>
      <c r="O64" s="411">
        <v>1</v>
      </c>
      <c r="P64" s="411">
        <v>1</v>
      </c>
      <c r="Q64" s="411">
        <v>1</v>
      </c>
      <c r="R64" s="411">
        <v>1</v>
      </c>
      <c r="S64" s="411">
        <v>1</v>
      </c>
      <c r="T64" s="411">
        <v>1</v>
      </c>
      <c r="U64" s="411">
        <v>0</v>
      </c>
      <c r="V64" s="408"/>
      <c r="W64" s="446"/>
      <c r="X64" s="443">
        <v>42859</v>
      </c>
      <c r="Y64" s="444">
        <v>0.39806712962962965</v>
      </c>
    </row>
    <row r="65" spans="1:25" ht="12.75" customHeight="1">
      <c r="A65" s="445">
        <v>56</v>
      </c>
      <c r="B65" s="414" t="s">
        <v>886</v>
      </c>
      <c r="C65" s="415" t="s">
        <v>994</v>
      </c>
      <c r="D65" s="411"/>
      <c r="E65" s="411">
        <v>21</v>
      </c>
      <c r="F65" s="411" t="s">
        <v>1400</v>
      </c>
      <c r="G65" s="411" t="s">
        <v>1424</v>
      </c>
      <c r="H65" s="411">
        <v>1</v>
      </c>
      <c r="I65" s="411">
        <v>0</v>
      </c>
      <c r="J65" s="411">
        <v>0</v>
      </c>
      <c r="K65" s="411">
        <v>1</v>
      </c>
      <c r="L65" s="411">
        <v>1</v>
      </c>
      <c r="M65" s="411" t="s">
        <v>1425</v>
      </c>
      <c r="N65" s="411">
        <v>1</v>
      </c>
      <c r="O65" s="411">
        <v>1</v>
      </c>
      <c r="P65" s="411">
        <v>1</v>
      </c>
      <c r="Q65" s="411">
        <v>1</v>
      </c>
      <c r="R65" s="411">
        <v>1</v>
      </c>
      <c r="S65" s="411">
        <v>1</v>
      </c>
      <c r="T65" s="411">
        <v>1</v>
      </c>
      <c r="U65" s="411">
        <v>0</v>
      </c>
      <c r="V65" s="408"/>
      <c r="W65" s="446"/>
      <c r="X65" s="443">
        <v>42859</v>
      </c>
      <c r="Y65" s="444">
        <v>0.39810185185185182</v>
      </c>
    </row>
    <row r="66" spans="1:25" ht="12.75" customHeight="1">
      <c r="A66" s="445">
        <v>57</v>
      </c>
      <c r="B66" s="414" t="s">
        <v>886</v>
      </c>
      <c r="C66" s="415" t="s">
        <v>994</v>
      </c>
      <c r="D66" s="411"/>
      <c r="E66" s="411">
        <v>22</v>
      </c>
      <c r="F66" s="411" t="s">
        <v>1400</v>
      </c>
      <c r="G66" s="411" t="s">
        <v>1424</v>
      </c>
      <c r="H66" s="411">
        <v>1</v>
      </c>
      <c r="I66" s="411">
        <v>0</v>
      </c>
      <c r="J66" s="411">
        <v>0</v>
      </c>
      <c r="K66" s="411">
        <v>1</v>
      </c>
      <c r="L66" s="411">
        <v>1</v>
      </c>
      <c r="M66" s="411" t="s">
        <v>1425</v>
      </c>
      <c r="N66" s="411">
        <v>1</v>
      </c>
      <c r="O66" s="411">
        <v>1</v>
      </c>
      <c r="P66" s="411">
        <v>1</v>
      </c>
      <c r="Q66" s="411">
        <v>1</v>
      </c>
      <c r="R66" s="411">
        <v>1</v>
      </c>
      <c r="S66" s="411">
        <v>1</v>
      </c>
      <c r="T66" s="411">
        <v>1</v>
      </c>
      <c r="U66" s="411">
        <v>0</v>
      </c>
      <c r="V66" s="408"/>
      <c r="W66" s="446"/>
      <c r="X66" s="443">
        <v>42859</v>
      </c>
      <c r="Y66" s="444">
        <v>0.3982060185185185</v>
      </c>
    </row>
    <row r="67" spans="1:25" ht="12.75" customHeight="1">
      <c r="A67" s="445">
        <v>58</v>
      </c>
      <c r="B67" s="414" t="s">
        <v>886</v>
      </c>
      <c r="C67" s="415" t="s">
        <v>994</v>
      </c>
      <c r="D67" s="411"/>
      <c r="E67" s="411">
        <v>23</v>
      </c>
      <c r="F67" s="411" t="s">
        <v>1400</v>
      </c>
      <c r="G67" s="411" t="s">
        <v>1424</v>
      </c>
      <c r="H67" s="411">
        <v>1</v>
      </c>
      <c r="I67" s="411">
        <v>0</v>
      </c>
      <c r="J67" s="411">
        <v>0</v>
      </c>
      <c r="K67" s="411">
        <v>1</v>
      </c>
      <c r="L67" s="411">
        <v>1</v>
      </c>
      <c r="M67" s="411" t="s">
        <v>1425</v>
      </c>
      <c r="N67" s="411">
        <v>1</v>
      </c>
      <c r="O67" s="411">
        <v>1</v>
      </c>
      <c r="P67" s="411">
        <v>1</v>
      </c>
      <c r="Q67" s="411">
        <v>1</v>
      </c>
      <c r="R67" s="411">
        <v>1</v>
      </c>
      <c r="S67" s="411">
        <v>1</v>
      </c>
      <c r="T67" s="411">
        <v>1</v>
      </c>
      <c r="U67" s="411">
        <v>0</v>
      </c>
      <c r="V67" s="408"/>
      <c r="W67" s="446"/>
      <c r="X67" s="443">
        <v>42859</v>
      </c>
      <c r="Y67" s="444">
        <v>0.39824074074074073</v>
      </c>
    </row>
    <row r="68" spans="1:25" ht="12.75" customHeight="1">
      <c r="A68" s="445">
        <v>59</v>
      </c>
      <c r="B68" s="414" t="s">
        <v>886</v>
      </c>
      <c r="C68" s="415" t="s">
        <v>994</v>
      </c>
      <c r="D68" s="411"/>
      <c r="E68" s="411">
        <v>24</v>
      </c>
      <c r="F68" s="411" t="s">
        <v>1400</v>
      </c>
      <c r="G68" s="411" t="s">
        <v>1424</v>
      </c>
      <c r="H68" s="411">
        <v>1</v>
      </c>
      <c r="I68" s="411">
        <v>0</v>
      </c>
      <c r="J68" s="411">
        <v>0</v>
      </c>
      <c r="K68" s="411">
        <v>1</v>
      </c>
      <c r="L68" s="411">
        <v>1</v>
      </c>
      <c r="M68" s="411" t="s">
        <v>1425</v>
      </c>
      <c r="N68" s="411">
        <v>1</v>
      </c>
      <c r="O68" s="411">
        <v>1</v>
      </c>
      <c r="P68" s="411">
        <v>1</v>
      </c>
      <c r="Q68" s="411">
        <v>1</v>
      </c>
      <c r="R68" s="411">
        <v>1</v>
      </c>
      <c r="S68" s="411">
        <v>1</v>
      </c>
      <c r="T68" s="411">
        <v>1</v>
      </c>
      <c r="U68" s="411">
        <v>0</v>
      </c>
      <c r="V68" s="408"/>
      <c r="W68" s="446"/>
      <c r="X68" s="443">
        <v>42859</v>
      </c>
      <c r="Y68" s="444">
        <v>0.39829861111111109</v>
      </c>
    </row>
    <row r="69" spans="1:25" ht="12.75" customHeight="1">
      <c r="A69" s="445">
        <v>60</v>
      </c>
      <c r="B69" s="414" t="s">
        <v>886</v>
      </c>
      <c r="C69" s="415" t="s">
        <v>994</v>
      </c>
      <c r="D69" s="411"/>
      <c r="E69" s="411">
        <v>25</v>
      </c>
      <c r="F69" s="411" t="s">
        <v>1400</v>
      </c>
      <c r="G69" s="411" t="s">
        <v>1424</v>
      </c>
      <c r="H69" s="411">
        <v>1</v>
      </c>
      <c r="I69" s="411">
        <v>0</v>
      </c>
      <c r="J69" s="411">
        <v>0</v>
      </c>
      <c r="K69" s="411">
        <v>1</v>
      </c>
      <c r="L69" s="411">
        <v>1</v>
      </c>
      <c r="M69" s="411" t="s">
        <v>1425</v>
      </c>
      <c r="N69" s="411">
        <v>1</v>
      </c>
      <c r="O69" s="411">
        <v>1</v>
      </c>
      <c r="P69" s="411">
        <v>1</v>
      </c>
      <c r="Q69" s="411">
        <v>1</v>
      </c>
      <c r="R69" s="411">
        <v>1</v>
      </c>
      <c r="S69" s="411">
        <v>1</v>
      </c>
      <c r="T69" s="411">
        <v>1</v>
      </c>
      <c r="U69" s="411">
        <v>0</v>
      </c>
      <c r="V69" s="408"/>
      <c r="W69" s="446"/>
      <c r="X69" s="443">
        <v>42859</v>
      </c>
      <c r="Y69" s="444">
        <v>0.39834490740740741</v>
      </c>
    </row>
    <row r="70" spans="1:25" ht="12.75" customHeight="1">
      <c r="A70" s="445">
        <v>61</v>
      </c>
      <c r="B70" s="414" t="s">
        <v>886</v>
      </c>
      <c r="C70" s="415" t="s">
        <v>994</v>
      </c>
      <c r="D70" s="411"/>
      <c r="E70" s="411">
        <v>26</v>
      </c>
      <c r="F70" s="411" t="s">
        <v>1400</v>
      </c>
      <c r="G70" s="411" t="s">
        <v>1424</v>
      </c>
      <c r="H70" s="411">
        <v>1</v>
      </c>
      <c r="I70" s="411">
        <v>0</v>
      </c>
      <c r="J70" s="411">
        <v>0</v>
      </c>
      <c r="K70" s="411">
        <v>1</v>
      </c>
      <c r="L70" s="411">
        <v>1</v>
      </c>
      <c r="M70" s="411" t="s">
        <v>1425</v>
      </c>
      <c r="N70" s="411">
        <v>1</v>
      </c>
      <c r="O70" s="411">
        <v>1</v>
      </c>
      <c r="P70" s="411">
        <v>1</v>
      </c>
      <c r="Q70" s="411">
        <v>1</v>
      </c>
      <c r="R70" s="411">
        <v>1</v>
      </c>
      <c r="S70" s="411">
        <v>1</v>
      </c>
      <c r="T70" s="411">
        <v>1</v>
      </c>
      <c r="U70" s="411">
        <v>0</v>
      </c>
      <c r="V70" s="408"/>
      <c r="W70" s="446"/>
      <c r="X70" s="443">
        <v>42859</v>
      </c>
      <c r="Y70" s="444">
        <v>0.39884259259259264</v>
      </c>
    </row>
    <row r="71" spans="1:25" ht="12.75" customHeight="1">
      <c r="A71" s="445">
        <v>62</v>
      </c>
      <c r="B71" s="414" t="s">
        <v>886</v>
      </c>
      <c r="C71" s="415" t="s">
        <v>994</v>
      </c>
      <c r="D71" s="411"/>
      <c r="E71" s="411">
        <v>27</v>
      </c>
      <c r="F71" s="411" t="s">
        <v>1400</v>
      </c>
      <c r="G71" s="411" t="s">
        <v>1424</v>
      </c>
      <c r="H71" s="411">
        <v>1</v>
      </c>
      <c r="I71" s="411">
        <v>0</v>
      </c>
      <c r="J71" s="411">
        <v>0</v>
      </c>
      <c r="K71" s="411">
        <v>1</v>
      </c>
      <c r="L71" s="411">
        <v>1</v>
      </c>
      <c r="M71" s="411" t="s">
        <v>1425</v>
      </c>
      <c r="N71" s="411">
        <v>1</v>
      </c>
      <c r="O71" s="411">
        <v>1</v>
      </c>
      <c r="P71" s="411">
        <v>1</v>
      </c>
      <c r="Q71" s="411">
        <v>1</v>
      </c>
      <c r="R71" s="411">
        <v>1</v>
      </c>
      <c r="S71" s="411">
        <v>1</v>
      </c>
      <c r="T71" s="411">
        <v>1</v>
      </c>
      <c r="U71" s="411">
        <v>0</v>
      </c>
      <c r="V71" s="408"/>
      <c r="W71" s="446"/>
      <c r="X71" s="443">
        <v>42859</v>
      </c>
      <c r="Y71" s="444">
        <v>0.39887731481481481</v>
      </c>
    </row>
    <row r="72" spans="1:25" ht="12.75" customHeight="1">
      <c r="A72" s="445">
        <v>63</v>
      </c>
      <c r="B72" s="414" t="s">
        <v>886</v>
      </c>
      <c r="C72" s="415" t="s">
        <v>994</v>
      </c>
      <c r="D72" s="411"/>
      <c r="E72" s="411">
        <v>28</v>
      </c>
      <c r="F72" s="411" t="s">
        <v>1400</v>
      </c>
      <c r="G72" s="411" t="s">
        <v>1424</v>
      </c>
      <c r="H72" s="411">
        <v>1</v>
      </c>
      <c r="I72" s="411">
        <v>0</v>
      </c>
      <c r="J72" s="411">
        <v>0</v>
      </c>
      <c r="K72" s="411">
        <v>1</v>
      </c>
      <c r="L72" s="411">
        <v>1</v>
      </c>
      <c r="M72" s="411" t="s">
        <v>1425</v>
      </c>
      <c r="N72" s="411">
        <v>1</v>
      </c>
      <c r="O72" s="411">
        <v>1</v>
      </c>
      <c r="P72" s="411">
        <v>1</v>
      </c>
      <c r="Q72" s="411">
        <v>1</v>
      </c>
      <c r="R72" s="411">
        <v>1</v>
      </c>
      <c r="S72" s="411">
        <v>1</v>
      </c>
      <c r="T72" s="411">
        <v>1</v>
      </c>
      <c r="U72" s="411">
        <v>0</v>
      </c>
      <c r="V72" s="408"/>
      <c r="W72" s="446"/>
      <c r="X72" s="443">
        <v>42859</v>
      </c>
      <c r="Y72" s="444">
        <v>0.39900462962962963</v>
      </c>
    </row>
    <row r="73" spans="1:25" ht="12.75" customHeight="1">
      <c r="A73" s="445">
        <v>64</v>
      </c>
      <c r="B73" s="414" t="s">
        <v>886</v>
      </c>
      <c r="C73" s="415" t="s">
        <v>994</v>
      </c>
      <c r="D73" s="411"/>
      <c r="E73" s="411">
        <v>29</v>
      </c>
      <c r="F73" s="411" t="s">
        <v>1400</v>
      </c>
      <c r="G73" s="411" t="s">
        <v>1424</v>
      </c>
      <c r="H73" s="411">
        <v>1</v>
      </c>
      <c r="I73" s="411">
        <v>0</v>
      </c>
      <c r="J73" s="411">
        <v>0</v>
      </c>
      <c r="K73" s="411">
        <v>1</v>
      </c>
      <c r="L73" s="411">
        <v>1</v>
      </c>
      <c r="M73" s="411" t="s">
        <v>1425</v>
      </c>
      <c r="N73" s="411">
        <v>1</v>
      </c>
      <c r="O73" s="411">
        <v>1</v>
      </c>
      <c r="P73" s="411">
        <v>1</v>
      </c>
      <c r="Q73" s="411">
        <v>1</v>
      </c>
      <c r="R73" s="411">
        <v>1</v>
      </c>
      <c r="S73" s="411">
        <v>1</v>
      </c>
      <c r="T73" s="411">
        <v>1</v>
      </c>
      <c r="U73" s="411">
        <v>0</v>
      </c>
      <c r="V73" s="408"/>
      <c r="W73" s="446"/>
      <c r="X73" s="443">
        <v>42859</v>
      </c>
      <c r="Y73" s="444">
        <v>0.39903935185185185</v>
      </c>
    </row>
    <row r="74" spans="1:25" ht="12.75" customHeight="1">
      <c r="A74" s="445">
        <v>65</v>
      </c>
      <c r="B74" s="414" t="s">
        <v>886</v>
      </c>
      <c r="C74" s="415" t="s">
        <v>994</v>
      </c>
      <c r="D74" s="411"/>
      <c r="E74" s="411">
        <v>30</v>
      </c>
      <c r="F74" s="411" t="s">
        <v>1400</v>
      </c>
      <c r="G74" s="411" t="s">
        <v>1424</v>
      </c>
      <c r="H74" s="411">
        <v>1</v>
      </c>
      <c r="I74" s="411">
        <v>0</v>
      </c>
      <c r="J74" s="411">
        <v>0</v>
      </c>
      <c r="K74" s="411">
        <v>1</v>
      </c>
      <c r="L74" s="411">
        <v>1</v>
      </c>
      <c r="M74" s="411" t="s">
        <v>1425</v>
      </c>
      <c r="N74" s="411">
        <v>1</v>
      </c>
      <c r="O74" s="411">
        <v>1</v>
      </c>
      <c r="P74" s="411">
        <v>1</v>
      </c>
      <c r="Q74" s="411">
        <v>1</v>
      </c>
      <c r="R74" s="411">
        <v>1</v>
      </c>
      <c r="S74" s="411">
        <v>1</v>
      </c>
      <c r="T74" s="411">
        <v>1</v>
      </c>
      <c r="U74" s="411">
        <v>0</v>
      </c>
      <c r="V74" s="408"/>
      <c r="W74" s="446"/>
      <c r="X74" s="443">
        <v>42859</v>
      </c>
      <c r="Y74" s="444">
        <v>0.39909722222222221</v>
      </c>
    </row>
    <row r="75" spans="1:25" ht="12.75" customHeight="1">
      <c r="A75" s="445">
        <v>66</v>
      </c>
      <c r="B75" s="414" t="s">
        <v>886</v>
      </c>
      <c r="C75" s="415" t="s">
        <v>994</v>
      </c>
      <c r="D75" s="411"/>
      <c r="E75" s="411">
        <v>31</v>
      </c>
      <c r="F75" s="411" t="s">
        <v>1400</v>
      </c>
      <c r="G75" s="411" t="s">
        <v>1424</v>
      </c>
      <c r="H75" s="411">
        <v>1</v>
      </c>
      <c r="I75" s="411">
        <v>0</v>
      </c>
      <c r="J75" s="411">
        <v>0</v>
      </c>
      <c r="K75" s="411">
        <v>1</v>
      </c>
      <c r="L75" s="411">
        <v>1</v>
      </c>
      <c r="M75" s="411" t="s">
        <v>1425</v>
      </c>
      <c r="N75" s="411">
        <v>1</v>
      </c>
      <c r="O75" s="411">
        <v>1</v>
      </c>
      <c r="P75" s="411">
        <v>1</v>
      </c>
      <c r="Q75" s="411">
        <v>1</v>
      </c>
      <c r="R75" s="411">
        <v>1</v>
      </c>
      <c r="S75" s="411">
        <v>1</v>
      </c>
      <c r="T75" s="411">
        <v>1</v>
      </c>
      <c r="U75" s="411">
        <v>0</v>
      </c>
      <c r="V75" s="408"/>
      <c r="W75" s="446"/>
      <c r="X75" s="443">
        <v>42859</v>
      </c>
      <c r="Y75" s="444">
        <v>0.3992708333333333</v>
      </c>
    </row>
    <row r="76" spans="1:25" ht="12.75" customHeight="1">
      <c r="A76" s="445">
        <v>67</v>
      </c>
      <c r="B76" s="414" t="s">
        <v>886</v>
      </c>
      <c r="C76" s="415" t="s">
        <v>994</v>
      </c>
      <c r="D76" s="411"/>
      <c r="E76" s="411">
        <v>32</v>
      </c>
      <c r="F76" s="411" t="s">
        <v>1400</v>
      </c>
      <c r="G76" s="411" t="s">
        <v>1424</v>
      </c>
      <c r="H76" s="411">
        <v>1</v>
      </c>
      <c r="I76" s="411">
        <v>0</v>
      </c>
      <c r="J76" s="411">
        <v>0</v>
      </c>
      <c r="K76" s="411">
        <v>1</v>
      </c>
      <c r="L76" s="411">
        <v>1</v>
      </c>
      <c r="M76" s="411" t="s">
        <v>1425</v>
      </c>
      <c r="N76" s="411">
        <v>1</v>
      </c>
      <c r="O76" s="411">
        <v>1</v>
      </c>
      <c r="P76" s="411">
        <v>1</v>
      </c>
      <c r="Q76" s="411">
        <v>1</v>
      </c>
      <c r="R76" s="411">
        <v>1</v>
      </c>
      <c r="S76" s="411">
        <v>1</v>
      </c>
      <c r="T76" s="411">
        <v>1</v>
      </c>
      <c r="U76" s="411">
        <v>0</v>
      </c>
      <c r="V76" s="408"/>
      <c r="W76" s="446"/>
      <c r="X76" s="443">
        <v>42859</v>
      </c>
      <c r="Y76" s="444">
        <v>0.39951388888888889</v>
      </c>
    </row>
    <row r="77" spans="1:25" ht="12.75" customHeight="1">
      <c r="A77" s="445">
        <v>68</v>
      </c>
      <c r="B77" s="414" t="s">
        <v>886</v>
      </c>
      <c r="C77" s="415" t="s">
        <v>994</v>
      </c>
      <c r="D77" s="411"/>
      <c r="E77" s="411">
        <v>33</v>
      </c>
      <c r="F77" s="411" t="s">
        <v>1400</v>
      </c>
      <c r="G77" s="411" t="s">
        <v>1424</v>
      </c>
      <c r="H77" s="411">
        <v>1</v>
      </c>
      <c r="I77" s="411">
        <v>0</v>
      </c>
      <c r="J77" s="411">
        <v>0</v>
      </c>
      <c r="K77" s="411">
        <v>1</v>
      </c>
      <c r="L77" s="411">
        <v>1</v>
      </c>
      <c r="M77" s="411" t="s">
        <v>1425</v>
      </c>
      <c r="N77" s="411">
        <v>1</v>
      </c>
      <c r="O77" s="411">
        <v>1</v>
      </c>
      <c r="P77" s="411">
        <v>1</v>
      </c>
      <c r="Q77" s="411">
        <v>1</v>
      </c>
      <c r="R77" s="411">
        <v>1</v>
      </c>
      <c r="S77" s="411">
        <v>1</v>
      </c>
      <c r="T77" s="411">
        <v>1</v>
      </c>
      <c r="U77" s="411">
        <v>0</v>
      </c>
      <c r="V77" s="408"/>
      <c r="W77" s="446"/>
      <c r="X77" s="443">
        <v>42859</v>
      </c>
      <c r="Y77" s="444">
        <v>0.39961805555555557</v>
      </c>
    </row>
    <row r="78" spans="1:25" ht="12.75" customHeight="1">
      <c r="A78" s="445">
        <v>69</v>
      </c>
      <c r="B78" s="414" t="s">
        <v>886</v>
      </c>
      <c r="C78" s="415" t="s">
        <v>994</v>
      </c>
      <c r="D78" s="411"/>
      <c r="E78" s="411">
        <v>34</v>
      </c>
      <c r="F78" s="411" t="s">
        <v>1400</v>
      </c>
      <c r="G78" s="411" t="s">
        <v>1424</v>
      </c>
      <c r="H78" s="411">
        <v>1</v>
      </c>
      <c r="I78" s="411">
        <v>0</v>
      </c>
      <c r="J78" s="411">
        <v>0</v>
      </c>
      <c r="K78" s="411">
        <v>1</v>
      </c>
      <c r="L78" s="411">
        <v>1</v>
      </c>
      <c r="M78" s="411" t="s">
        <v>1425</v>
      </c>
      <c r="N78" s="411">
        <v>1</v>
      </c>
      <c r="O78" s="411">
        <v>1</v>
      </c>
      <c r="P78" s="411">
        <v>1</v>
      </c>
      <c r="Q78" s="411">
        <v>1</v>
      </c>
      <c r="R78" s="411">
        <v>1</v>
      </c>
      <c r="S78" s="411">
        <v>1</v>
      </c>
      <c r="T78" s="411">
        <v>1</v>
      </c>
      <c r="U78" s="411">
        <v>0</v>
      </c>
      <c r="V78" s="408"/>
      <c r="W78" s="446"/>
      <c r="X78" s="443">
        <v>42859</v>
      </c>
      <c r="Y78" s="444">
        <v>0.39966435185185184</v>
      </c>
    </row>
    <row r="79" spans="1:25" ht="12.75" customHeight="1">
      <c r="A79" s="445">
        <v>70</v>
      </c>
      <c r="B79" s="414" t="s">
        <v>886</v>
      </c>
      <c r="C79" s="415" t="s">
        <v>994</v>
      </c>
      <c r="D79" s="411"/>
      <c r="E79" s="411">
        <v>35</v>
      </c>
      <c r="F79" s="411" t="s">
        <v>1400</v>
      </c>
      <c r="G79" s="411" t="s">
        <v>1424</v>
      </c>
      <c r="H79" s="411">
        <v>1</v>
      </c>
      <c r="I79" s="411">
        <v>0</v>
      </c>
      <c r="J79" s="411">
        <v>0</v>
      </c>
      <c r="K79" s="411">
        <v>1</v>
      </c>
      <c r="L79" s="411">
        <v>1</v>
      </c>
      <c r="M79" s="411" t="s">
        <v>1425</v>
      </c>
      <c r="N79" s="411">
        <v>1</v>
      </c>
      <c r="O79" s="411">
        <v>1</v>
      </c>
      <c r="P79" s="411">
        <v>1</v>
      </c>
      <c r="Q79" s="411">
        <v>1</v>
      </c>
      <c r="R79" s="411">
        <v>1</v>
      </c>
      <c r="S79" s="411">
        <v>1</v>
      </c>
      <c r="T79" s="411">
        <v>1</v>
      </c>
      <c r="U79" s="411">
        <v>0</v>
      </c>
      <c r="V79" s="408"/>
      <c r="W79" s="446"/>
      <c r="X79" s="443">
        <v>42859</v>
      </c>
      <c r="Y79" s="444">
        <v>0.39982638888888888</v>
      </c>
    </row>
    <row r="80" spans="1:25" ht="12.75" customHeight="1">
      <c r="A80" s="445">
        <v>71</v>
      </c>
      <c r="B80" s="414" t="s">
        <v>886</v>
      </c>
      <c r="C80" s="415" t="s">
        <v>994</v>
      </c>
      <c r="D80" s="411"/>
      <c r="E80" s="411">
        <v>36</v>
      </c>
      <c r="F80" s="411" t="s">
        <v>1400</v>
      </c>
      <c r="G80" s="411" t="s">
        <v>1424</v>
      </c>
      <c r="H80" s="411">
        <v>1</v>
      </c>
      <c r="I80" s="411">
        <v>0</v>
      </c>
      <c r="J80" s="411">
        <v>0</v>
      </c>
      <c r="K80" s="411">
        <v>1</v>
      </c>
      <c r="L80" s="411">
        <v>1</v>
      </c>
      <c r="M80" s="411" t="s">
        <v>1425</v>
      </c>
      <c r="N80" s="411">
        <v>1</v>
      </c>
      <c r="O80" s="411">
        <v>1</v>
      </c>
      <c r="P80" s="411">
        <v>1</v>
      </c>
      <c r="Q80" s="411">
        <v>1</v>
      </c>
      <c r="R80" s="411">
        <v>1</v>
      </c>
      <c r="S80" s="411">
        <v>1</v>
      </c>
      <c r="T80" s="411">
        <v>1</v>
      </c>
      <c r="U80" s="411">
        <v>0</v>
      </c>
      <c r="V80" s="408"/>
      <c r="W80" s="446"/>
      <c r="X80" s="443">
        <v>42859</v>
      </c>
      <c r="Y80" s="444">
        <v>0.40083333333333332</v>
      </c>
    </row>
    <row r="81" spans="1:25" ht="12.75" customHeight="1">
      <c r="A81" s="445">
        <v>72</v>
      </c>
      <c r="B81" s="414" t="s">
        <v>886</v>
      </c>
      <c r="C81" s="415" t="s">
        <v>994</v>
      </c>
      <c r="D81" s="411"/>
      <c r="E81" s="411">
        <v>37</v>
      </c>
      <c r="F81" s="411" t="s">
        <v>1400</v>
      </c>
      <c r="G81" s="411" t="s">
        <v>1424</v>
      </c>
      <c r="H81" s="411">
        <v>1</v>
      </c>
      <c r="I81" s="411">
        <v>0</v>
      </c>
      <c r="J81" s="411">
        <v>0</v>
      </c>
      <c r="K81" s="411">
        <v>1</v>
      </c>
      <c r="L81" s="411">
        <v>1</v>
      </c>
      <c r="M81" s="411" t="s">
        <v>1425</v>
      </c>
      <c r="N81" s="411">
        <v>1</v>
      </c>
      <c r="O81" s="411">
        <v>1</v>
      </c>
      <c r="P81" s="411">
        <v>1</v>
      </c>
      <c r="Q81" s="411">
        <v>1</v>
      </c>
      <c r="R81" s="411">
        <v>1</v>
      </c>
      <c r="S81" s="411">
        <v>1</v>
      </c>
      <c r="T81" s="411">
        <v>1</v>
      </c>
      <c r="U81" s="411">
        <v>0</v>
      </c>
      <c r="V81" s="408"/>
      <c r="W81" s="446"/>
      <c r="X81" s="443">
        <v>42859</v>
      </c>
      <c r="Y81" s="444">
        <v>0.40087962962962959</v>
      </c>
    </row>
    <row r="82" spans="1:25" ht="12.75" customHeight="1">
      <c r="A82" s="445">
        <v>73</v>
      </c>
      <c r="B82" s="414" t="s">
        <v>886</v>
      </c>
      <c r="C82" s="415" t="s">
        <v>994</v>
      </c>
      <c r="D82" s="411"/>
      <c r="E82" s="411">
        <v>38</v>
      </c>
      <c r="F82" s="411" t="s">
        <v>1400</v>
      </c>
      <c r="G82" s="411" t="s">
        <v>1424</v>
      </c>
      <c r="H82" s="411">
        <v>1</v>
      </c>
      <c r="I82" s="411">
        <v>0</v>
      </c>
      <c r="J82" s="411">
        <v>0</v>
      </c>
      <c r="K82" s="411">
        <v>1</v>
      </c>
      <c r="L82" s="411">
        <v>1</v>
      </c>
      <c r="M82" s="411" t="s">
        <v>1425</v>
      </c>
      <c r="N82" s="411">
        <v>1</v>
      </c>
      <c r="O82" s="411">
        <v>1</v>
      </c>
      <c r="P82" s="411">
        <v>1</v>
      </c>
      <c r="Q82" s="411">
        <v>1</v>
      </c>
      <c r="R82" s="411">
        <v>1</v>
      </c>
      <c r="S82" s="411">
        <v>1</v>
      </c>
      <c r="T82" s="411">
        <v>1</v>
      </c>
      <c r="U82" s="411">
        <v>0</v>
      </c>
      <c r="V82" s="408"/>
      <c r="W82" s="446"/>
      <c r="X82" s="443">
        <v>42859</v>
      </c>
      <c r="Y82" s="444">
        <v>0.4012384259259259</v>
      </c>
    </row>
    <row r="83" spans="1:25" ht="12.75" customHeight="1">
      <c r="A83" s="445">
        <v>74</v>
      </c>
      <c r="B83" s="414" t="s">
        <v>886</v>
      </c>
      <c r="C83" s="415" t="s">
        <v>994</v>
      </c>
      <c r="D83" s="411"/>
      <c r="E83" s="411">
        <v>39</v>
      </c>
      <c r="F83" s="411" t="s">
        <v>1400</v>
      </c>
      <c r="G83" s="411" t="s">
        <v>1424</v>
      </c>
      <c r="H83" s="411">
        <v>1</v>
      </c>
      <c r="I83" s="411">
        <v>0</v>
      </c>
      <c r="J83" s="411">
        <v>0</v>
      </c>
      <c r="K83" s="411">
        <v>1</v>
      </c>
      <c r="L83" s="411">
        <v>1</v>
      </c>
      <c r="M83" s="411" t="s">
        <v>1425</v>
      </c>
      <c r="N83" s="411">
        <v>1</v>
      </c>
      <c r="O83" s="411">
        <v>1</v>
      </c>
      <c r="P83" s="411">
        <v>1</v>
      </c>
      <c r="Q83" s="411">
        <v>1</v>
      </c>
      <c r="R83" s="411">
        <v>1</v>
      </c>
      <c r="S83" s="411">
        <v>1</v>
      </c>
      <c r="T83" s="411">
        <v>1</v>
      </c>
      <c r="U83" s="411">
        <v>0</v>
      </c>
      <c r="V83" s="408"/>
      <c r="W83" s="446"/>
      <c r="X83" s="443">
        <v>42859</v>
      </c>
      <c r="Y83" s="444">
        <v>0.40136574074074072</v>
      </c>
    </row>
    <row r="84" spans="1:25" ht="12.75" customHeight="1">
      <c r="A84" s="445">
        <v>75</v>
      </c>
      <c r="B84" s="414" t="s">
        <v>886</v>
      </c>
      <c r="C84" s="415" t="s">
        <v>994</v>
      </c>
      <c r="D84" s="411"/>
      <c r="E84" s="411">
        <v>40</v>
      </c>
      <c r="F84" s="411" t="s">
        <v>1400</v>
      </c>
      <c r="G84" s="411" t="s">
        <v>1424</v>
      </c>
      <c r="H84" s="411">
        <v>1</v>
      </c>
      <c r="I84" s="411">
        <v>0</v>
      </c>
      <c r="J84" s="411">
        <v>0</v>
      </c>
      <c r="K84" s="411">
        <v>1</v>
      </c>
      <c r="L84" s="411">
        <v>1</v>
      </c>
      <c r="M84" s="411" t="s">
        <v>1425</v>
      </c>
      <c r="N84" s="411">
        <v>1</v>
      </c>
      <c r="O84" s="411">
        <v>1</v>
      </c>
      <c r="P84" s="411">
        <v>1</v>
      </c>
      <c r="Q84" s="411">
        <v>1</v>
      </c>
      <c r="R84" s="411">
        <v>1</v>
      </c>
      <c r="S84" s="411">
        <v>1</v>
      </c>
      <c r="T84" s="411">
        <v>1</v>
      </c>
      <c r="U84" s="411">
        <v>0</v>
      </c>
      <c r="V84" s="408"/>
      <c r="W84" s="446"/>
      <c r="X84" s="443">
        <v>42859</v>
      </c>
      <c r="Y84" s="444">
        <v>0.40222222222222226</v>
      </c>
    </row>
    <row r="85" spans="1:25" ht="12.75" customHeight="1">
      <c r="A85" s="445">
        <v>76</v>
      </c>
      <c r="B85" s="414" t="s">
        <v>886</v>
      </c>
      <c r="C85" s="415" t="s">
        <v>994</v>
      </c>
      <c r="D85" s="411"/>
      <c r="E85" s="411">
        <v>41</v>
      </c>
      <c r="F85" s="411" t="s">
        <v>1400</v>
      </c>
      <c r="G85" s="411" t="s">
        <v>1424</v>
      </c>
      <c r="H85" s="411">
        <v>1</v>
      </c>
      <c r="I85" s="411">
        <v>0</v>
      </c>
      <c r="J85" s="411">
        <v>0</v>
      </c>
      <c r="K85" s="411">
        <v>1</v>
      </c>
      <c r="L85" s="411">
        <v>1</v>
      </c>
      <c r="M85" s="411" t="s">
        <v>1425</v>
      </c>
      <c r="N85" s="411">
        <v>1</v>
      </c>
      <c r="O85" s="411">
        <v>1</v>
      </c>
      <c r="P85" s="411">
        <v>1</v>
      </c>
      <c r="Q85" s="411">
        <v>1</v>
      </c>
      <c r="R85" s="411">
        <v>1</v>
      </c>
      <c r="S85" s="411">
        <v>1</v>
      </c>
      <c r="T85" s="411">
        <v>1</v>
      </c>
      <c r="U85" s="411">
        <v>0</v>
      </c>
      <c r="V85" s="408"/>
      <c r="W85" s="446"/>
      <c r="X85" s="443">
        <v>42859</v>
      </c>
      <c r="Y85" s="444">
        <v>0.40243055555555557</v>
      </c>
    </row>
    <row r="86" spans="1:25" ht="12.75" customHeight="1">
      <c r="A86" s="445">
        <v>77</v>
      </c>
      <c r="B86" s="414" t="s">
        <v>886</v>
      </c>
      <c r="C86" s="415" t="s">
        <v>994</v>
      </c>
      <c r="D86" s="411"/>
      <c r="E86" s="411">
        <v>42</v>
      </c>
      <c r="F86" s="411" t="s">
        <v>1400</v>
      </c>
      <c r="G86" s="411" t="s">
        <v>1424</v>
      </c>
      <c r="H86" s="411">
        <v>1</v>
      </c>
      <c r="I86" s="411">
        <v>0</v>
      </c>
      <c r="J86" s="411">
        <v>0</v>
      </c>
      <c r="K86" s="411">
        <v>1</v>
      </c>
      <c r="L86" s="411">
        <v>1</v>
      </c>
      <c r="M86" s="411" t="s">
        <v>1425</v>
      </c>
      <c r="N86" s="411">
        <v>1</v>
      </c>
      <c r="O86" s="411">
        <v>1</v>
      </c>
      <c r="P86" s="411">
        <v>1</v>
      </c>
      <c r="Q86" s="411">
        <v>1</v>
      </c>
      <c r="R86" s="411">
        <v>1</v>
      </c>
      <c r="S86" s="411">
        <v>1</v>
      </c>
      <c r="T86" s="411">
        <v>1</v>
      </c>
      <c r="U86" s="411">
        <v>0</v>
      </c>
      <c r="V86" s="408"/>
      <c r="W86" s="446"/>
      <c r="X86" s="443">
        <v>42859</v>
      </c>
      <c r="Y86" s="444">
        <v>0.40269675925925924</v>
      </c>
    </row>
    <row r="87" spans="1:25" ht="12.75" customHeight="1">
      <c r="A87" s="445">
        <v>78</v>
      </c>
      <c r="B87" s="414" t="s">
        <v>886</v>
      </c>
      <c r="C87" s="415" t="s">
        <v>994</v>
      </c>
      <c r="D87" s="411"/>
      <c r="E87" s="411">
        <v>43</v>
      </c>
      <c r="F87" s="411" t="s">
        <v>1400</v>
      </c>
      <c r="G87" s="411" t="s">
        <v>1424</v>
      </c>
      <c r="H87" s="411">
        <v>1</v>
      </c>
      <c r="I87" s="411">
        <v>0</v>
      </c>
      <c r="J87" s="411">
        <v>0</v>
      </c>
      <c r="K87" s="411">
        <v>1</v>
      </c>
      <c r="L87" s="411">
        <v>1</v>
      </c>
      <c r="M87" s="411" t="s">
        <v>1425</v>
      </c>
      <c r="N87" s="411">
        <v>1</v>
      </c>
      <c r="O87" s="411">
        <v>1</v>
      </c>
      <c r="P87" s="411">
        <v>1</v>
      </c>
      <c r="Q87" s="411">
        <v>1</v>
      </c>
      <c r="R87" s="411">
        <v>1</v>
      </c>
      <c r="S87" s="411">
        <v>1</v>
      </c>
      <c r="T87" s="411">
        <v>1</v>
      </c>
      <c r="U87" s="411">
        <v>0</v>
      </c>
      <c r="V87" s="408"/>
      <c r="W87" s="446"/>
      <c r="X87" s="443">
        <v>42859</v>
      </c>
      <c r="Y87" s="444">
        <v>0.4036689814814815</v>
      </c>
    </row>
    <row r="88" spans="1:25" ht="12.75" customHeight="1">
      <c r="A88" s="445">
        <v>79</v>
      </c>
      <c r="B88" s="414" t="s">
        <v>886</v>
      </c>
      <c r="C88" s="415" t="s">
        <v>994</v>
      </c>
      <c r="D88" s="411"/>
      <c r="E88" s="411">
        <v>44</v>
      </c>
      <c r="F88" s="411" t="s">
        <v>1400</v>
      </c>
      <c r="G88" s="411" t="s">
        <v>1424</v>
      </c>
      <c r="H88" s="411">
        <v>1</v>
      </c>
      <c r="I88" s="411">
        <v>0</v>
      </c>
      <c r="J88" s="411">
        <v>0</v>
      </c>
      <c r="K88" s="411">
        <v>1</v>
      </c>
      <c r="L88" s="411">
        <v>1</v>
      </c>
      <c r="M88" s="411" t="s">
        <v>1425</v>
      </c>
      <c r="N88" s="411">
        <v>1</v>
      </c>
      <c r="O88" s="411">
        <v>1</v>
      </c>
      <c r="P88" s="411">
        <v>1</v>
      </c>
      <c r="Q88" s="411">
        <v>1</v>
      </c>
      <c r="R88" s="411">
        <v>1</v>
      </c>
      <c r="S88" s="411">
        <v>1</v>
      </c>
      <c r="T88" s="411">
        <v>1</v>
      </c>
      <c r="U88" s="411">
        <v>0</v>
      </c>
      <c r="V88" s="408"/>
      <c r="W88" s="446"/>
      <c r="X88" s="443">
        <v>42859</v>
      </c>
      <c r="Y88" s="444">
        <v>0.40402777777777782</v>
      </c>
    </row>
    <row r="89" spans="1:25" ht="12.75" customHeight="1">
      <c r="A89" s="445">
        <v>80</v>
      </c>
      <c r="B89" s="414" t="s">
        <v>886</v>
      </c>
      <c r="C89" s="415" t="s">
        <v>994</v>
      </c>
      <c r="D89" s="411"/>
      <c r="E89" s="411">
        <v>45</v>
      </c>
      <c r="F89" s="411" t="s">
        <v>1400</v>
      </c>
      <c r="G89" s="411" t="s">
        <v>1424</v>
      </c>
      <c r="H89" s="411">
        <v>1</v>
      </c>
      <c r="I89" s="411">
        <v>0</v>
      </c>
      <c r="J89" s="411">
        <v>0</v>
      </c>
      <c r="K89" s="411">
        <v>1</v>
      </c>
      <c r="L89" s="411">
        <v>1</v>
      </c>
      <c r="M89" s="411" t="s">
        <v>1425</v>
      </c>
      <c r="N89" s="411">
        <v>1</v>
      </c>
      <c r="O89" s="411">
        <v>1</v>
      </c>
      <c r="P89" s="411">
        <v>1</v>
      </c>
      <c r="Q89" s="411">
        <v>1</v>
      </c>
      <c r="R89" s="411">
        <v>1</v>
      </c>
      <c r="S89" s="411">
        <v>1</v>
      </c>
      <c r="T89" s="411">
        <v>1</v>
      </c>
      <c r="U89" s="411">
        <v>0</v>
      </c>
      <c r="V89" s="408"/>
      <c r="W89" s="446"/>
      <c r="X89" s="443">
        <v>42859</v>
      </c>
      <c r="Y89" s="444">
        <v>0.4042824074074074</v>
      </c>
    </row>
    <row r="90" spans="1:25" ht="12.75" customHeight="1">
      <c r="A90" s="445">
        <v>81</v>
      </c>
      <c r="B90" s="414" t="s">
        <v>886</v>
      </c>
      <c r="C90" s="415" t="s">
        <v>994</v>
      </c>
      <c r="D90" s="411"/>
      <c r="E90" s="411">
        <v>46</v>
      </c>
      <c r="F90" s="411" t="s">
        <v>1400</v>
      </c>
      <c r="G90" s="411" t="s">
        <v>1424</v>
      </c>
      <c r="H90" s="411">
        <v>1</v>
      </c>
      <c r="I90" s="411">
        <v>0</v>
      </c>
      <c r="J90" s="411">
        <v>0</v>
      </c>
      <c r="K90" s="411">
        <v>1</v>
      </c>
      <c r="L90" s="411">
        <v>1</v>
      </c>
      <c r="M90" s="411" t="s">
        <v>1425</v>
      </c>
      <c r="N90" s="411">
        <v>1</v>
      </c>
      <c r="O90" s="411">
        <v>1</v>
      </c>
      <c r="P90" s="411">
        <v>1</v>
      </c>
      <c r="Q90" s="411">
        <v>1</v>
      </c>
      <c r="R90" s="411">
        <v>1</v>
      </c>
      <c r="S90" s="411">
        <v>1</v>
      </c>
      <c r="T90" s="411">
        <v>1</v>
      </c>
      <c r="U90" s="411">
        <v>0</v>
      </c>
      <c r="V90" s="408"/>
      <c r="W90" s="446"/>
      <c r="X90" s="443">
        <v>42859</v>
      </c>
      <c r="Y90" s="444">
        <v>0.40438657407407402</v>
      </c>
    </row>
    <row r="91" spans="1:25" ht="12.75" customHeight="1">
      <c r="A91" s="445">
        <v>82</v>
      </c>
      <c r="B91" s="414" t="s">
        <v>886</v>
      </c>
      <c r="C91" s="415" t="s">
        <v>994</v>
      </c>
      <c r="D91" s="411"/>
      <c r="E91" s="411">
        <v>47</v>
      </c>
      <c r="F91" s="411" t="s">
        <v>1400</v>
      </c>
      <c r="G91" s="411" t="s">
        <v>1424</v>
      </c>
      <c r="H91" s="411">
        <v>1</v>
      </c>
      <c r="I91" s="411">
        <v>0</v>
      </c>
      <c r="J91" s="411">
        <v>0</v>
      </c>
      <c r="K91" s="411">
        <v>1</v>
      </c>
      <c r="L91" s="411">
        <v>1</v>
      </c>
      <c r="M91" s="411" t="s">
        <v>1425</v>
      </c>
      <c r="N91" s="411">
        <v>1</v>
      </c>
      <c r="O91" s="411">
        <v>1</v>
      </c>
      <c r="P91" s="411">
        <v>1</v>
      </c>
      <c r="Q91" s="411">
        <v>1</v>
      </c>
      <c r="R91" s="411">
        <v>1</v>
      </c>
      <c r="S91" s="411">
        <v>1</v>
      </c>
      <c r="T91" s="411">
        <v>1</v>
      </c>
      <c r="U91" s="411">
        <v>0</v>
      </c>
      <c r="V91" s="408"/>
      <c r="W91" s="446"/>
      <c r="X91" s="443">
        <v>42859</v>
      </c>
      <c r="Y91" s="444">
        <v>0.40478009259259262</v>
      </c>
    </row>
    <row r="92" spans="1:25" ht="12.75" customHeight="1">
      <c r="A92" s="445">
        <v>83</v>
      </c>
      <c r="B92" s="414" t="s">
        <v>886</v>
      </c>
      <c r="C92" s="415" t="s">
        <v>994</v>
      </c>
      <c r="D92" s="411"/>
      <c r="E92" s="411">
        <v>48</v>
      </c>
      <c r="F92" s="411" t="s">
        <v>1400</v>
      </c>
      <c r="G92" s="411" t="s">
        <v>1424</v>
      </c>
      <c r="H92" s="411">
        <v>1</v>
      </c>
      <c r="I92" s="411">
        <v>0</v>
      </c>
      <c r="J92" s="411">
        <v>0</v>
      </c>
      <c r="K92" s="411">
        <v>1</v>
      </c>
      <c r="L92" s="411">
        <v>1</v>
      </c>
      <c r="M92" s="411" t="s">
        <v>1425</v>
      </c>
      <c r="N92" s="411">
        <v>1</v>
      </c>
      <c r="O92" s="411">
        <v>1</v>
      </c>
      <c r="P92" s="411">
        <v>1</v>
      </c>
      <c r="Q92" s="411">
        <v>1</v>
      </c>
      <c r="R92" s="411">
        <v>1</v>
      </c>
      <c r="S92" s="411">
        <v>1</v>
      </c>
      <c r="T92" s="411">
        <v>1</v>
      </c>
      <c r="U92" s="411">
        <v>0</v>
      </c>
      <c r="V92" s="408"/>
      <c r="W92" s="446"/>
      <c r="X92" s="443">
        <v>42859</v>
      </c>
      <c r="Y92" s="444">
        <v>0.40740740740740744</v>
      </c>
    </row>
    <row r="93" spans="1:25" ht="12.75" customHeight="1">
      <c r="A93" s="445">
        <v>84</v>
      </c>
      <c r="B93" s="414" t="s">
        <v>886</v>
      </c>
      <c r="C93" s="415" t="s">
        <v>994</v>
      </c>
      <c r="D93" s="411"/>
      <c r="E93" s="411">
        <v>49</v>
      </c>
      <c r="F93" s="411" t="s">
        <v>1400</v>
      </c>
      <c r="G93" s="411" t="s">
        <v>1424</v>
      </c>
      <c r="H93" s="411">
        <v>1</v>
      </c>
      <c r="I93" s="411">
        <v>0</v>
      </c>
      <c r="J93" s="411">
        <v>0</v>
      </c>
      <c r="K93" s="411">
        <v>1</v>
      </c>
      <c r="L93" s="411">
        <v>1</v>
      </c>
      <c r="M93" s="411" t="s">
        <v>1425</v>
      </c>
      <c r="N93" s="411">
        <v>1</v>
      </c>
      <c r="O93" s="411">
        <v>1</v>
      </c>
      <c r="P93" s="411">
        <v>1</v>
      </c>
      <c r="Q93" s="411">
        <v>1</v>
      </c>
      <c r="R93" s="411">
        <v>1</v>
      </c>
      <c r="S93" s="411">
        <v>1</v>
      </c>
      <c r="T93" s="411">
        <v>1</v>
      </c>
      <c r="U93" s="411">
        <v>0</v>
      </c>
      <c r="V93" s="408"/>
      <c r="W93" s="446"/>
      <c r="X93" s="443">
        <v>42859</v>
      </c>
      <c r="Y93" s="444">
        <v>0.40752314814814811</v>
      </c>
    </row>
    <row r="94" spans="1:25" ht="12.75" customHeight="1">
      <c r="A94" s="445">
        <v>85</v>
      </c>
      <c r="B94" s="414" t="s">
        <v>886</v>
      </c>
      <c r="C94" s="415" t="s">
        <v>994</v>
      </c>
      <c r="D94" s="411"/>
      <c r="E94" s="411">
        <v>50</v>
      </c>
      <c r="F94" s="411" t="s">
        <v>1400</v>
      </c>
      <c r="G94" s="411" t="s">
        <v>1424</v>
      </c>
      <c r="H94" s="411">
        <v>1</v>
      </c>
      <c r="I94" s="411">
        <v>0</v>
      </c>
      <c r="J94" s="411">
        <v>0</v>
      </c>
      <c r="K94" s="411">
        <v>1</v>
      </c>
      <c r="L94" s="411">
        <v>1</v>
      </c>
      <c r="M94" s="411" t="s">
        <v>1425</v>
      </c>
      <c r="N94" s="411">
        <v>1</v>
      </c>
      <c r="O94" s="411">
        <v>1</v>
      </c>
      <c r="P94" s="411">
        <v>1</v>
      </c>
      <c r="Q94" s="411">
        <v>1</v>
      </c>
      <c r="R94" s="411">
        <v>1</v>
      </c>
      <c r="S94" s="411">
        <v>1</v>
      </c>
      <c r="T94" s="411">
        <v>1</v>
      </c>
      <c r="U94" s="411">
        <v>0</v>
      </c>
      <c r="V94" s="408"/>
      <c r="W94" s="446"/>
      <c r="X94" s="443">
        <v>42859</v>
      </c>
      <c r="Y94" s="444">
        <v>0.40774305555555551</v>
      </c>
    </row>
    <row r="95" spans="1:25" ht="12.75" customHeight="1">
      <c r="A95" s="445">
        <v>86</v>
      </c>
      <c r="B95" s="414" t="s">
        <v>886</v>
      </c>
      <c r="C95" s="415" t="s">
        <v>994</v>
      </c>
      <c r="D95" s="411"/>
      <c r="E95" s="411">
        <v>51</v>
      </c>
      <c r="F95" s="411" t="s">
        <v>1400</v>
      </c>
      <c r="G95" s="411" t="s">
        <v>1424</v>
      </c>
      <c r="H95" s="411">
        <v>1</v>
      </c>
      <c r="I95" s="411">
        <v>0</v>
      </c>
      <c r="J95" s="411">
        <v>0</v>
      </c>
      <c r="K95" s="411">
        <v>1</v>
      </c>
      <c r="L95" s="411">
        <v>1</v>
      </c>
      <c r="M95" s="411" t="s">
        <v>1425</v>
      </c>
      <c r="N95" s="411">
        <v>1</v>
      </c>
      <c r="O95" s="411">
        <v>1</v>
      </c>
      <c r="P95" s="411">
        <v>1</v>
      </c>
      <c r="Q95" s="411">
        <v>1</v>
      </c>
      <c r="R95" s="411">
        <v>1</v>
      </c>
      <c r="S95" s="411">
        <v>1</v>
      </c>
      <c r="T95" s="411">
        <v>1</v>
      </c>
      <c r="U95" s="411">
        <v>0</v>
      </c>
      <c r="V95" s="408"/>
      <c r="W95" s="446"/>
      <c r="X95" s="443">
        <v>42859</v>
      </c>
      <c r="Y95" s="444">
        <v>0.40780092592592593</v>
      </c>
    </row>
    <row r="96" spans="1:25" ht="12.75" customHeight="1">
      <c r="A96" s="445">
        <v>87</v>
      </c>
      <c r="B96" s="414" t="s">
        <v>886</v>
      </c>
      <c r="C96" s="415" t="s">
        <v>994</v>
      </c>
      <c r="D96" s="411"/>
      <c r="E96" s="411">
        <v>52</v>
      </c>
      <c r="F96" s="411" t="s">
        <v>1400</v>
      </c>
      <c r="G96" s="411" t="s">
        <v>1424</v>
      </c>
      <c r="H96" s="411">
        <v>1</v>
      </c>
      <c r="I96" s="411">
        <v>0</v>
      </c>
      <c r="J96" s="411">
        <v>0</v>
      </c>
      <c r="K96" s="411">
        <v>1</v>
      </c>
      <c r="L96" s="411">
        <v>1</v>
      </c>
      <c r="M96" s="411" t="s">
        <v>1425</v>
      </c>
      <c r="N96" s="411">
        <v>1</v>
      </c>
      <c r="O96" s="411">
        <v>1</v>
      </c>
      <c r="P96" s="411">
        <v>1</v>
      </c>
      <c r="Q96" s="411">
        <v>1</v>
      </c>
      <c r="R96" s="411">
        <v>1</v>
      </c>
      <c r="S96" s="411">
        <v>1</v>
      </c>
      <c r="T96" s="411">
        <v>1</v>
      </c>
      <c r="U96" s="411">
        <v>0</v>
      </c>
      <c r="V96" s="408"/>
      <c r="W96" s="446"/>
      <c r="X96" s="443">
        <v>42859</v>
      </c>
      <c r="Y96" s="444">
        <v>0.4089930555555556</v>
      </c>
    </row>
    <row r="97" spans="1:25" ht="12.75" customHeight="1">
      <c r="A97" s="445">
        <v>88</v>
      </c>
      <c r="B97" s="414" t="s">
        <v>886</v>
      </c>
      <c r="C97" s="415" t="s">
        <v>994</v>
      </c>
      <c r="D97" s="411"/>
      <c r="E97" s="411">
        <v>53</v>
      </c>
      <c r="F97" s="411" t="s">
        <v>1400</v>
      </c>
      <c r="G97" s="411" t="s">
        <v>1424</v>
      </c>
      <c r="H97" s="411">
        <v>1</v>
      </c>
      <c r="I97" s="411">
        <v>0</v>
      </c>
      <c r="J97" s="411">
        <v>0</v>
      </c>
      <c r="K97" s="411">
        <v>1</v>
      </c>
      <c r="L97" s="411">
        <v>1</v>
      </c>
      <c r="M97" s="411" t="s">
        <v>1425</v>
      </c>
      <c r="N97" s="411">
        <v>1</v>
      </c>
      <c r="O97" s="411">
        <v>1</v>
      </c>
      <c r="P97" s="411">
        <v>1</v>
      </c>
      <c r="Q97" s="411">
        <v>1</v>
      </c>
      <c r="R97" s="411">
        <v>1</v>
      </c>
      <c r="S97" s="411">
        <v>1</v>
      </c>
      <c r="T97" s="411">
        <v>1</v>
      </c>
      <c r="U97" s="411">
        <v>0</v>
      </c>
      <c r="V97" s="408"/>
      <c r="W97" s="446"/>
      <c r="X97" s="443">
        <v>42859</v>
      </c>
      <c r="Y97" s="444">
        <v>0.40939814814814812</v>
      </c>
    </row>
    <row r="98" spans="1:25" ht="12.75" customHeight="1">
      <c r="A98" s="445">
        <v>89</v>
      </c>
      <c r="B98" s="414" t="s">
        <v>886</v>
      </c>
      <c r="C98" s="415" t="s">
        <v>994</v>
      </c>
      <c r="D98" s="411"/>
      <c r="E98" s="411">
        <v>54</v>
      </c>
      <c r="F98" s="411" t="s">
        <v>1400</v>
      </c>
      <c r="G98" s="411" t="s">
        <v>1424</v>
      </c>
      <c r="H98" s="411">
        <v>1</v>
      </c>
      <c r="I98" s="411">
        <v>0</v>
      </c>
      <c r="J98" s="411">
        <v>0</v>
      </c>
      <c r="K98" s="411">
        <v>1</v>
      </c>
      <c r="L98" s="411">
        <v>1</v>
      </c>
      <c r="M98" s="411" t="s">
        <v>1425</v>
      </c>
      <c r="N98" s="411">
        <v>1</v>
      </c>
      <c r="O98" s="411">
        <v>1</v>
      </c>
      <c r="P98" s="411">
        <v>1</v>
      </c>
      <c r="Q98" s="411">
        <v>1</v>
      </c>
      <c r="R98" s="411">
        <v>1</v>
      </c>
      <c r="S98" s="411">
        <v>1</v>
      </c>
      <c r="T98" s="411">
        <v>1</v>
      </c>
      <c r="U98" s="411">
        <v>0</v>
      </c>
      <c r="V98" s="408"/>
      <c r="W98" s="446"/>
      <c r="X98" s="443">
        <v>42859</v>
      </c>
      <c r="Y98" s="444">
        <v>0.40954861111111113</v>
      </c>
    </row>
    <row r="99" spans="1:25" ht="12.75" customHeight="1">
      <c r="A99" s="445">
        <v>90</v>
      </c>
      <c r="B99" s="414" t="s">
        <v>886</v>
      </c>
      <c r="C99" s="415" t="s">
        <v>994</v>
      </c>
      <c r="D99" s="411"/>
      <c r="E99" s="411">
        <v>55</v>
      </c>
      <c r="F99" s="411" t="s">
        <v>1400</v>
      </c>
      <c r="G99" s="411" t="s">
        <v>1424</v>
      </c>
      <c r="H99" s="411">
        <v>1</v>
      </c>
      <c r="I99" s="411">
        <v>0</v>
      </c>
      <c r="J99" s="411">
        <v>0</v>
      </c>
      <c r="K99" s="411">
        <v>1</v>
      </c>
      <c r="L99" s="411">
        <v>1</v>
      </c>
      <c r="M99" s="411" t="s">
        <v>1425</v>
      </c>
      <c r="N99" s="411">
        <v>1</v>
      </c>
      <c r="O99" s="411">
        <v>1</v>
      </c>
      <c r="P99" s="411">
        <v>1</v>
      </c>
      <c r="Q99" s="411">
        <v>1</v>
      </c>
      <c r="R99" s="411">
        <v>1</v>
      </c>
      <c r="S99" s="411">
        <v>1</v>
      </c>
      <c r="T99" s="411">
        <v>1</v>
      </c>
      <c r="U99" s="411">
        <v>0</v>
      </c>
      <c r="V99" s="408"/>
      <c r="W99" s="446"/>
      <c r="X99" s="443">
        <v>42859</v>
      </c>
      <c r="Y99" s="444">
        <v>0.40960648148148149</v>
      </c>
    </row>
    <row r="100" spans="1:25" ht="12.75" customHeight="1">
      <c r="A100" s="445">
        <v>91</v>
      </c>
      <c r="B100" s="414" t="s">
        <v>886</v>
      </c>
      <c r="C100" s="415" t="s">
        <v>994</v>
      </c>
      <c r="D100" s="411"/>
      <c r="E100" s="411">
        <v>56</v>
      </c>
      <c r="F100" s="411" t="s">
        <v>1400</v>
      </c>
      <c r="G100" s="411" t="s">
        <v>1424</v>
      </c>
      <c r="H100" s="411">
        <v>1</v>
      </c>
      <c r="I100" s="411">
        <v>0</v>
      </c>
      <c r="J100" s="411">
        <v>0</v>
      </c>
      <c r="K100" s="411">
        <v>1</v>
      </c>
      <c r="L100" s="411">
        <v>1</v>
      </c>
      <c r="M100" s="411" t="s">
        <v>1425</v>
      </c>
      <c r="N100" s="411">
        <v>1</v>
      </c>
      <c r="O100" s="411">
        <v>1</v>
      </c>
      <c r="P100" s="411">
        <v>1</v>
      </c>
      <c r="Q100" s="411">
        <v>1</v>
      </c>
      <c r="R100" s="411">
        <v>1</v>
      </c>
      <c r="S100" s="411">
        <v>1</v>
      </c>
      <c r="T100" s="411">
        <v>1</v>
      </c>
      <c r="U100" s="411">
        <v>0</v>
      </c>
      <c r="V100" s="408"/>
      <c r="W100" s="446"/>
      <c r="X100" s="443">
        <v>42859</v>
      </c>
      <c r="Y100" s="444">
        <v>0.40976851851851853</v>
      </c>
    </row>
    <row r="101" spans="1:25" ht="12.75" customHeight="1">
      <c r="A101" s="445">
        <v>92</v>
      </c>
      <c r="B101" s="414" t="s">
        <v>886</v>
      </c>
      <c r="C101" s="415" t="s">
        <v>994</v>
      </c>
      <c r="D101" s="411"/>
      <c r="E101" s="411">
        <v>57</v>
      </c>
      <c r="F101" s="411" t="s">
        <v>1400</v>
      </c>
      <c r="G101" s="411" t="s">
        <v>1424</v>
      </c>
      <c r="H101" s="411">
        <v>1</v>
      </c>
      <c r="I101" s="411">
        <v>0</v>
      </c>
      <c r="J101" s="411">
        <v>0</v>
      </c>
      <c r="K101" s="411">
        <v>1</v>
      </c>
      <c r="L101" s="411">
        <v>1</v>
      </c>
      <c r="M101" s="411" t="s">
        <v>1425</v>
      </c>
      <c r="N101" s="411">
        <v>1</v>
      </c>
      <c r="O101" s="411">
        <v>1</v>
      </c>
      <c r="P101" s="411">
        <v>1</v>
      </c>
      <c r="Q101" s="411">
        <v>1</v>
      </c>
      <c r="R101" s="411">
        <v>1</v>
      </c>
      <c r="S101" s="411">
        <v>1</v>
      </c>
      <c r="T101" s="411">
        <v>1</v>
      </c>
      <c r="U101" s="411">
        <v>0</v>
      </c>
      <c r="V101" s="408"/>
      <c r="W101" s="446"/>
      <c r="X101" s="443">
        <v>42859</v>
      </c>
      <c r="Y101" s="444">
        <v>0.41027777777777774</v>
      </c>
    </row>
    <row r="102" spans="1:25" ht="12.75" customHeight="1">
      <c r="A102" s="445">
        <v>93</v>
      </c>
      <c r="B102" s="414" t="s">
        <v>886</v>
      </c>
      <c r="C102" s="415" t="s">
        <v>994</v>
      </c>
      <c r="D102" s="411"/>
      <c r="E102" s="411">
        <v>58</v>
      </c>
      <c r="F102" s="411" t="s">
        <v>1400</v>
      </c>
      <c r="G102" s="411" t="s">
        <v>1424</v>
      </c>
      <c r="H102" s="411">
        <v>1</v>
      </c>
      <c r="I102" s="411">
        <v>0</v>
      </c>
      <c r="J102" s="411">
        <v>0</v>
      </c>
      <c r="K102" s="411">
        <v>1</v>
      </c>
      <c r="L102" s="411">
        <v>1</v>
      </c>
      <c r="M102" s="411" t="s">
        <v>1425</v>
      </c>
      <c r="N102" s="411">
        <v>1</v>
      </c>
      <c r="O102" s="411">
        <v>1</v>
      </c>
      <c r="P102" s="411">
        <v>1</v>
      </c>
      <c r="Q102" s="411">
        <v>1</v>
      </c>
      <c r="R102" s="411">
        <v>1</v>
      </c>
      <c r="S102" s="411">
        <v>1</v>
      </c>
      <c r="T102" s="411">
        <v>1</v>
      </c>
      <c r="U102" s="411">
        <v>0</v>
      </c>
      <c r="V102" s="408"/>
      <c r="W102" s="446"/>
      <c r="X102" s="443">
        <v>42859</v>
      </c>
      <c r="Y102" s="444">
        <v>0.41040509259259261</v>
      </c>
    </row>
    <row r="103" spans="1:25" ht="12.75" customHeight="1">
      <c r="A103" s="445">
        <v>94</v>
      </c>
      <c r="B103" s="414" t="s">
        <v>886</v>
      </c>
      <c r="C103" s="415" t="s">
        <v>994</v>
      </c>
      <c r="D103" s="411"/>
      <c r="E103" s="411">
        <v>59</v>
      </c>
      <c r="F103" s="411" t="s">
        <v>1400</v>
      </c>
      <c r="G103" s="411" t="s">
        <v>1424</v>
      </c>
      <c r="H103" s="411">
        <v>1</v>
      </c>
      <c r="I103" s="411">
        <v>0</v>
      </c>
      <c r="J103" s="411">
        <v>0</v>
      </c>
      <c r="K103" s="411">
        <v>1</v>
      </c>
      <c r="L103" s="411">
        <v>1</v>
      </c>
      <c r="M103" s="411" t="s">
        <v>1425</v>
      </c>
      <c r="N103" s="411">
        <v>1</v>
      </c>
      <c r="O103" s="411">
        <v>1</v>
      </c>
      <c r="P103" s="411">
        <v>1</v>
      </c>
      <c r="Q103" s="411">
        <v>1</v>
      </c>
      <c r="R103" s="411">
        <v>1</v>
      </c>
      <c r="S103" s="411">
        <v>1</v>
      </c>
      <c r="T103" s="411">
        <v>1</v>
      </c>
      <c r="U103" s="411">
        <v>0</v>
      </c>
      <c r="V103" s="408"/>
      <c r="W103" s="446"/>
      <c r="X103" s="443">
        <v>42859</v>
      </c>
      <c r="Y103" s="444">
        <v>0.41145833333333331</v>
      </c>
    </row>
    <row r="104" spans="1:25" ht="12.75" customHeight="1">
      <c r="A104" s="445">
        <v>95</v>
      </c>
      <c r="B104" s="414" t="s">
        <v>886</v>
      </c>
      <c r="C104" s="415" t="s">
        <v>994</v>
      </c>
      <c r="D104" s="411"/>
      <c r="E104" s="411">
        <v>60</v>
      </c>
      <c r="F104" s="411" t="s">
        <v>1400</v>
      </c>
      <c r="G104" s="411" t="s">
        <v>1424</v>
      </c>
      <c r="H104" s="411">
        <v>1</v>
      </c>
      <c r="I104" s="411">
        <v>0</v>
      </c>
      <c r="J104" s="411">
        <v>0</v>
      </c>
      <c r="K104" s="411">
        <v>1</v>
      </c>
      <c r="L104" s="411">
        <v>1</v>
      </c>
      <c r="M104" s="411" t="s">
        <v>1425</v>
      </c>
      <c r="N104" s="411">
        <v>1</v>
      </c>
      <c r="O104" s="411">
        <v>1</v>
      </c>
      <c r="P104" s="411">
        <v>1</v>
      </c>
      <c r="Q104" s="411">
        <v>1</v>
      </c>
      <c r="R104" s="411">
        <v>1</v>
      </c>
      <c r="S104" s="411">
        <v>1</v>
      </c>
      <c r="T104" s="411">
        <v>1</v>
      </c>
      <c r="U104" s="411">
        <v>0</v>
      </c>
      <c r="V104" s="408"/>
      <c r="W104" s="446"/>
      <c r="X104" s="443">
        <v>42859</v>
      </c>
      <c r="Y104" s="444">
        <v>0.41195601851851849</v>
      </c>
    </row>
    <row r="105" spans="1:25" ht="12.75" customHeight="1">
      <c r="A105" s="445">
        <v>96</v>
      </c>
      <c r="B105" s="414" t="s">
        <v>886</v>
      </c>
      <c r="C105" s="415" t="s">
        <v>994</v>
      </c>
      <c r="D105" s="411"/>
      <c r="E105" s="411">
        <v>61</v>
      </c>
      <c r="F105" s="411" t="s">
        <v>1400</v>
      </c>
      <c r="G105" s="411" t="s">
        <v>1424</v>
      </c>
      <c r="H105" s="411">
        <v>1</v>
      </c>
      <c r="I105" s="411">
        <v>0</v>
      </c>
      <c r="J105" s="411">
        <v>0</v>
      </c>
      <c r="K105" s="411">
        <v>1</v>
      </c>
      <c r="L105" s="411">
        <v>1</v>
      </c>
      <c r="M105" s="411" t="s">
        <v>1425</v>
      </c>
      <c r="N105" s="411">
        <v>1</v>
      </c>
      <c r="O105" s="411">
        <v>1</v>
      </c>
      <c r="P105" s="411">
        <v>1</v>
      </c>
      <c r="Q105" s="411">
        <v>1</v>
      </c>
      <c r="R105" s="411">
        <v>1</v>
      </c>
      <c r="S105" s="411">
        <v>1</v>
      </c>
      <c r="T105" s="411">
        <v>1</v>
      </c>
      <c r="U105" s="411">
        <v>0</v>
      </c>
      <c r="V105" s="408"/>
      <c r="W105" s="446"/>
      <c r="X105" s="443">
        <v>42859</v>
      </c>
      <c r="Y105" s="444">
        <v>0.41211805555555553</v>
      </c>
    </row>
    <row r="106" spans="1:25" ht="12.75" customHeight="1">
      <c r="A106" s="445">
        <v>97</v>
      </c>
      <c r="B106" s="414" t="s">
        <v>886</v>
      </c>
      <c r="C106" s="415" t="s">
        <v>994</v>
      </c>
      <c r="D106" s="411"/>
      <c r="E106" s="411">
        <v>62</v>
      </c>
      <c r="F106" s="411" t="s">
        <v>1400</v>
      </c>
      <c r="G106" s="411" t="s">
        <v>1424</v>
      </c>
      <c r="H106" s="411">
        <v>1</v>
      </c>
      <c r="I106" s="411">
        <v>0</v>
      </c>
      <c r="J106" s="411">
        <v>0</v>
      </c>
      <c r="K106" s="411">
        <v>1</v>
      </c>
      <c r="L106" s="411">
        <v>1</v>
      </c>
      <c r="M106" s="411" t="s">
        <v>1425</v>
      </c>
      <c r="N106" s="411">
        <v>1</v>
      </c>
      <c r="O106" s="411">
        <v>1</v>
      </c>
      <c r="P106" s="411">
        <v>1</v>
      </c>
      <c r="Q106" s="411">
        <v>1</v>
      </c>
      <c r="R106" s="411">
        <v>1</v>
      </c>
      <c r="S106" s="411">
        <v>1</v>
      </c>
      <c r="T106" s="411">
        <v>1</v>
      </c>
      <c r="U106" s="411">
        <v>0</v>
      </c>
      <c r="V106" s="408"/>
      <c r="W106" s="446"/>
      <c r="X106" s="443">
        <v>42859</v>
      </c>
      <c r="Y106" s="444">
        <v>0.41226851851851848</v>
      </c>
    </row>
    <row r="107" spans="1:25" ht="12.75" customHeight="1">
      <c r="A107" s="445">
        <v>98</v>
      </c>
      <c r="B107" s="414" t="s">
        <v>886</v>
      </c>
      <c r="C107" s="415" t="s">
        <v>994</v>
      </c>
      <c r="D107" s="411"/>
      <c r="E107" s="411">
        <v>63</v>
      </c>
      <c r="F107" s="411" t="s">
        <v>1400</v>
      </c>
      <c r="G107" s="411" t="s">
        <v>1424</v>
      </c>
      <c r="H107" s="411">
        <v>1</v>
      </c>
      <c r="I107" s="411">
        <v>0</v>
      </c>
      <c r="J107" s="411">
        <v>0</v>
      </c>
      <c r="K107" s="411">
        <v>1</v>
      </c>
      <c r="L107" s="411">
        <v>1</v>
      </c>
      <c r="M107" s="411" t="s">
        <v>1425</v>
      </c>
      <c r="N107" s="411">
        <v>1</v>
      </c>
      <c r="O107" s="411">
        <v>1</v>
      </c>
      <c r="P107" s="411">
        <v>1</v>
      </c>
      <c r="Q107" s="411">
        <v>1</v>
      </c>
      <c r="R107" s="411">
        <v>1</v>
      </c>
      <c r="S107" s="411">
        <v>1</v>
      </c>
      <c r="T107" s="411">
        <v>1</v>
      </c>
      <c r="U107" s="411">
        <v>0</v>
      </c>
      <c r="V107" s="408"/>
      <c r="W107" s="446"/>
      <c r="X107" s="443">
        <v>42859</v>
      </c>
      <c r="Y107" s="444">
        <v>0.41240740740740739</v>
      </c>
    </row>
    <row r="108" spans="1:25" ht="12.75" customHeight="1">
      <c r="A108" s="445">
        <v>99</v>
      </c>
      <c r="B108" s="414" t="s">
        <v>886</v>
      </c>
      <c r="C108" s="415" t="s">
        <v>994</v>
      </c>
      <c r="D108" s="411"/>
      <c r="E108" s="411">
        <v>64</v>
      </c>
      <c r="F108" s="411" t="s">
        <v>1400</v>
      </c>
      <c r="G108" s="411" t="s">
        <v>1424</v>
      </c>
      <c r="H108" s="411">
        <v>1</v>
      </c>
      <c r="I108" s="411">
        <v>0</v>
      </c>
      <c r="J108" s="411">
        <v>0</v>
      </c>
      <c r="K108" s="411">
        <v>1</v>
      </c>
      <c r="L108" s="411">
        <v>1</v>
      </c>
      <c r="M108" s="411" t="s">
        <v>1425</v>
      </c>
      <c r="N108" s="411">
        <v>1</v>
      </c>
      <c r="O108" s="411">
        <v>1</v>
      </c>
      <c r="P108" s="411">
        <v>1</v>
      </c>
      <c r="Q108" s="411">
        <v>1</v>
      </c>
      <c r="R108" s="411">
        <v>1</v>
      </c>
      <c r="S108" s="411">
        <v>1</v>
      </c>
      <c r="T108" s="411">
        <v>1</v>
      </c>
      <c r="U108" s="411">
        <v>0</v>
      </c>
      <c r="V108" s="408"/>
      <c r="W108" s="446"/>
      <c r="X108" s="443">
        <v>42859</v>
      </c>
      <c r="Y108" s="444">
        <v>0.41265046296296298</v>
      </c>
    </row>
    <row r="109" spans="1:25" ht="12.75" customHeight="1">
      <c r="A109" s="445">
        <v>100</v>
      </c>
      <c r="B109" s="414" t="s">
        <v>886</v>
      </c>
      <c r="C109" s="415" t="s">
        <v>994</v>
      </c>
      <c r="D109" s="411"/>
      <c r="E109" s="411">
        <v>65</v>
      </c>
      <c r="F109" s="411" t="s">
        <v>1400</v>
      </c>
      <c r="G109" s="411" t="s">
        <v>1424</v>
      </c>
      <c r="H109" s="411">
        <v>1</v>
      </c>
      <c r="I109" s="411">
        <v>0</v>
      </c>
      <c r="J109" s="411">
        <v>0</v>
      </c>
      <c r="K109" s="411">
        <v>1</v>
      </c>
      <c r="L109" s="411">
        <v>1</v>
      </c>
      <c r="M109" s="411" t="s">
        <v>1425</v>
      </c>
      <c r="N109" s="411">
        <v>1</v>
      </c>
      <c r="O109" s="411">
        <v>1</v>
      </c>
      <c r="P109" s="411">
        <v>1</v>
      </c>
      <c r="Q109" s="411">
        <v>1</v>
      </c>
      <c r="R109" s="411">
        <v>1</v>
      </c>
      <c r="S109" s="411">
        <v>1</v>
      </c>
      <c r="T109" s="411">
        <v>1</v>
      </c>
      <c r="U109" s="411">
        <v>0</v>
      </c>
      <c r="V109" s="408"/>
      <c r="W109" s="446"/>
      <c r="X109" s="443">
        <v>42859</v>
      </c>
      <c r="Y109" s="444">
        <v>0.41378472222222223</v>
      </c>
    </row>
    <row r="110" spans="1:25" ht="12.75" customHeight="1">
      <c r="A110" s="445">
        <v>101</v>
      </c>
      <c r="B110" s="414" t="s">
        <v>886</v>
      </c>
      <c r="C110" s="415" t="s">
        <v>994</v>
      </c>
      <c r="D110" s="411"/>
      <c r="E110" s="411">
        <v>66</v>
      </c>
      <c r="F110" s="411" t="s">
        <v>1400</v>
      </c>
      <c r="G110" s="411" t="s">
        <v>1424</v>
      </c>
      <c r="H110" s="411">
        <v>1</v>
      </c>
      <c r="I110" s="411">
        <v>0</v>
      </c>
      <c r="J110" s="411">
        <v>0</v>
      </c>
      <c r="K110" s="411">
        <v>1</v>
      </c>
      <c r="L110" s="411">
        <v>1</v>
      </c>
      <c r="M110" s="411" t="s">
        <v>1425</v>
      </c>
      <c r="N110" s="411">
        <v>1</v>
      </c>
      <c r="O110" s="411">
        <v>1</v>
      </c>
      <c r="P110" s="411">
        <v>1</v>
      </c>
      <c r="Q110" s="411">
        <v>1</v>
      </c>
      <c r="R110" s="411">
        <v>1</v>
      </c>
      <c r="S110" s="411">
        <v>1</v>
      </c>
      <c r="T110" s="411">
        <v>1</v>
      </c>
      <c r="U110" s="411">
        <v>0</v>
      </c>
      <c r="V110" s="408"/>
      <c r="W110" s="446"/>
      <c r="X110" s="443">
        <v>42859</v>
      </c>
      <c r="Y110" s="444">
        <v>0.4138425925925926</v>
      </c>
    </row>
    <row r="111" spans="1:25" ht="12.75" customHeight="1">
      <c r="A111" s="445">
        <v>102</v>
      </c>
      <c r="B111" s="414" t="s">
        <v>886</v>
      </c>
      <c r="C111" s="415" t="s">
        <v>994</v>
      </c>
      <c r="D111" s="411"/>
      <c r="E111" s="411">
        <v>67</v>
      </c>
      <c r="F111" s="411" t="s">
        <v>1400</v>
      </c>
      <c r="G111" s="411" t="s">
        <v>1424</v>
      </c>
      <c r="H111" s="411">
        <v>1</v>
      </c>
      <c r="I111" s="411">
        <v>0</v>
      </c>
      <c r="J111" s="411">
        <v>0</v>
      </c>
      <c r="K111" s="411">
        <v>1</v>
      </c>
      <c r="L111" s="411">
        <v>1</v>
      </c>
      <c r="M111" s="411" t="s">
        <v>1425</v>
      </c>
      <c r="N111" s="411">
        <v>1</v>
      </c>
      <c r="O111" s="411">
        <v>1</v>
      </c>
      <c r="P111" s="411">
        <v>1</v>
      </c>
      <c r="Q111" s="411">
        <v>1</v>
      </c>
      <c r="R111" s="411">
        <v>1</v>
      </c>
      <c r="S111" s="411">
        <v>1</v>
      </c>
      <c r="T111" s="411">
        <v>1</v>
      </c>
      <c r="U111" s="411">
        <v>0</v>
      </c>
      <c r="V111" s="408"/>
      <c r="W111" s="446"/>
      <c r="X111" s="443">
        <v>42859</v>
      </c>
      <c r="Y111" s="444">
        <v>0.41395833333333337</v>
      </c>
    </row>
    <row r="112" spans="1:25" ht="12.75" customHeight="1">
      <c r="A112" s="445">
        <v>103</v>
      </c>
      <c r="B112" s="414" t="s">
        <v>886</v>
      </c>
      <c r="C112" s="415" t="s">
        <v>994</v>
      </c>
      <c r="D112" s="411"/>
      <c r="E112" s="411">
        <v>68</v>
      </c>
      <c r="F112" s="411" t="s">
        <v>1400</v>
      </c>
      <c r="G112" s="411" t="s">
        <v>1424</v>
      </c>
      <c r="H112" s="411">
        <v>1</v>
      </c>
      <c r="I112" s="411">
        <v>0</v>
      </c>
      <c r="J112" s="411">
        <v>0</v>
      </c>
      <c r="K112" s="411">
        <v>1</v>
      </c>
      <c r="L112" s="411">
        <v>1</v>
      </c>
      <c r="M112" s="411" t="s">
        <v>1425</v>
      </c>
      <c r="N112" s="411">
        <v>1</v>
      </c>
      <c r="O112" s="411">
        <v>1</v>
      </c>
      <c r="P112" s="411">
        <v>1</v>
      </c>
      <c r="Q112" s="411">
        <v>1</v>
      </c>
      <c r="R112" s="411">
        <v>1</v>
      </c>
      <c r="S112" s="411">
        <v>1</v>
      </c>
      <c r="T112" s="411">
        <v>1</v>
      </c>
      <c r="U112" s="411">
        <v>0</v>
      </c>
      <c r="V112" s="408"/>
      <c r="W112" s="446"/>
      <c r="X112" s="443">
        <v>42859</v>
      </c>
      <c r="Y112" s="444">
        <v>0.41400462962962964</v>
      </c>
    </row>
    <row r="113" spans="1:25" ht="12.75" customHeight="1">
      <c r="A113" s="445">
        <v>104</v>
      </c>
      <c r="B113" s="414" t="s">
        <v>886</v>
      </c>
      <c r="C113" s="415" t="s">
        <v>994</v>
      </c>
      <c r="D113" s="411"/>
      <c r="E113" s="411">
        <v>69</v>
      </c>
      <c r="F113" s="411" t="s">
        <v>1400</v>
      </c>
      <c r="G113" s="411" t="s">
        <v>1424</v>
      </c>
      <c r="H113" s="411">
        <v>1</v>
      </c>
      <c r="I113" s="411">
        <v>0</v>
      </c>
      <c r="J113" s="411">
        <v>0</v>
      </c>
      <c r="K113" s="411">
        <v>1</v>
      </c>
      <c r="L113" s="411">
        <v>1</v>
      </c>
      <c r="M113" s="411" t="s">
        <v>1425</v>
      </c>
      <c r="N113" s="411">
        <v>1</v>
      </c>
      <c r="O113" s="411">
        <v>1</v>
      </c>
      <c r="P113" s="411">
        <v>1</v>
      </c>
      <c r="Q113" s="411">
        <v>1</v>
      </c>
      <c r="R113" s="411">
        <v>1</v>
      </c>
      <c r="S113" s="411">
        <v>1</v>
      </c>
      <c r="T113" s="411">
        <v>1</v>
      </c>
      <c r="U113" s="411">
        <v>0</v>
      </c>
      <c r="V113" s="408"/>
      <c r="W113" s="446"/>
      <c r="X113" s="443">
        <v>42859</v>
      </c>
      <c r="Y113" s="444">
        <v>0.41421296296296295</v>
      </c>
    </row>
    <row r="114" spans="1:25" ht="12.75" customHeight="1">
      <c r="A114" s="445">
        <v>105</v>
      </c>
      <c r="B114" s="414" t="s">
        <v>886</v>
      </c>
      <c r="C114" s="415" t="s">
        <v>994</v>
      </c>
      <c r="D114" s="411"/>
      <c r="E114" s="411">
        <v>70</v>
      </c>
      <c r="F114" s="411" t="s">
        <v>1400</v>
      </c>
      <c r="G114" s="411" t="s">
        <v>1424</v>
      </c>
      <c r="H114" s="411">
        <v>1</v>
      </c>
      <c r="I114" s="411">
        <v>0</v>
      </c>
      <c r="J114" s="411">
        <v>0</v>
      </c>
      <c r="K114" s="411">
        <v>1</v>
      </c>
      <c r="L114" s="411">
        <v>1</v>
      </c>
      <c r="M114" s="411" t="s">
        <v>1425</v>
      </c>
      <c r="N114" s="411">
        <v>1</v>
      </c>
      <c r="O114" s="411">
        <v>1</v>
      </c>
      <c r="P114" s="411">
        <v>1</v>
      </c>
      <c r="Q114" s="411">
        <v>1</v>
      </c>
      <c r="R114" s="411">
        <v>1</v>
      </c>
      <c r="S114" s="411">
        <v>1</v>
      </c>
      <c r="T114" s="411">
        <v>1</v>
      </c>
      <c r="U114" s="411">
        <v>0</v>
      </c>
      <c r="V114" s="408"/>
      <c r="W114" s="446"/>
      <c r="X114" s="443">
        <v>42859</v>
      </c>
      <c r="Y114" s="444">
        <v>0.41440972222222222</v>
      </c>
    </row>
    <row r="115" spans="1:25" ht="12.75" customHeight="1">
      <c r="A115" s="445">
        <v>106</v>
      </c>
      <c r="B115" s="414" t="s">
        <v>886</v>
      </c>
      <c r="C115" s="415" t="s">
        <v>994</v>
      </c>
      <c r="D115" s="411"/>
      <c r="E115" s="411">
        <v>71</v>
      </c>
      <c r="F115" s="411" t="s">
        <v>1400</v>
      </c>
      <c r="G115" s="411" t="s">
        <v>1424</v>
      </c>
      <c r="H115" s="411">
        <v>1</v>
      </c>
      <c r="I115" s="411">
        <v>0</v>
      </c>
      <c r="J115" s="411">
        <v>0</v>
      </c>
      <c r="K115" s="411">
        <v>1</v>
      </c>
      <c r="L115" s="411">
        <v>1</v>
      </c>
      <c r="M115" s="411" t="s">
        <v>1425</v>
      </c>
      <c r="N115" s="411">
        <v>1</v>
      </c>
      <c r="O115" s="411">
        <v>1</v>
      </c>
      <c r="P115" s="411">
        <v>1</v>
      </c>
      <c r="Q115" s="411">
        <v>1</v>
      </c>
      <c r="R115" s="411">
        <v>1</v>
      </c>
      <c r="S115" s="411">
        <v>1</v>
      </c>
      <c r="T115" s="411">
        <v>1</v>
      </c>
      <c r="U115" s="411">
        <v>0</v>
      </c>
      <c r="V115" s="408"/>
      <c r="W115" s="446"/>
      <c r="X115" s="443">
        <v>42859</v>
      </c>
      <c r="Y115" s="444">
        <v>0.41545138888888888</v>
      </c>
    </row>
    <row r="116" spans="1:25" ht="12.75" customHeight="1">
      <c r="A116" s="445">
        <v>107</v>
      </c>
      <c r="B116" s="414" t="s">
        <v>886</v>
      </c>
      <c r="C116" s="415" t="s">
        <v>994</v>
      </c>
      <c r="D116" s="411"/>
      <c r="E116" s="411">
        <v>72</v>
      </c>
      <c r="F116" s="411" t="s">
        <v>1400</v>
      </c>
      <c r="G116" s="411" t="s">
        <v>1424</v>
      </c>
      <c r="H116" s="411">
        <v>1</v>
      </c>
      <c r="I116" s="411">
        <v>0</v>
      </c>
      <c r="J116" s="411">
        <v>0</v>
      </c>
      <c r="K116" s="411">
        <v>1</v>
      </c>
      <c r="L116" s="411">
        <v>1</v>
      </c>
      <c r="M116" s="411" t="s">
        <v>1425</v>
      </c>
      <c r="N116" s="411">
        <v>1</v>
      </c>
      <c r="O116" s="411">
        <v>1</v>
      </c>
      <c r="P116" s="411">
        <v>1</v>
      </c>
      <c r="Q116" s="411">
        <v>1</v>
      </c>
      <c r="R116" s="411">
        <v>1</v>
      </c>
      <c r="S116" s="411">
        <v>1</v>
      </c>
      <c r="T116" s="411">
        <v>1</v>
      </c>
      <c r="U116" s="411">
        <v>0</v>
      </c>
      <c r="V116" s="408"/>
      <c r="W116" s="446"/>
      <c r="X116" s="443">
        <v>42859</v>
      </c>
      <c r="Y116" s="444">
        <v>0.41567129629629629</v>
      </c>
    </row>
    <row r="117" spans="1:25" ht="12.75" customHeight="1">
      <c r="A117" s="445">
        <v>108</v>
      </c>
      <c r="B117" s="414" t="s">
        <v>886</v>
      </c>
      <c r="C117" s="415" t="s">
        <v>994</v>
      </c>
      <c r="D117" s="411"/>
      <c r="E117" s="411">
        <v>73</v>
      </c>
      <c r="F117" s="411" t="s">
        <v>1400</v>
      </c>
      <c r="G117" s="411" t="s">
        <v>1424</v>
      </c>
      <c r="H117" s="411">
        <v>1</v>
      </c>
      <c r="I117" s="411">
        <v>0</v>
      </c>
      <c r="J117" s="411">
        <v>0</v>
      </c>
      <c r="K117" s="411">
        <v>1</v>
      </c>
      <c r="L117" s="411">
        <v>1</v>
      </c>
      <c r="M117" s="411" t="s">
        <v>1425</v>
      </c>
      <c r="N117" s="411">
        <v>1</v>
      </c>
      <c r="O117" s="411">
        <v>1</v>
      </c>
      <c r="P117" s="411">
        <v>1</v>
      </c>
      <c r="Q117" s="411">
        <v>1</v>
      </c>
      <c r="R117" s="411">
        <v>1</v>
      </c>
      <c r="S117" s="411">
        <v>1</v>
      </c>
      <c r="T117" s="411">
        <v>1</v>
      </c>
      <c r="U117" s="411">
        <v>0</v>
      </c>
      <c r="V117" s="408"/>
      <c r="W117" s="446"/>
      <c r="X117" s="443">
        <v>42859</v>
      </c>
      <c r="Y117" s="444">
        <v>0.41585648148148152</v>
      </c>
    </row>
    <row r="118" spans="1:25" ht="12.75" customHeight="1">
      <c r="A118" s="445">
        <v>109</v>
      </c>
      <c r="B118" s="414" t="s">
        <v>886</v>
      </c>
      <c r="C118" s="415" t="s">
        <v>994</v>
      </c>
      <c r="D118" s="411"/>
      <c r="E118" s="411">
        <v>74</v>
      </c>
      <c r="F118" s="411" t="s">
        <v>1400</v>
      </c>
      <c r="G118" s="411" t="s">
        <v>1424</v>
      </c>
      <c r="H118" s="411">
        <v>1</v>
      </c>
      <c r="I118" s="411">
        <v>0</v>
      </c>
      <c r="J118" s="411">
        <v>0</v>
      </c>
      <c r="K118" s="411">
        <v>1</v>
      </c>
      <c r="L118" s="411">
        <v>1</v>
      </c>
      <c r="M118" s="411" t="s">
        <v>1425</v>
      </c>
      <c r="N118" s="411">
        <v>1</v>
      </c>
      <c r="O118" s="411">
        <v>1</v>
      </c>
      <c r="P118" s="411">
        <v>1</v>
      </c>
      <c r="Q118" s="411">
        <v>1</v>
      </c>
      <c r="R118" s="411">
        <v>1</v>
      </c>
      <c r="S118" s="411">
        <v>1</v>
      </c>
      <c r="T118" s="411">
        <v>1</v>
      </c>
      <c r="U118" s="411">
        <v>0</v>
      </c>
      <c r="V118" s="408"/>
      <c r="W118" s="446"/>
      <c r="X118" s="443">
        <v>42859</v>
      </c>
      <c r="Y118" s="444">
        <v>0.41594907407407411</v>
      </c>
    </row>
    <row r="119" spans="1:25" ht="12.75" customHeight="1">
      <c r="A119" s="445">
        <v>110</v>
      </c>
      <c r="B119" s="414" t="s">
        <v>893</v>
      </c>
      <c r="C119" s="415" t="s">
        <v>1019</v>
      </c>
      <c r="D119" s="411"/>
      <c r="E119" s="411">
        <v>1</v>
      </c>
      <c r="F119" s="411" t="s">
        <v>1399</v>
      </c>
      <c r="G119" s="411" t="s">
        <v>1424</v>
      </c>
      <c r="H119" s="411">
        <v>1</v>
      </c>
      <c r="I119" s="411">
        <v>0</v>
      </c>
      <c r="J119" s="411">
        <v>0</v>
      </c>
      <c r="K119" s="411">
        <v>1</v>
      </c>
      <c r="L119" s="411">
        <v>1</v>
      </c>
      <c r="M119" s="411" t="s">
        <v>1425</v>
      </c>
      <c r="N119" s="411">
        <v>1</v>
      </c>
      <c r="O119" s="411">
        <v>1</v>
      </c>
      <c r="P119" s="411">
        <v>1</v>
      </c>
      <c r="Q119" s="411">
        <v>1</v>
      </c>
      <c r="R119" s="411">
        <v>1</v>
      </c>
      <c r="S119" s="411">
        <v>1</v>
      </c>
      <c r="T119" s="411">
        <v>1</v>
      </c>
      <c r="U119" s="411">
        <v>0</v>
      </c>
      <c r="V119" s="408"/>
      <c r="W119" s="446"/>
      <c r="X119" s="443">
        <v>42859</v>
      </c>
      <c r="Y119" s="444">
        <v>0.41600694444444447</v>
      </c>
    </row>
    <row r="120" spans="1:25" ht="12.75" customHeight="1">
      <c r="A120" s="445">
        <v>111</v>
      </c>
      <c r="B120" s="414" t="s">
        <v>893</v>
      </c>
      <c r="C120" s="415" t="s">
        <v>1019</v>
      </c>
      <c r="D120" s="411"/>
      <c r="E120" s="411">
        <v>2</v>
      </c>
      <c r="F120" s="411" t="s">
        <v>1399</v>
      </c>
      <c r="G120" s="411" t="s">
        <v>1424</v>
      </c>
      <c r="H120" s="411">
        <v>1</v>
      </c>
      <c r="I120" s="411">
        <v>0</v>
      </c>
      <c r="J120" s="411">
        <v>0</v>
      </c>
      <c r="K120" s="411">
        <v>1</v>
      </c>
      <c r="L120" s="411">
        <v>1</v>
      </c>
      <c r="M120" s="411" t="s">
        <v>1425</v>
      </c>
      <c r="N120" s="411">
        <v>1</v>
      </c>
      <c r="O120" s="411">
        <v>1</v>
      </c>
      <c r="P120" s="411">
        <v>1</v>
      </c>
      <c r="Q120" s="411">
        <v>1</v>
      </c>
      <c r="R120" s="411">
        <v>1</v>
      </c>
      <c r="S120" s="411">
        <v>1</v>
      </c>
      <c r="T120" s="411">
        <v>1</v>
      </c>
      <c r="U120" s="411">
        <v>0</v>
      </c>
      <c r="V120" s="408"/>
      <c r="W120" s="446"/>
      <c r="X120" s="443">
        <v>42859</v>
      </c>
      <c r="Y120" s="444">
        <v>0.41606481481481478</v>
      </c>
    </row>
    <row r="121" spans="1:25" ht="12.75" customHeight="1">
      <c r="A121" s="445">
        <v>112</v>
      </c>
      <c r="B121" s="414" t="s">
        <v>893</v>
      </c>
      <c r="C121" s="415" t="s">
        <v>1019</v>
      </c>
      <c r="D121" s="411"/>
      <c r="E121" s="411">
        <v>3</v>
      </c>
      <c r="F121" s="411" t="s">
        <v>1399</v>
      </c>
      <c r="G121" s="411" t="s">
        <v>1424</v>
      </c>
      <c r="H121" s="411">
        <v>1</v>
      </c>
      <c r="I121" s="411">
        <v>0</v>
      </c>
      <c r="J121" s="411">
        <v>0</v>
      </c>
      <c r="K121" s="411">
        <v>1</v>
      </c>
      <c r="L121" s="411">
        <v>1</v>
      </c>
      <c r="M121" s="411" t="s">
        <v>1425</v>
      </c>
      <c r="N121" s="411">
        <v>1</v>
      </c>
      <c r="O121" s="411">
        <v>1</v>
      </c>
      <c r="P121" s="411">
        <v>1</v>
      </c>
      <c r="Q121" s="411">
        <v>1</v>
      </c>
      <c r="R121" s="411">
        <v>1</v>
      </c>
      <c r="S121" s="411">
        <v>1</v>
      </c>
      <c r="T121" s="411">
        <v>1</v>
      </c>
      <c r="U121" s="411">
        <v>0</v>
      </c>
      <c r="V121" s="408"/>
      <c r="W121" s="446"/>
      <c r="X121" s="443">
        <v>42859</v>
      </c>
      <c r="Y121" s="444">
        <v>0.41832175925925924</v>
      </c>
    </row>
    <row r="122" spans="1:25" ht="12.75" customHeight="1">
      <c r="A122" s="445">
        <v>113</v>
      </c>
      <c r="B122" s="414" t="s">
        <v>893</v>
      </c>
      <c r="C122" s="415" t="s">
        <v>1019</v>
      </c>
      <c r="D122" s="411"/>
      <c r="E122" s="411">
        <v>4</v>
      </c>
      <c r="F122" s="411" t="s">
        <v>1399</v>
      </c>
      <c r="G122" s="411" t="s">
        <v>1424</v>
      </c>
      <c r="H122" s="411">
        <v>1</v>
      </c>
      <c r="I122" s="411">
        <v>0</v>
      </c>
      <c r="J122" s="411">
        <v>0</v>
      </c>
      <c r="K122" s="411">
        <v>1</v>
      </c>
      <c r="L122" s="411">
        <v>1</v>
      </c>
      <c r="M122" s="411" t="s">
        <v>1425</v>
      </c>
      <c r="N122" s="411">
        <v>1</v>
      </c>
      <c r="O122" s="411">
        <v>1</v>
      </c>
      <c r="P122" s="411">
        <v>1</v>
      </c>
      <c r="Q122" s="411">
        <v>1</v>
      </c>
      <c r="R122" s="411">
        <v>1</v>
      </c>
      <c r="S122" s="411">
        <v>1</v>
      </c>
      <c r="T122" s="411">
        <v>1</v>
      </c>
      <c r="U122" s="411">
        <v>0</v>
      </c>
      <c r="V122" s="408"/>
      <c r="W122" s="446"/>
      <c r="X122" s="443">
        <v>42859</v>
      </c>
      <c r="Y122" s="444">
        <v>0.41870370370370374</v>
      </c>
    </row>
    <row r="123" spans="1:25" ht="12.75" customHeight="1">
      <c r="A123" s="445">
        <v>114</v>
      </c>
      <c r="B123" s="414" t="s">
        <v>893</v>
      </c>
      <c r="C123" s="415" t="s">
        <v>1019</v>
      </c>
      <c r="D123" s="411"/>
      <c r="E123" s="411">
        <v>5</v>
      </c>
      <c r="F123" s="411" t="s">
        <v>1399</v>
      </c>
      <c r="G123" s="411" t="s">
        <v>1424</v>
      </c>
      <c r="H123" s="411">
        <v>1</v>
      </c>
      <c r="I123" s="411">
        <v>0</v>
      </c>
      <c r="J123" s="411">
        <v>0</v>
      </c>
      <c r="K123" s="411">
        <v>1</v>
      </c>
      <c r="L123" s="411">
        <v>1</v>
      </c>
      <c r="M123" s="411" t="s">
        <v>1425</v>
      </c>
      <c r="N123" s="411">
        <v>1</v>
      </c>
      <c r="O123" s="411">
        <v>1</v>
      </c>
      <c r="P123" s="411">
        <v>1</v>
      </c>
      <c r="Q123" s="411">
        <v>1</v>
      </c>
      <c r="R123" s="411">
        <v>1</v>
      </c>
      <c r="S123" s="411">
        <v>1</v>
      </c>
      <c r="T123" s="411">
        <v>1</v>
      </c>
      <c r="U123" s="411">
        <v>0</v>
      </c>
      <c r="V123" s="408"/>
      <c r="W123" s="446"/>
      <c r="X123" s="443">
        <v>42859</v>
      </c>
      <c r="Y123" s="444">
        <v>0.41975694444444445</v>
      </c>
    </row>
    <row r="124" spans="1:25" ht="12.75" customHeight="1">
      <c r="A124" s="445">
        <v>115</v>
      </c>
      <c r="B124" s="414" t="s">
        <v>893</v>
      </c>
      <c r="C124" s="415" t="s">
        <v>1019</v>
      </c>
      <c r="D124" s="411"/>
      <c r="E124" s="411">
        <v>6</v>
      </c>
      <c r="F124" s="411" t="s">
        <v>1399</v>
      </c>
      <c r="G124" s="411" t="s">
        <v>1424</v>
      </c>
      <c r="H124" s="411">
        <v>1</v>
      </c>
      <c r="I124" s="411">
        <v>0</v>
      </c>
      <c r="J124" s="411">
        <v>0</v>
      </c>
      <c r="K124" s="411">
        <v>1</v>
      </c>
      <c r="L124" s="411">
        <v>1</v>
      </c>
      <c r="M124" s="411" t="s">
        <v>1425</v>
      </c>
      <c r="N124" s="411">
        <v>1</v>
      </c>
      <c r="O124" s="411">
        <v>1</v>
      </c>
      <c r="P124" s="411">
        <v>1</v>
      </c>
      <c r="Q124" s="411">
        <v>1</v>
      </c>
      <c r="R124" s="411">
        <v>1</v>
      </c>
      <c r="S124" s="411">
        <v>1</v>
      </c>
      <c r="T124" s="411">
        <v>1</v>
      </c>
      <c r="U124" s="411">
        <v>0</v>
      </c>
      <c r="V124" s="408"/>
      <c r="W124" s="446"/>
      <c r="X124" s="443">
        <v>42859</v>
      </c>
      <c r="Y124" s="444">
        <v>0.41991898148148149</v>
      </c>
    </row>
    <row r="125" spans="1:25" ht="12.75" customHeight="1">
      <c r="A125" s="445">
        <v>116</v>
      </c>
      <c r="B125" s="414" t="s">
        <v>893</v>
      </c>
      <c r="C125" s="415" t="s">
        <v>1019</v>
      </c>
      <c r="D125" s="411"/>
      <c r="E125" s="411">
        <v>7</v>
      </c>
      <c r="F125" s="411" t="s">
        <v>1399</v>
      </c>
      <c r="G125" s="411" t="s">
        <v>1424</v>
      </c>
      <c r="H125" s="411">
        <v>1</v>
      </c>
      <c r="I125" s="411">
        <v>0</v>
      </c>
      <c r="J125" s="411">
        <v>0</v>
      </c>
      <c r="K125" s="411">
        <v>1</v>
      </c>
      <c r="L125" s="411">
        <v>1</v>
      </c>
      <c r="M125" s="411" t="s">
        <v>1425</v>
      </c>
      <c r="N125" s="411">
        <v>1</v>
      </c>
      <c r="O125" s="411">
        <v>1</v>
      </c>
      <c r="P125" s="411">
        <v>1</v>
      </c>
      <c r="Q125" s="411">
        <v>1</v>
      </c>
      <c r="R125" s="411">
        <v>1</v>
      </c>
      <c r="S125" s="411">
        <v>1</v>
      </c>
      <c r="T125" s="411">
        <v>1</v>
      </c>
      <c r="U125" s="411">
        <v>0</v>
      </c>
      <c r="V125" s="408"/>
      <c r="W125" s="446"/>
      <c r="X125" s="443">
        <v>42859</v>
      </c>
      <c r="Y125" s="444">
        <v>0.42005787037037035</v>
      </c>
    </row>
    <row r="126" spans="1:25" ht="12.75" customHeight="1">
      <c r="A126" s="445">
        <v>117</v>
      </c>
      <c r="B126" s="414" t="s">
        <v>893</v>
      </c>
      <c r="C126" s="415" t="s">
        <v>1019</v>
      </c>
      <c r="D126" s="411"/>
      <c r="E126" s="411">
        <v>8</v>
      </c>
      <c r="F126" s="411" t="s">
        <v>1399</v>
      </c>
      <c r="G126" s="411" t="s">
        <v>1424</v>
      </c>
      <c r="H126" s="411">
        <v>1</v>
      </c>
      <c r="I126" s="411">
        <v>0</v>
      </c>
      <c r="J126" s="411">
        <v>0</v>
      </c>
      <c r="K126" s="411">
        <v>1</v>
      </c>
      <c r="L126" s="411">
        <v>1</v>
      </c>
      <c r="M126" s="411" t="s">
        <v>1425</v>
      </c>
      <c r="N126" s="411">
        <v>1</v>
      </c>
      <c r="O126" s="411">
        <v>1</v>
      </c>
      <c r="P126" s="411">
        <v>1</v>
      </c>
      <c r="Q126" s="411">
        <v>1</v>
      </c>
      <c r="R126" s="411">
        <v>1</v>
      </c>
      <c r="S126" s="411">
        <v>1</v>
      </c>
      <c r="T126" s="411">
        <v>1</v>
      </c>
      <c r="U126" s="411">
        <v>0</v>
      </c>
      <c r="V126" s="408"/>
      <c r="W126" s="446"/>
      <c r="X126" s="443">
        <v>42859</v>
      </c>
      <c r="Y126" s="444">
        <v>0.42011574074074076</v>
      </c>
    </row>
    <row r="127" spans="1:25" ht="12.75" customHeight="1">
      <c r="A127" s="445">
        <v>118</v>
      </c>
      <c r="B127" s="414" t="s">
        <v>893</v>
      </c>
      <c r="C127" s="415" t="s">
        <v>1019</v>
      </c>
      <c r="D127" s="411"/>
      <c r="E127" s="411">
        <v>9</v>
      </c>
      <c r="F127" s="411" t="s">
        <v>1399</v>
      </c>
      <c r="G127" s="411" t="s">
        <v>1424</v>
      </c>
      <c r="H127" s="411">
        <v>1</v>
      </c>
      <c r="I127" s="411">
        <v>0</v>
      </c>
      <c r="J127" s="411">
        <v>0</v>
      </c>
      <c r="K127" s="411">
        <v>1</v>
      </c>
      <c r="L127" s="411">
        <v>1</v>
      </c>
      <c r="M127" s="411" t="s">
        <v>1425</v>
      </c>
      <c r="N127" s="411">
        <v>1</v>
      </c>
      <c r="O127" s="411">
        <v>1</v>
      </c>
      <c r="P127" s="411">
        <v>1</v>
      </c>
      <c r="Q127" s="411">
        <v>1</v>
      </c>
      <c r="R127" s="411">
        <v>1</v>
      </c>
      <c r="S127" s="411">
        <v>1</v>
      </c>
      <c r="T127" s="411">
        <v>1</v>
      </c>
      <c r="U127" s="411">
        <v>0</v>
      </c>
      <c r="V127" s="408"/>
      <c r="W127" s="446"/>
      <c r="X127" s="443">
        <v>42859</v>
      </c>
      <c r="Y127" s="444">
        <v>0.42021990740740739</v>
      </c>
    </row>
    <row r="128" spans="1:25" ht="12.75" customHeight="1">
      <c r="A128" s="445">
        <v>119</v>
      </c>
      <c r="B128" s="414" t="s">
        <v>893</v>
      </c>
      <c r="C128" s="415" t="s">
        <v>1019</v>
      </c>
      <c r="D128" s="411"/>
      <c r="E128" s="411">
        <v>10</v>
      </c>
      <c r="F128" s="411" t="s">
        <v>1399</v>
      </c>
      <c r="G128" s="411" t="s">
        <v>1424</v>
      </c>
      <c r="H128" s="411">
        <v>1</v>
      </c>
      <c r="I128" s="411">
        <v>0</v>
      </c>
      <c r="J128" s="411">
        <v>0</v>
      </c>
      <c r="K128" s="411">
        <v>1</v>
      </c>
      <c r="L128" s="411">
        <v>1</v>
      </c>
      <c r="M128" s="411" t="s">
        <v>1425</v>
      </c>
      <c r="N128" s="411">
        <v>1</v>
      </c>
      <c r="O128" s="411">
        <v>1</v>
      </c>
      <c r="P128" s="411">
        <v>1</v>
      </c>
      <c r="Q128" s="411">
        <v>1</v>
      </c>
      <c r="R128" s="411">
        <v>1</v>
      </c>
      <c r="S128" s="411">
        <v>1</v>
      </c>
      <c r="T128" s="411">
        <v>1</v>
      </c>
      <c r="U128" s="411">
        <v>0</v>
      </c>
      <c r="V128" s="408"/>
      <c r="W128" s="446"/>
      <c r="X128" s="443">
        <v>42859</v>
      </c>
      <c r="Y128" s="444">
        <v>0.42027777777777775</v>
      </c>
    </row>
    <row r="129" spans="1:25" ht="12.75" customHeight="1">
      <c r="A129" s="445">
        <v>120</v>
      </c>
      <c r="B129" s="414" t="s">
        <v>893</v>
      </c>
      <c r="C129" s="415" t="s">
        <v>1019</v>
      </c>
      <c r="D129" s="411"/>
      <c r="E129" s="411">
        <v>11</v>
      </c>
      <c r="F129" s="411" t="s">
        <v>1399</v>
      </c>
      <c r="G129" s="411" t="s">
        <v>1424</v>
      </c>
      <c r="H129" s="411">
        <v>1</v>
      </c>
      <c r="I129" s="411">
        <v>0</v>
      </c>
      <c r="J129" s="411">
        <v>0</v>
      </c>
      <c r="K129" s="411">
        <v>1</v>
      </c>
      <c r="L129" s="411">
        <v>1</v>
      </c>
      <c r="M129" s="411" t="s">
        <v>1425</v>
      </c>
      <c r="N129" s="411">
        <v>1</v>
      </c>
      <c r="O129" s="411">
        <v>1</v>
      </c>
      <c r="P129" s="411">
        <v>1</v>
      </c>
      <c r="Q129" s="411">
        <v>1</v>
      </c>
      <c r="R129" s="411">
        <v>1</v>
      </c>
      <c r="S129" s="411">
        <v>1</v>
      </c>
      <c r="T129" s="411">
        <v>1</v>
      </c>
      <c r="U129" s="411">
        <v>0</v>
      </c>
      <c r="V129" s="408"/>
      <c r="W129" s="446"/>
      <c r="X129" s="443">
        <v>42859</v>
      </c>
      <c r="Y129" s="444">
        <v>0.42138888888888887</v>
      </c>
    </row>
    <row r="130" spans="1:25" ht="12.75" customHeight="1">
      <c r="A130" s="445">
        <v>121</v>
      </c>
      <c r="B130" s="414" t="s">
        <v>893</v>
      </c>
      <c r="C130" s="415" t="s">
        <v>1019</v>
      </c>
      <c r="D130" s="411"/>
      <c r="E130" s="411">
        <v>12</v>
      </c>
      <c r="F130" s="411" t="s">
        <v>1399</v>
      </c>
      <c r="G130" s="411" t="s">
        <v>1424</v>
      </c>
      <c r="H130" s="411">
        <v>1</v>
      </c>
      <c r="I130" s="411">
        <v>0</v>
      </c>
      <c r="J130" s="411">
        <v>0</v>
      </c>
      <c r="K130" s="411">
        <v>1</v>
      </c>
      <c r="L130" s="411">
        <v>1</v>
      </c>
      <c r="M130" s="411" t="s">
        <v>1425</v>
      </c>
      <c r="N130" s="411">
        <v>1</v>
      </c>
      <c r="O130" s="411">
        <v>1</v>
      </c>
      <c r="P130" s="411">
        <v>1</v>
      </c>
      <c r="Q130" s="411">
        <v>1</v>
      </c>
      <c r="R130" s="411">
        <v>1</v>
      </c>
      <c r="S130" s="411">
        <v>1</v>
      </c>
      <c r="T130" s="411">
        <v>1</v>
      </c>
      <c r="U130" s="411">
        <v>0</v>
      </c>
      <c r="V130" s="408"/>
      <c r="W130" s="446"/>
      <c r="X130" s="443">
        <v>42859</v>
      </c>
      <c r="Y130" s="444">
        <v>0.42145833333333332</v>
      </c>
    </row>
    <row r="131" spans="1:25" ht="12.75" customHeight="1">
      <c r="A131" s="445">
        <v>122</v>
      </c>
      <c r="B131" s="414" t="s">
        <v>893</v>
      </c>
      <c r="C131" s="415" t="s">
        <v>1019</v>
      </c>
      <c r="D131" s="411"/>
      <c r="E131" s="411">
        <v>13</v>
      </c>
      <c r="F131" s="411" t="s">
        <v>1399</v>
      </c>
      <c r="G131" s="411" t="s">
        <v>1424</v>
      </c>
      <c r="H131" s="411">
        <v>1</v>
      </c>
      <c r="I131" s="411">
        <v>0</v>
      </c>
      <c r="J131" s="411">
        <v>0</v>
      </c>
      <c r="K131" s="411">
        <v>1</v>
      </c>
      <c r="L131" s="411">
        <v>1</v>
      </c>
      <c r="M131" s="411" t="s">
        <v>1425</v>
      </c>
      <c r="N131" s="411">
        <v>1</v>
      </c>
      <c r="O131" s="411">
        <v>1</v>
      </c>
      <c r="P131" s="411">
        <v>1</v>
      </c>
      <c r="Q131" s="411">
        <v>1</v>
      </c>
      <c r="R131" s="411">
        <v>1</v>
      </c>
      <c r="S131" s="411">
        <v>1</v>
      </c>
      <c r="T131" s="411">
        <v>1</v>
      </c>
      <c r="U131" s="411">
        <v>0</v>
      </c>
      <c r="V131" s="408"/>
      <c r="W131" s="446"/>
      <c r="X131" s="443">
        <v>42859</v>
      </c>
      <c r="Y131" s="444">
        <v>0.42149305555555555</v>
      </c>
    </row>
    <row r="132" spans="1:25" ht="12.75" customHeight="1">
      <c r="A132" s="445">
        <v>123</v>
      </c>
      <c r="B132" s="414" t="s">
        <v>893</v>
      </c>
      <c r="C132" s="415" t="s">
        <v>1019</v>
      </c>
      <c r="D132" s="411"/>
      <c r="E132" s="411">
        <v>14</v>
      </c>
      <c r="F132" s="411" t="s">
        <v>1399</v>
      </c>
      <c r="G132" s="411" t="s">
        <v>1424</v>
      </c>
      <c r="H132" s="411">
        <v>1</v>
      </c>
      <c r="I132" s="411">
        <v>0</v>
      </c>
      <c r="J132" s="411">
        <v>0</v>
      </c>
      <c r="K132" s="411">
        <v>1</v>
      </c>
      <c r="L132" s="411">
        <v>1</v>
      </c>
      <c r="M132" s="411" t="s">
        <v>1425</v>
      </c>
      <c r="N132" s="411">
        <v>1</v>
      </c>
      <c r="O132" s="411">
        <v>1</v>
      </c>
      <c r="P132" s="411">
        <v>1</v>
      </c>
      <c r="Q132" s="411">
        <v>1</v>
      </c>
      <c r="R132" s="411">
        <v>1</v>
      </c>
      <c r="S132" s="411">
        <v>1</v>
      </c>
      <c r="T132" s="411">
        <v>1</v>
      </c>
      <c r="U132" s="411">
        <v>0</v>
      </c>
      <c r="V132" s="408"/>
      <c r="W132" s="446"/>
      <c r="X132" s="443">
        <v>42859</v>
      </c>
      <c r="Y132" s="444">
        <v>0.42153935185185182</v>
      </c>
    </row>
    <row r="133" spans="1:25" ht="12.75" customHeight="1">
      <c r="A133" s="445">
        <v>124</v>
      </c>
      <c r="B133" s="414" t="s">
        <v>893</v>
      </c>
      <c r="C133" s="415" t="s">
        <v>1019</v>
      </c>
      <c r="D133" s="411"/>
      <c r="E133" s="411">
        <v>15</v>
      </c>
      <c r="F133" s="411" t="s">
        <v>1399</v>
      </c>
      <c r="G133" s="411" t="s">
        <v>1424</v>
      </c>
      <c r="H133" s="411">
        <v>1</v>
      </c>
      <c r="I133" s="411">
        <v>0</v>
      </c>
      <c r="J133" s="411">
        <v>0</v>
      </c>
      <c r="K133" s="411">
        <v>1</v>
      </c>
      <c r="L133" s="411">
        <v>1</v>
      </c>
      <c r="M133" s="411" t="s">
        <v>1425</v>
      </c>
      <c r="N133" s="411">
        <v>1</v>
      </c>
      <c r="O133" s="411">
        <v>1</v>
      </c>
      <c r="P133" s="411">
        <v>1</v>
      </c>
      <c r="Q133" s="411">
        <v>1</v>
      </c>
      <c r="R133" s="411">
        <v>1</v>
      </c>
      <c r="S133" s="411">
        <v>1</v>
      </c>
      <c r="T133" s="411">
        <v>1</v>
      </c>
      <c r="U133" s="411">
        <v>0</v>
      </c>
      <c r="V133" s="408"/>
      <c r="W133" s="446"/>
      <c r="X133" s="443">
        <v>42859</v>
      </c>
      <c r="Y133" s="444">
        <v>0.4215740740740741</v>
      </c>
    </row>
    <row r="134" spans="1:25" ht="12.75" customHeight="1">
      <c r="A134" s="445">
        <v>125</v>
      </c>
      <c r="B134" s="414" t="s">
        <v>893</v>
      </c>
      <c r="C134" s="415" t="s">
        <v>1019</v>
      </c>
      <c r="D134" s="411"/>
      <c r="E134" s="411">
        <v>16</v>
      </c>
      <c r="F134" s="411" t="s">
        <v>1399</v>
      </c>
      <c r="G134" s="411" t="s">
        <v>1424</v>
      </c>
      <c r="H134" s="411">
        <v>1</v>
      </c>
      <c r="I134" s="411">
        <v>0</v>
      </c>
      <c r="J134" s="411">
        <v>0</v>
      </c>
      <c r="K134" s="411">
        <v>1</v>
      </c>
      <c r="L134" s="411">
        <v>1</v>
      </c>
      <c r="M134" s="411" t="s">
        <v>1425</v>
      </c>
      <c r="N134" s="411">
        <v>1</v>
      </c>
      <c r="O134" s="411">
        <v>1</v>
      </c>
      <c r="P134" s="411">
        <v>1</v>
      </c>
      <c r="Q134" s="411">
        <v>1</v>
      </c>
      <c r="R134" s="411">
        <v>1</v>
      </c>
      <c r="S134" s="411">
        <v>1</v>
      </c>
      <c r="T134" s="411">
        <v>1</v>
      </c>
      <c r="U134" s="411">
        <v>0</v>
      </c>
      <c r="V134" s="408"/>
      <c r="W134" s="446"/>
      <c r="X134" s="443">
        <v>42859</v>
      </c>
      <c r="Y134" s="444">
        <v>0.42349537037037038</v>
      </c>
    </row>
    <row r="135" spans="1:25" ht="12.75" customHeight="1">
      <c r="A135" s="445">
        <v>126</v>
      </c>
      <c r="B135" s="414" t="s">
        <v>893</v>
      </c>
      <c r="C135" s="415" t="s">
        <v>1019</v>
      </c>
      <c r="D135" s="411"/>
      <c r="E135" s="411">
        <v>17</v>
      </c>
      <c r="F135" s="411" t="s">
        <v>1399</v>
      </c>
      <c r="G135" s="411" t="s">
        <v>1424</v>
      </c>
      <c r="H135" s="411">
        <v>1</v>
      </c>
      <c r="I135" s="411">
        <v>0</v>
      </c>
      <c r="J135" s="411">
        <v>0</v>
      </c>
      <c r="K135" s="411">
        <v>1</v>
      </c>
      <c r="L135" s="411">
        <v>1</v>
      </c>
      <c r="M135" s="411" t="s">
        <v>1425</v>
      </c>
      <c r="N135" s="411">
        <v>1</v>
      </c>
      <c r="O135" s="411">
        <v>1</v>
      </c>
      <c r="P135" s="411">
        <v>1</v>
      </c>
      <c r="Q135" s="411">
        <v>1</v>
      </c>
      <c r="R135" s="411">
        <v>1</v>
      </c>
      <c r="S135" s="411">
        <v>1</v>
      </c>
      <c r="T135" s="411">
        <v>1</v>
      </c>
      <c r="U135" s="411">
        <v>0</v>
      </c>
      <c r="V135" s="408"/>
      <c r="W135" s="446"/>
      <c r="X135" s="443">
        <v>42859</v>
      </c>
      <c r="Y135" s="444">
        <v>0.42356481481481478</v>
      </c>
    </row>
    <row r="136" spans="1:25" ht="12.75" customHeight="1">
      <c r="A136" s="445">
        <v>127</v>
      </c>
      <c r="B136" s="414" t="s">
        <v>893</v>
      </c>
      <c r="C136" s="415" t="s">
        <v>1019</v>
      </c>
      <c r="D136" s="411"/>
      <c r="E136" s="411">
        <v>18</v>
      </c>
      <c r="F136" s="411" t="s">
        <v>1399</v>
      </c>
      <c r="G136" s="411" t="s">
        <v>1424</v>
      </c>
      <c r="H136" s="411">
        <v>1</v>
      </c>
      <c r="I136" s="411">
        <v>0</v>
      </c>
      <c r="J136" s="411">
        <v>0</v>
      </c>
      <c r="K136" s="411">
        <v>1</v>
      </c>
      <c r="L136" s="411">
        <v>1</v>
      </c>
      <c r="M136" s="411" t="s">
        <v>1425</v>
      </c>
      <c r="N136" s="411">
        <v>1</v>
      </c>
      <c r="O136" s="411">
        <v>1</v>
      </c>
      <c r="P136" s="411">
        <v>1</v>
      </c>
      <c r="Q136" s="411">
        <v>1</v>
      </c>
      <c r="R136" s="411">
        <v>1</v>
      </c>
      <c r="S136" s="411">
        <v>1</v>
      </c>
      <c r="T136" s="411">
        <v>1</v>
      </c>
      <c r="U136" s="411">
        <v>0</v>
      </c>
      <c r="V136" s="408"/>
      <c r="W136" s="446"/>
      <c r="X136" s="443">
        <v>42859</v>
      </c>
      <c r="Y136" s="444">
        <v>0.42365740740740737</v>
      </c>
    </row>
    <row r="137" spans="1:25" ht="12.75" customHeight="1">
      <c r="A137" s="445">
        <v>128</v>
      </c>
      <c r="B137" s="414" t="s">
        <v>893</v>
      </c>
      <c r="C137" s="415" t="s">
        <v>1019</v>
      </c>
      <c r="D137" s="411"/>
      <c r="E137" s="411">
        <v>19</v>
      </c>
      <c r="F137" s="411" t="s">
        <v>1399</v>
      </c>
      <c r="G137" s="411" t="s">
        <v>1424</v>
      </c>
      <c r="H137" s="411">
        <v>1</v>
      </c>
      <c r="I137" s="411">
        <v>0</v>
      </c>
      <c r="J137" s="411">
        <v>0</v>
      </c>
      <c r="K137" s="411">
        <v>1</v>
      </c>
      <c r="L137" s="411">
        <v>1</v>
      </c>
      <c r="M137" s="411" t="s">
        <v>1425</v>
      </c>
      <c r="N137" s="411">
        <v>1</v>
      </c>
      <c r="O137" s="411">
        <v>1</v>
      </c>
      <c r="P137" s="411">
        <v>1</v>
      </c>
      <c r="Q137" s="411">
        <v>1</v>
      </c>
      <c r="R137" s="411">
        <v>1</v>
      </c>
      <c r="S137" s="411">
        <v>1</v>
      </c>
      <c r="T137" s="411">
        <v>1</v>
      </c>
      <c r="U137" s="411">
        <v>0</v>
      </c>
      <c r="V137" s="408"/>
      <c r="W137" s="446"/>
      <c r="X137" s="443">
        <v>42859</v>
      </c>
      <c r="Y137" s="444">
        <v>0.42459490740740741</v>
      </c>
    </row>
    <row r="138" spans="1:25" ht="12.75" customHeight="1">
      <c r="A138" s="445">
        <v>129</v>
      </c>
      <c r="B138" s="414" t="s">
        <v>893</v>
      </c>
      <c r="C138" s="415" t="s">
        <v>1019</v>
      </c>
      <c r="D138" s="411"/>
      <c r="E138" s="411">
        <v>20</v>
      </c>
      <c r="F138" s="411" t="s">
        <v>1399</v>
      </c>
      <c r="G138" s="411" t="s">
        <v>1424</v>
      </c>
      <c r="H138" s="411">
        <v>1</v>
      </c>
      <c r="I138" s="411">
        <v>0</v>
      </c>
      <c r="J138" s="411">
        <v>0</v>
      </c>
      <c r="K138" s="411">
        <v>1</v>
      </c>
      <c r="L138" s="411">
        <v>1</v>
      </c>
      <c r="M138" s="411" t="s">
        <v>1425</v>
      </c>
      <c r="N138" s="411">
        <v>1</v>
      </c>
      <c r="O138" s="411">
        <v>1</v>
      </c>
      <c r="P138" s="411">
        <v>1</v>
      </c>
      <c r="Q138" s="411">
        <v>1</v>
      </c>
      <c r="R138" s="411">
        <v>1</v>
      </c>
      <c r="S138" s="411">
        <v>1</v>
      </c>
      <c r="T138" s="411">
        <v>1</v>
      </c>
      <c r="U138" s="411">
        <v>0</v>
      </c>
      <c r="V138" s="408"/>
      <c r="W138" s="446"/>
      <c r="X138" s="443">
        <v>42859</v>
      </c>
      <c r="Y138" s="444">
        <v>0.42471064814814818</v>
      </c>
    </row>
    <row r="139" spans="1:25" ht="12.75" customHeight="1">
      <c r="A139" s="445">
        <v>130</v>
      </c>
      <c r="B139" s="414" t="s">
        <v>893</v>
      </c>
      <c r="C139" s="415" t="s">
        <v>1019</v>
      </c>
      <c r="D139" s="411"/>
      <c r="E139" s="411">
        <v>21</v>
      </c>
      <c r="F139" s="411" t="s">
        <v>1399</v>
      </c>
      <c r="G139" s="411" t="s">
        <v>1424</v>
      </c>
      <c r="H139" s="411">
        <v>1</v>
      </c>
      <c r="I139" s="411">
        <v>0</v>
      </c>
      <c r="J139" s="411">
        <v>0</v>
      </c>
      <c r="K139" s="411">
        <v>1</v>
      </c>
      <c r="L139" s="411">
        <v>1</v>
      </c>
      <c r="M139" s="411" t="s">
        <v>1425</v>
      </c>
      <c r="N139" s="411">
        <v>1</v>
      </c>
      <c r="O139" s="411">
        <v>1</v>
      </c>
      <c r="P139" s="411">
        <v>1</v>
      </c>
      <c r="Q139" s="411">
        <v>1</v>
      </c>
      <c r="R139" s="411">
        <v>1</v>
      </c>
      <c r="S139" s="411">
        <v>1</v>
      </c>
      <c r="T139" s="411">
        <v>1</v>
      </c>
      <c r="U139" s="411">
        <v>0</v>
      </c>
      <c r="V139" s="408"/>
      <c r="W139" s="446"/>
      <c r="X139" s="443">
        <v>42859</v>
      </c>
      <c r="Y139" s="444">
        <v>0.42480324074074072</v>
      </c>
    </row>
    <row r="140" spans="1:25" ht="12.75" customHeight="1">
      <c r="A140" s="445">
        <v>131</v>
      </c>
      <c r="B140" s="414" t="s">
        <v>893</v>
      </c>
      <c r="C140" s="415" t="s">
        <v>1019</v>
      </c>
      <c r="D140" s="411"/>
      <c r="E140" s="411">
        <v>22</v>
      </c>
      <c r="F140" s="411" t="s">
        <v>1399</v>
      </c>
      <c r="G140" s="411" t="s">
        <v>1424</v>
      </c>
      <c r="H140" s="411">
        <v>1</v>
      </c>
      <c r="I140" s="411">
        <v>0</v>
      </c>
      <c r="J140" s="411">
        <v>0</v>
      </c>
      <c r="K140" s="411">
        <v>1</v>
      </c>
      <c r="L140" s="411">
        <v>1</v>
      </c>
      <c r="M140" s="411" t="s">
        <v>1425</v>
      </c>
      <c r="N140" s="411">
        <v>1</v>
      </c>
      <c r="O140" s="411">
        <v>1</v>
      </c>
      <c r="P140" s="411">
        <v>1</v>
      </c>
      <c r="Q140" s="411">
        <v>1</v>
      </c>
      <c r="R140" s="411">
        <v>1</v>
      </c>
      <c r="S140" s="411">
        <v>1</v>
      </c>
      <c r="T140" s="411">
        <v>1</v>
      </c>
      <c r="U140" s="411">
        <v>0</v>
      </c>
      <c r="V140" s="408"/>
      <c r="W140" s="446"/>
      <c r="X140" s="443">
        <v>42859</v>
      </c>
      <c r="Y140" s="444">
        <v>0.42489583333333331</v>
      </c>
    </row>
    <row r="141" spans="1:25" ht="12.75" customHeight="1">
      <c r="A141" s="445">
        <v>132</v>
      </c>
      <c r="B141" s="414" t="s">
        <v>893</v>
      </c>
      <c r="C141" s="415" t="s">
        <v>1019</v>
      </c>
      <c r="D141" s="411"/>
      <c r="E141" s="411">
        <v>23</v>
      </c>
      <c r="F141" s="411" t="s">
        <v>1399</v>
      </c>
      <c r="G141" s="411" t="s">
        <v>1424</v>
      </c>
      <c r="H141" s="411">
        <v>1</v>
      </c>
      <c r="I141" s="411">
        <v>0</v>
      </c>
      <c r="J141" s="411">
        <v>0</v>
      </c>
      <c r="K141" s="411">
        <v>1</v>
      </c>
      <c r="L141" s="411">
        <v>1</v>
      </c>
      <c r="M141" s="411" t="s">
        <v>1425</v>
      </c>
      <c r="N141" s="411">
        <v>1</v>
      </c>
      <c r="O141" s="411">
        <v>1</v>
      </c>
      <c r="P141" s="411">
        <v>1</v>
      </c>
      <c r="Q141" s="411">
        <v>1</v>
      </c>
      <c r="R141" s="411">
        <v>1</v>
      </c>
      <c r="S141" s="411">
        <v>1</v>
      </c>
      <c r="T141" s="411">
        <v>1</v>
      </c>
      <c r="U141" s="411">
        <v>0</v>
      </c>
      <c r="V141" s="408"/>
      <c r="W141" s="446"/>
      <c r="X141" s="443">
        <v>42859</v>
      </c>
      <c r="Y141" s="444">
        <v>0.4249768518518518</v>
      </c>
    </row>
    <row r="142" spans="1:25" ht="12.75" customHeight="1">
      <c r="A142" s="445">
        <v>133</v>
      </c>
      <c r="B142" s="414" t="s">
        <v>1401</v>
      </c>
      <c r="C142" s="415" t="s">
        <v>1402</v>
      </c>
      <c r="D142" s="411"/>
      <c r="E142" s="411">
        <v>1</v>
      </c>
      <c r="F142" s="411" t="s">
        <v>1399</v>
      </c>
      <c r="G142" s="411" t="s">
        <v>1424</v>
      </c>
      <c r="H142" s="411">
        <v>1</v>
      </c>
      <c r="I142" s="411">
        <v>0</v>
      </c>
      <c r="J142" s="411">
        <v>0</v>
      </c>
      <c r="K142" s="411">
        <v>1</v>
      </c>
      <c r="L142" s="411">
        <v>1</v>
      </c>
      <c r="M142" s="411" t="s">
        <v>1425</v>
      </c>
      <c r="N142" s="411">
        <v>1</v>
      </c>
      <c r="O142" s="411">
        <v>1</v>
      </c>
      <c r="P142" s="411">
        <v>1</v>
      </c>
      <c r="Q142" s="411">
        <v>1</v>
      </c>
      <c r="R142" s="411">
        <v>1</v>
      </c>
      <c r="S142" s="411">
        <v>1</v>
      </c>
      <c r="T142" s="411">
        <v>1</v>
      </c>
      <c r="U142" s="411">
        <v>0</v>
      </c>
      <c r="V142" s="408"/>
      <c r="W142" s="446"/>
      <c r="X142" s="443">
        <v>42859</v>
      </c>
      <c r="Y142" s="444">
        <v>0.4251388888888889</v>
      </c>
    </row>
    <row r="143" spans="1:25" ht="12.75" customHeight="1">
      <c r="A143" s="445">
        <v>134</v>
      </c>
      <c r="B143" s="414" t="s">
        <v>1401</v>
      </c>
      <c r="C143" s="415" t="s">
        <v>1402</v>
      </c>
      <c r="D143" s="411"/>
      <c r="E143" s="411">
        <v>2</v>
      </c>
      <c r="F143" s="411" t="s">
        <v>1399</v>
      </c>
      <c r="G143" s="411" t="s">
        <v>1424</v>
      </c>
      <c r="H143" s="411">
        <v>1</v>
      </c>
      <c r="I143" s="411">
        <v>0</v>
      </c>
      <c r="J143" s="411">
        <v>0</v>
      </c>
      <c r="K143" s="411">
        <v>1</v>
      </c>
      <c r="L143" s="411">
        <v>1</v>
      </c>
      <c r="M143" s="411" t="s">
        <v>1425</v>
      </c>
      <c r="N143" s="411">
        <v>1</v>
      </c>
      <c r="O143" s="411">
        <v>1</v>
      </c>
      <c r="P143" s="411">
        <v>1</v>
      </c>
      <c r="Q143" s="411">
        <v>1</v>
      </c>
      <c r="R143" s="411">
        <v>1</v>
      </c>
      <c r="S143" s="411">
        <v>1</v>
      </c>
      <c r="T143" s="411">
        <v>1</v>
      </c>
      <c r="U143" s="411">
        <v>0</v>
      </c>
      <c r="V143" s="408"/>
      <c r="W143" s="446"/>
      <c r="X143" s="443">
        <v>42859</v>
      </c>
      <c r="Y143" s="444">
        <v>0.42532407407407408</v>
      </c>
    </row>
    <row r="144" spans="1:25" ht="12.75" customHeight="1">
      <c r="A144" s="445">
        <v>135</v>
      </c>
      <c r="B144" s="414" t="s">
        <v>1401</v>
      </c>
      <c r="C144" s="415" t="s">
        <v>1402</v>
      </c>
      <c r="D144" s="411"/>
      <c r="E144" s="411">
        <v>3</v>
      </c>
      <c r="F144" s="411" t="s">
        <v>1399</v>
      </c>
      <c r="G144" s="411" t="s">
        <v>1424</v>
      </c>
      <c r="H144" s="411">
        <v>1</v>
      </c>
      <c r="I144" s="411">
        <v>0</v>
      </c>
      <c r="J144" s="411">
        <v>0</v>
      </c>
      <c r="K144" s="411">
        <v>1</v>
      </c>
      <c r="L144" s="411">
        <v>1</v>
      </c>
      <c r="M144" s="411" t="s">
        <v>1425</v>
      </c>
      <c r="N144" s="411">
        <v>1</v>
      </c>
      <c r="O144" s="411">
        <v>1</v>
      </c>
      <c r="P144" s="411">
        <v>1</v>
      </c>
      <c r="Q144" s="411">
        <v>1</v>
      </c>
      <c r="R144" s="411">
        <v>1</v>
      </c>
      <c r="S144" s="411">
        <v>1</v>
      </c>
      <c r="T144" s="411">
        <v>1</v>
      </c>
      <c r="U144" s="411">
        <v>0</v>
      </c>
      <c r="V144" s="408"/>
      <c r="W144" s="446"/>
      <c r="X144" s="443">
        <v>42859</v>
      </c>
      <c r="Y144" s="444">
        <v>0.42631944444444447</v>
      </c>
    </row>
    <row r="145" spans="1:25" ht="12.75" customHeight="1">
      <c r="A145" s="445">
        <v>136</v>
      </c>
      <c r="B145" s="414" t="s">
        <v>1401</v>
      </c>
      <c r="C145" s="415" t="s">
        <v>1402</v>
      </c>
      <c r="D145" s="411"/>
      <c r="E145" s="411">
        <v>4</v>
      </c>
      <c r="F145" s="411" t="s">
        <v>1399</v>
      </c>
      <c r="G145" s="411" t="s">
        <v>1424</v>
      </c>
      <c r="H145" s="411">
        <v>1</v>
      </c>
      <c r="I145" s="411">
        <v>0</v>
      </c>
      <c r="J145" s="411">
        <v>0</v>
      </c>
      <c r="K145" s="411">
        <v>1</v>
      </c>
      <c r="L145" s="411">
        <v>1</v>
      </c>
      <c r="M145" s="411" t="s">
        <v>1425</v>
      </c>
      <c r="N145" s="411">
        <v>1</v>
      </c>
      <c r="O145" s="411">
        <v>1</v>
      </c>
      <c r="P145" s="411">
        <v>1</v>
      </c>
      <c r="Q145" s="411">
        <v>1</v>
      </c>
      <c r="R145" s="411">
        <v>1</v>
      </c>
      <c r="S145" s="411">
        <v>1</v>
      </c>
      <c r="T145" s="411">
        <v>1</v>
      </c>
      <c r="U145" s="411">
        <v>0</v>
      </c>
      <c r="V145" s="408"/>
      <c r="W145" s="446"/>
      <c r="X145" s="443">
        <v>42859</v>
      </c>
      <c r="Y145" s="444">
        <v>0.42651620370370374</v>
      </c>
    </row>
    <row r="146" spans="1:25" ht="12.75" customHeight="1">
      <c r="A146" s="445">
        <v>137</v>
      </c>
      <c r="B146" s="414" t="s">
        <v>1401</v>
      </c>
      <c r="C146" s="415" t="s">
        <v>1402</v>
      </c>
      <c r="D146" s="411"/>
      <c r="E146" s="411">
        <v>5</v>
      </c>
      <c r="F146" s="411" t="s">
        <v>1399</v>
      </c>
      <c r="G146" s="411" t="s">
        <v>1424</v>
      </c>
      <c r="H146" s="411">
        <v>1</v>
      </c>
      <c r="I146" s="411">
        <v>0</v>
      </c>
      <c r="J146" s="411">
        <v>0</v>
      </c>
      <c r="K146" s="411">
        <v>1</v>
      </c>
      <c r="L146" s="411">
        <v>1</v>
      </c>
      <c r="M146" s="411" t="s">
        <v>1425</v>
      </c>
      <c r="N146" s="411">
        <v>1</v>
      </c>
      <c r="O146" s="411">
        <v>1</v>
      </c>
      <c r="P146" s="411">
        <v>1</v>
      </c>
      <c r="Q146" s="411">
        <v>1</v>
      </c>
      <c r="R146" s="411">
        <v>1</v>
      </c>
      <c r="S146" s="411">
        <v>1</v>
      </c>
      <c r="T146" s="411">
        <v>1</v>
      </c>
      <c r="U146" s="411">
        <v>0</v>
      </c>
      <c r="V146" s="408"/>
      <c r="W146" s="446"/>
      <c r="X146" s="443">
        <v>42859</v>
      </c>
      <c r="Y146" s="444">
        <v>0.4265856481481482</v>
      </c>
    </row>
    <row r="147" spans="1:25" ht="12.75" customHeight="1">
      <c r="A147" s="445">
        <v>138</v>
      </c>
      <c r="B147" s="414" t="s">
        <v>1401</v>
      </c>
      <c r="C147" s="415" t="s">
        <v>1402</v>
      </c>
      <c r="D147" s="411"/>
      <c r="E147" s="411">
        <v>6</v>
      </c>
      <c r="F147" s="411" t="s">
        <v>1399</v>
      </c>
      <c r="G147" s="411" t="s">
        <v>1424</v>
      </c>
      <c r="H147" s="411">
        <v>1</v>
      </c>
      <c r="I147" s="411">
        <v>0</v>
      </c>
      <c r="J147" s="411">
        <v>0</v>
      </c>
      <c r="K147" s="411">
        <v>1</v>
      </c>
      <c r="L147" s="411">
        <v>1</v>
      </c>
      <c r="M147" s="411" t="s">
        <v>1425</v>
      </c>
      <c r="N147" s="411">
        <v>1</v>
      </c>
      <c r="O147" s="411">
        <v>1</v>
      </c>
      <c r="P147" s="411">
        <v>1</v>
      </c>
      <c r="Q147" s="411">
        <v>1</v>
      </c>
      <c r="R147" s="411">
        <v>1</v>
      </c>
      <c r="S147" s="411">
        <v>1</v>
      </c>
      <c r="T147" s="411">
        <v>1</v>
      </c>
      <c r="U147" s="411">
        <v>0</v>
      </c>
      <c r="V147" s="408"/>
      <c r="W147" s="446"/>
      <c r="X147" s="443">
        <v>42859</v>
      </c>
      <c r="Y147" s="444">
        <v>0.42668981481481483</v>
      </c>
    </row>
    <row r="148" spans="1:25" ht="12.75" customHeight="1">
      <c r="A148" s="445">
        <v>139</v>
      </c>
      <c r="B148" s="414" t="s">
        <v>1401</v>
      </c>
      <c r="C148" s="415" t="s">
        <v>1402</v>
      </c>
      <c r="D148" s="411"/>
      <c r="E148" s="411">
        <v>7</v>
      </c>
      <c r="F148" s="411" t="s">
        <v>1399</v>
      </c>
      <c r="G148" s="411" t="s">
        <v>1424</v>
      </c>
      <c r="H148" s="411">
        <v>1</v>
      </c>
      <c r="I148" s="411">
        <v>0</v>
      </c>
      <c r="J148" s="411">
        <v>0</v>
      </c>
      <c r="K148" s="411">
        <v>1</v>
      </c>
      <c r="L148" s="411">
        <v>1</v>
      </c>
      <c r="M148" s="411" t="s">
        <v>1425</v>
      </c>
      <c r="N148" s="411">
        <v>1</v>
      </c>
      <c r="O148" s="411">
        <v>1</v>
      </c>
      <c r="P148" s="411">
        <v>1</v>
      </c>
      <c r="Q148" s="411">
        <v>1</v>
      </c>
      <c r="R148" s="411">
        <v>1</v>
      </c>
      <c r="S148" s="411">
        <v>1</v>
      </c>
      <c r="T148" s="411">
        <v>1</v>
      </c>
      <c r="U148" s="411">
        <v>0</v>
      </c>
      <c r="V148" s="408"/>
      <c r="W148" s="446"/>
      <c r="X148" s="443">
        <v>42859</v>
      </c>
      <c r="Y148" s="444">
        <v>0.42674768518518519</v>
      </c>
    </row>
    <row r="149" spans="1:25" ht="12.75" customHeight="1">
      <c r="A149" s="445">
        <v>140</v>
      </c>
      <c r="B149" s="414" t="s">
        <v>1401</v>
      </c>
      <c r="C149" s="415" t="s">
        <v>1402</v>
      </c>
      <c r="D149" s="411"/>
      <c r="E149" s="411">
        <v>8</v>
      </c>
      <c r="F149" s="411" t="s">
        <v>1399</v>
      </c>
      <c r="G149" s="411" t="s">
        <v>1424</v>
      </c>
      <c r="H149" s="411">
        <v>1</v>
      </c>
      <c r="I149" s="411">
        <v>0</v>
      </c>
      <c r="J149" s="411">
        <v>0</v>
      </c>
      <c r="K149" s="411">
        <v>1</v>
      </c>
      <c r="L149" s="411">
        <v>1</v>
      </c>
      <c r="M149" s="411" t="s">
        <v>1425</v>
      </c>
      <c r="N149" s="411">
        <v>1</v>
      </c>
      <c r="O149" s="411">
        <v>1</v>
      </c>
      <c r="P149" s="411">
        <v>1</v>
      </c>
      <c r="Q149" s="411">
        <v>1</v>
      </c>
      <c r="R149" s="411">
        <v>1</v>
      </c>
      <c r="S149" s="411">
        <v>1</v>
      </c>
      <c r="T149" s="411">
        <v>1</v>
      </c>
      <c r="U149" s="411">
        <v>0</v>
      </c>
      <c r="V149" s="408"/>
      <c r="W149" s="446"/>
      <c r="X149" s="443">
        <v>42859</v>
      </c>
      <c r="Y149" s="444">
        <v>0.42686342592592591</v>
      </c>
    </row>
    <row r="150" spans="1:25" ht="12.75" customHeight="1">
      <c r="A150" s="445">
        <v>141</v>
      </c>
      <c r="B150" s="414" t="s">
        <v>1401</v>
      </c>
      <c r="C150" s="415" t="s">
        <v>1402</v>
      </c>
      <c r="D150" s="411"/>
      <c r="E150" s="411">
        <v>9</v>
      </c>
      <c r="F150" s="411" t="s">
        <v>1399</v>
      </c>
      <c r="G150" s="411" t="s">
        <v>1424</v>
      </c>
      <c r="H150" s="411">
        <v>1</v>
      </c>
      <c r="I150" s="411">
        <v>0</v>
      </c>
      <c r="J150" s="411">
        <v>0</v>
      </c>
      <c r="K150" s="411">
        <v>1</v>
      </c>
      <c r="L150" s="411">
        <v>1</v>
      </c>
      <c r="M150" s="411" t="s">
        <v>1425</v>
      </c>
      <c r="N150" s="411">
        <v>1</v>
      </c>
      <c r="O150" s="411">
        <v>1</v>
      </c>
      <c r="P150" s="411">
        <v>1</v>
      </c>
      <c r="Q150" s="411">
        <v>1</v>
      </c>
      <c r="R150" s="411">
        <v>1</v>
      </c>
      <c r="S150" s="411">
        <v>1</v>
      </c>
      <c r="T150" s="411">
        <v>1</v>
      </c>
      <c r="U150" s="411">
        <v>0</v>
      </c>
      <c r="V150" s="408"/>
      <c r="W150" s="446"/>
      <c r="X150" s="443">
        <v>42859</v>
      </c>
      <c r="Y150" s="444">
        <v>0.42758101851851849</v>
      </c>
    </row>
    <row r="151" spans="1:25" ht="12.75" customHeight="1">
      <c r="A151" s="445">
        <v>142</v>
      </c>
      <c r="B151" s="414" t="s">
        <v>1401</v>
      </c>
      <c r="C151" s="415" t="s">
        <v>1402</v>
      </c>
      <c r="D151" s="411"/>
      <c r="E151" s="411">
        <v>10</v>
      </c>
      <c r="F151" s="411" t="s">
        <v>1399</v>
      </c>
      <c r="G151" s="411" t="s">
        <v>1424</v>
      </c>
      <c r="H151" s="411">
        <v>1</v>
      </c>
      <c r="I151" s="411">
        <v>0</v>
      </c>
      <c r="J151" s="411">
        <v>0</v>
      </c>
      <c r="K151" s="411">
        <v>1</v>
      </c>
      <c r="L151" s="411">
        <v>1</v>
      </c>
      <c r="M151" s="411" t="s">
        <v>1425</v>
      </c>
      <c r="N151" s="411">
        <v>1</v>
      </c>
      <c r="O151" s="411">
        <v>1</v>
      </c>
      <c r="P151" s="411">
        <v>1</v>
      </c>
      <c r="Q151" s="411">
        <v>1</v>
      </c>
      <c r="R151" s="411">
        <v>1</v>
      </c>
      <c r="S151" s="411">
        <v>1</v>
      </c>
      <c r="T151" s="411">
        <v>1</v>
      </c>
      <c r="U151" s="411">
        <v>0</v>
      </c>
      <c r="V151" s="408"/>
      <c r="W151" s="446"/>
      <c r="X151" s="443">
        <v>42859</v>
      </c>
      <c r="Y151" s="444">
        <v>0.42770833333333336</v>
      </c>
    </row>
    <row r="152" spans="1:25" ht="12.75" customHeight="1">
      <c r="A152" s="445">
        <v>143</v>
      </c>
      <c r="B152" s="414" t="s">
        <v>1401</v>
      </c>
      <c r="C152" s="415" t="s">
        <v>1402</v>
      </c>
      <c r="D152" s="411"/>
      <c r="E152" s="411">
        <v>11</v>
      </c>
      <c r="F152" s="411" t="s">
        <v>1399</v>
      </c>
      <c r="G152" s="411" t="s">
        <v>1424</v>
      </c>
      <c r="H152" s="411">
        <v>1</v>
      </c>
      <c r="I152" s="411">
        <v>0</v>
      </c>
      <c r="J152" s="411">
        <v>0</v>
      </c>
      <c r="K152" s="411">
        <v>1</v>
      </c>
      <c r="L152" s="411">
        <v>1</v>
      </c>
      <c r="M152" s="411" t="s">
        <v>1425</v>
      </c>
      <c r="N152" s="411">
        <v>1</v>
      </c>
      <c r="O152" s="411">
        <v>1</v>
      </c>
      <c r="P152" s="411">
        <v>1</v>
      </c>
      <c r="Q152" s="411">
        <v>1</v>
      </c>
      <c r="R152" s="411">
        <v>1</v>
      </c>
      <c r="S152" s="411">
        <v>1</v>
      </c>
      <c r="T152" s="411">
        <v>1</v>
      </c>
      <c r="U152" s="411">
        <v>0</v>
      </c>
      <c r="V152" s="408"/>
      <c r="W152" s="446"/>
      <c r="X152" s="443">
        <v>42859</v>
      </c>
      <c r="Y152" s="444">
        <v>0.42778935185185185</v>
      </c>
    </row>
    <row r="153" spans="1:25" ht="12.75" customHeight="1">
      <c r="A153" s="445">
        <v>144</v>
      </c>
      <c r="B153" s="414" t="s">
        <v>1401</v>
      </c>
      <c r="C153" s="415" t="s">
        <v>1402</v>
      </c>
      <c r="D153" s="411"/>
      <c r="E153" s="411">
        <v>12</v>
      </c>
      <c r="F153" s="411" t="s">
        <v>1399</v>
      </c>
      <c r="G153" s="411" t="s">
        <v>1424</v>
      </c>
      <c r="H153" s="411">
        <v>1</v>
      </c>
      <c r="I153" s="411">
        <v>0</v>
      </c>
      <c r="J153" s="411">
        <v>0</v>
      </c>
      <c r="K153" s="411">
        <v>1</v>
      </c>
      <c r="L153" s="411">
        <v>1</v>
      </c>
      <c r="M153" s="411" t="s">
        <v>1425</v>
      </c>
      <c r="N153" s="411">
        <v>1</v>
      </c>
      <c r="O153" s="411">
        <v>1</v>
      </c>
      <c r="P153" s="411">
        <v>1</v>
      </c>
      <c r="Q153" s="411">
        <v>1</v>
      </c>
      <c r="R153" s="411">
        <v>1</v>
      </c>
      <c r="S153" s="411">
        <v>1</v>
      </c>
      <c r="T153" s="411">
        <v>1</v>
      </c>
      <c r="U153" s="411">
        <v>0</v>
      </c>
      <c r="V153" s="408"/>
      <c r="W153" s="446"/>
      <c r="X153" s="443">
        <v>42859</v>
      </c>
      <c r="Y153" s="444">
        <v>0.42788194444444444</v>
      </c>
    </row>
    <row r="154" spans="1:25" ht="12.75" customHeight="1">
      <c r="A154" s="445">
        <v>145</v>
      </c>
      <c r="B154" s="414" t="s">
        <v>1401</v>
      </c>
      <c r="C154" s="415" t="s">
        <v>1402</v>
      </c>
      <c r="D154" s="411"/>
      <c r="E154" s="411">
        <v>13</v>
      </c>
      <c r="F154" s="411" t="s">
        <v>1399</v>
      </c>
      <c r="G154" s="411" t="s">
        <v>1424</v>
      </c>
      <c r="H154" s="411">
        <v>1</v>
      </c>
      <c r="I154" s="411">
        <v>0</v>
      </c>
      <c r="J154" s="411">
        <v>0</v>
      </c>
      <c r="K154" s="411">
        <v>1</v>
      </c>
      <c r="L154" s="411">
        <v>1</v>
      </c>
      <c r="M154" s="411" t="s">
        <v>1425</v>
      </c>
      <c r="N154" s="411">
        <v>1</v>
      </c>
      <c r="O154" s="411">
        <v>1</v>
      </c>
      <c r="P154" s="411">
        <v>1</v>
      </c>
      <c r="Q154" s="411">
        <v>1</v>
      </c>
      <c r="R154" s="411">
        <v>1</v>
      </c>
      <c r="S154" s="411">
        <v>1</v>
      </c>
      <c r="T154" s="411">
        <v>1</v>
      </c>
      <c r="U154" s="411">
        <v>0</v>
      </c>
      <c r="V154" s="408"/>
      <c r="W154" s="446"/>
      <c r="X154" s="443">
        <v>42859</v>
      </c>
      <c r="Y154" s="444">
        <v>0.42798611111111112</v>
      </c>
    </row>
    <row r="155" spans="1:25" ht="12.75" customHeight="1">
      <c r="A155" s="445">
        <v>146</v>
      </c>
      <c r="B155" s="414" t="s">
        <v>1401</v>
      </c>
      <c r="C155" s="415" t="s">
        <v>1402</v>
      </c>
      <c r="D155" s="411"/>
      <c r="E155" s="411">
        <v>14</v>
      </c>
      <c r="F155" s="411" t="s">
        <v>1399</v>
      </c>
      <c r="G155" s="411" t="s">
        <v>1424</v>
      </c>
      <c r="H155" s="411">
        <v>1</v>
      </c>
      <c r="I155" s="411">
        <v>0</v>
      </c>
      <c r="J155" s="411">
        <v>0</v>
      </c>
      <c r="K155" s="411">
        <v>1</v>
      </c>
      <c r="L155" s="411">
        <v>1</v>
      </c>
      <c r="M155" s="411" t="s">
        <v>1425</v>
      </c>
      <c r="N155" s="411">
        <v>1</v>
      </c>
      <c r="O155" s="411">
        <v>1</v>
      </c>
      <c r="P155" s="411">
        <v>1</v>
      </c>
      <c r="Q155" s="411">
        <v>1</v>
      </c>
      <c r="R155" s="411">
        <v>1</v>
      </c>
      <c r="S155" s="411">
        <v>1</v>
      </c>
      <c r="T155" s="411">
        <v>1</v>
      </c>
      <c r="U155" s="411">
        <v>0</v>
      </c>
      <c r="V155" s="408"/>
      <c r="W155" s="446"/>
      <c r="X155" s="443">
        <v>42859</v>
      </c>
      <c r="Y155" s="444">
        <v>0.43362268518518521</v>
      </c>
    </row>
    <row r="156" spans="1:25" ht="12.75" customHeight="1">
      <c r="A156" s="445">
        <v>147</v>
      </c>
      <c r="B156" s="414" t="s">
        <v>1401</v>
      </c>
      <c r="C156" s="415" t="s">
        <v>1402</v>
      </c>
      <c r="D156" s="411"/>
      <c r="E156" s="411">
        <v>15</v>
      </c>
      <c r="F156" s="411" t="s">
        <v>1399</v>
      </c>
      <c r="G156" s="411" t="s">
        <v>1424</v>
      </c>
      <c r="H156" s="411">
        <v>1</v>
      </c>
      <c r="I156" s="411">
        <v>0</v>
      </c>
      <c r="J156" s="411">
        <v>0</v>
      </c>
      <c r="K156" s="411">
        <v>1</v>
      </c>
      <c r="L156" s="411">
        <v>1</v>
      </c>
      <c r="M156" s="411" t="s">
        <v>1425</v>
      </c>
      <c r="N156" s="411">
        <v>1</v>
      </c>
      <c r="O156" s="411">
        <v>1</v>
      </c>
      <c r="P156" s="411">
        <v>1</v>
      </c>
      <c r="Q156" s="411">
        <v>1</v>
      </c>
      <c r="R156" s="411">
        <v>1</v>
      </c>
      <c r="S156" s="411">
        <v>1</v>
      </c>
      <c r="T156" s="411">
        <v>1</v>
      </c>
      <c r="U156" s="411">
        <v>0</v>
      </c>
      <c r="V156" s="408"/>
      <c r="W156" s="446"/>
      <c r="X156" s="443">
        <v>42859</v>
      </c>
      <c r="Y156" s="444">
        <v>0.43391203703703707</v>
      </c>
    </row>
    <row r="157" spans="1:25" ht="12.75" customHeight="1">
      <c r="A157" s="445">
        <v>148</v>
      </c>
      <c r="B157" s="414"/>
      <c r="C157" s="415"/>
      <c r="D157" s="411"/>
      <c r="E157" s="411"/>
      <c r="F157" s="411"/>
      <c r="G157" s="411"/>
      <c r="H157" s="411"/>
      <c r="I157" s="411"/>
      <c r="J157" s="411"/>
      <c r="K157" s="411"/>
      <c r="L157" s="411"/>
      <c r="M157" s="411"/>
      <c r="N157" s="411"/>
      <c r="O157" s="411"/>
      <c r="P157" s="411"/>
      <c r="Q157" s="411"/>
      <c r="R157" s="411"/>
      <c r="S157" s="411"/>
      <c r="T157" s="411"/>
      <c r="U157" s="411"/>
      <c r="V157" s="408"/>
      <c r="W157" s="446"/>
      <c r="X157" s="443">
        <v>42859</v>
      </c>
      <c r="Y157" s="444">
        <v>0.43402777777777773</v>
      </c>
    </row>
    <row r="158" spans="1:25" ht="12.75" customHeight="1">
      <c r="A158" s="445">
        <v>149</v>
      </c>
      <c r="B158" s="414"/>
      <c r="C158" s="415"/>
      <c r="D158" s="411"/>
      <c r="E158" s="411"/>
      <c r="F158" s="411"/>
      <c r="G158" s="411"/>
      <c r="H158" s="411"/>
      <c r="I158" s="411"/>
      <c r="J158" s="411"/>
      <c r="K158" s="411"/>
      <c r="L158" s="411"/>
      <c r="M158" s="411"/>
      <c r="N158" s="411"/>
      <c r="O158" s="411"/>
      <c r="P158" s="411"/>
      <c r="Q158" s="411"/>
      <c r="R158" s="411"/>
      <c r="S158" s="411"/>
      <c r="T158" s="411"/>
      <c r="U158" s="411"/>
      <c r="V158" s="408"/>
      <c r="W158" s="446"/>
      <c r="X158" s="443">
        <v>42859</v>
      </c>
      <c r="Y158" s="444">
        <v>0.43410879629629634</v>
      </c>
    </row>
    <row r="159" spans="1:25" ht="12.75" customHeight="1">
      <c r="A159" s="445">
        <v>150</v>
      </c>
      <c r="B159" s="414"/>
      <c r="C159" s="415"/>
      <c r="D159" s="411"/>
      <c r="E159" s="411"/>
      <c r="F159" s="411"/>
      <c r="G159" s="411"/>
      <c r="H159" s="411"/>
      <c r="I159" s="411"/>
      <c r="J159" s="411"/>
      <c r="K159" s="411"/>
      <c r="L159" s="411"/>
      <c r="M159" s="411"/>
      <c r="N159" s="411"/>
      <c r="O159" s="411"/>
      <c r="P159" s="411"/>
      <c r="Q159" s="411"/>
      <c r="R159" s="411"/>
      <c r="S159" s="411"/>
      <c r="T159" s="411"/>
      <c r="U159" s="411"/>
      <c r="V159" s="408"/>
      <c r="W159" s="446"/>
      <c r="X159" s="443">
        <v>42859</v>
      </c>
      <c r="Y159" s="444">
        <v>0.43488425925925928</v>
      </c>
    </row>
    <row r="160" spans="1:25" ht="12.75" customHeight="1">
      <c r="A160" s="445">
        <v>151</v>
      </c>
      <c r="B160" s="414"/>
      <c r="C160" s="415"/>
      <c r="D160" s="411"/>
      <c r="E160" s="411"/>
      <c r="F160" s="411"/>
      <c r="G160" s="411"/>
      <c r="H160" s="411"/>
      <c r="I160" s="411"/>
      <c r="J160" s="411"/>
      <c r="K160" s="411"/>
      <c r="L160" s="411"/>
      <c r="M160" s="411"/>
      <c r="N160" s="411"/>
      <c r="O160" s="411"/>
      <c r="P160" s="411"/>
      <c r="Q160" s="411"/>
      <c r="R160" s="411"/>
      <c r="S160" s="411"/>
      <c r="T160" s="411"/>
      <c r="U160" s="411"/>
      <c r="V160" s="408"/>
      <c r="W160" s="446"/>
      <c r="X160" s="443">
        <v>42859</v>
      </c>
      <c r="Y160" s="444">
        <v>0.43501157407407409</v>
      </c>
    </row>
    <row r="161" spans="1:25" ht="12.75" customHeight="1">
      <c r="A161" s="445">
        <v>152</v>
      </c>
      <c r="B161" s="414"/>
      <c r="C161" s="415"/>
      <c r="D161" s="411"/>
      <c r="E161" s="411"/>
      <c r="F161" s="411"/>
      <c r="G161" s="411"/>
      <c r="H161" s="411"/>
      <c r="I161" s="411"/>
      <c r="J161" s="411"/>
      <c r="K161" s="411"/>
      <c r="L161" s="411"/>
      <c r="M161" s="411"/>
      <c r="N161" s="411"/>
      <c r="O161" s="411"/>
      <c r="P161" s="411"/>
      <c r="Q161" s="411"/>
      <c r="R161" s="411"/>
      <c r="S161" s="411"/>
      <c r="T161" s="411"/>
      <c r="U161" s="411"/>
      <c r="V161" s="408"/>
      <c r="W161" s="446"/>
      <c r="X161" s="443">
        <v>42859</v>
      </c>
      <c r="Y161" s="444">
        <v>0.43509259259259259</v>
      </c>
    </row>
    <row r="162" spans="1:25" ht="12.75" customHeight="1">
      <c r="A162" s="445">
        <v>153</v>
      </c>
      <c r="B162" s="414"/>
      <c r="C162" s="415"/>
      <c r="D162" s="411"/>
      <c r="E162" s="411"/>
      <c r="F162" s="411"/>
      <c r="G162" s="411"/>
      <c r="H162" s="411"/>
      <c r="I162" s="411"/>
      <c r="J162" s="411"/>
      <c r="K162" s="411"/>
      <c r="L162" s="411"/>
      <c r="M162" s="411"/>
      <c r="N162" s="411"/>
      <c r="O162" s="411"/>
      <c r="P162" s="411"/>
      <c r="Q162" s="411"/>
      <c r="R162" s="411"/>
      <c r="S162" s="411"/>
      <c r="T162" s="411"/>
      <c r="U162" s="411"/>
      <c r="V162" s="408"/>
      <c r="W162" s="446"/>
      <c r="X162" s="443">
        <v>42859</v>
      </c>
      <c r="Y162" s="444">
        <v>0.43706018518518519</v>
      </c>
    </row>
    <row r="163" spans="1:25" ht="12.75" customHeight="1">
      <c r="A163" s="445">
        <v>154</v>
      </c>
      <c r="B163" s="414"/>
      <c r="C163" s="415"/>
      <c r="D163" s="411"/>
      <c r="E163" s="411"/>
      <c r="F163" s="411"/>
      <c r="G163" s="411"/>
      <c r="H163" s="411"/>
      <c r="I163" s="411"/>
      <c r="J163" s="411"/>
      <c r="K163" s="411"/>
      <c r="L163" s="411"/>
      <c r="M163" s="411"/>
      <c r="N163" s="411"/>
      <c r="O163" s="411"/>
      <c r="P163" s="411"/>
      <c r="Q163" s="411"/>
      <c r="R163" s="411"/>
      <c r="S163" s="411"/>
      <c r="T163" s="411"/>
      <c r="U163" s="411"/>
      <c r="V163" s="408"/>
      <c r="W163" s="446"/>
      <c r="X163" s="443">
        <v>42859</v>
      </c>
      <c r="Y163" s="444">
        <v>0.43722222222222223</v>
      </c>
    </row>
    <row r="164" spans="1:25" ht="12.75" customHeight="1">
      <c r="A164" s="445">
        <v>155</v>
      </c>
      <c r="B164" s="414"/>
      <c r="C164" s="415"/>
      <c r="D164" s="411"/>
      <c r="E164" s="411"/>
      <c r="F164" s="411"/>
      <c r="G164" s="411"/>
      <c r="H164" s="411"/>
      <c r="I164" s="411"/>
      <c r="J164" s="411"/>
      <c r="K164" s="411"/>
      <c r="L164" s="411"/>
      <c r="M164" s="411"/>
      <c r="N164" s="411"/>
      <c r="O164" s="411"/>
      <c r="P164" s="411"/>
      <c r="Q164" s="411"/>
      <c r="R164" s="411"/>
      <c r="S164" s="411"/>
      <c r="T164" s="411"/>
      <c r="U164" s="411"/>
      <c r="V164" s="408"/>
      <c r="W164" s="446"/>
      <c r="X164" s="443">
        <v>42859</v>
      </c>
      <c r="Y164" s="444">
        <v>0.43729166666666663</v>
      </c>
    </row>
    <row r="165" spans="1:25" ht="12.75" customHeight="1">
      <c r="A165" s="445">
        <v>156</v>
      </c>
      <c r="B165" s="414"/>
      <c r="C165" s="415"/>
      <c r="D165" s="411"/>
      <c r="E165" s="411"/>
      <c r="F165" s="411"/>
      <c r="G165" s="411"/>
      <c r="H165" s="411"/>
      <c r="I165" s="411"/>
      <c r="J165" s="411"/>
      <c r="K165" s="411"/>
      <c r="L165" s="411"/>
      <c r="M165" s="411"/>
      <c r="N165" s="411"/>
      <c r="O165" s="411"/>
      <c r="P165" s="411"/>
      <c r="Q165" s="411"/>
      <c r="R165" s="411"/>
      <c r="S165" s="411"/>
      <c r="T165" s="411"/>
      <c r="U165" s="411"/>
      <c r="V165" s="408"/>
      <c r="W165" s="446"/>
      <c r="X165" s="443">
        <v>42859</v>
      </c>
      <c r="Y165" s="444">
        <v>0.43733796296296296</v>
      </c>
    </row>
    <row r="166" spans="1:25" ht="12.75" customHeight="1">
      <c r="A166" s="445">
        <v>157</v>
      </c>
      <c r="B166" s="414"/>
      <c r="C166" s="415"/>
      <c r="D166" s="411"/>
      <c r="E166" s="411"/>
      <c r="F166" s="411"/>
      <c r="G166" s="411"/>
      <c r="H166" s="411"/>
      <c r="I166" s="411"/>
      <c r="J166" s="411"/>
      <c r="K166" s="411"/>
      <c r="L166" s="411"/>
      <c r="M166" s="411"/>
      <c r="N166" s="411"/>
      <c r="O166" s="411"/>
      <c r="P166" s="411"/>
      <c r="Q166" s="411"/>
      <c r="R166" s="411"/>
      <c r="S166" s="411"/>
      <c r="T166" s="411"/>
      <c r="U166" s="411"/>
      <c r="V166" s="408"/>
      <c r="W166" s="446"/>
      <c r="X166" s="443">
        <v>42859</v>
      </c>
      <c r="Y166" s="444">
        <v>0.43740740740740741</v>
      </c>
    </row>
    <row r="167" spans="1:25" ht="12.75" customHeight="1">
      <c r="A167" s="445">
        <v>158</v>
      </c>
      <c r="B167" s="414"/>
      <c r="C167" s="415"/>
      <c r="D167" s="411"/>
      <c r="E167" s="411"/>
      <c r="F167" s="411"/>
      <c r="G167" s="411"/>
      <c r="H167" s="411"/>
      <c r="I167" s="411"/>
      <c r="J167" s="411"/>
      <c r="K167" s="411"/>
      <c r="L167" s="411"/>
      <c r="M167" s="411"/>
      <c r="N167" s="411"/>
      <c r="O167" s="411"/>
      <c r="P167" s="411"/>
      <c r="Q167" s="411"/>
      <c r="R167" s="411"/>
      <c r="S167" s="411"/>
      <c r="T167" s="411"/>
      <c r="U167" s="411"/>
      <c r="V167" s="408"/>
      <c r="W167" s="446"/>
      <c r="X167" s="443">
        <v>42859</v>
      </c>
      <c r="Y167" s="444">
        <v>0.43843750000000004</v>
      </c>
    </row>
    <row r="168" spans="1:25" ht="12.75" customHeight="1">
      <c r="A168" s="445">
        <v>159</v>
      </c>
      <c r="B168" s="414"/>
      <c r="C168" s="415"/>
      <c r="D168" s="411"/>
      <c r="E168" s="411"/>
      <c r="F168" s="411"/>
      <c r="G168" s="411"/>
      <c r="H168" s="411"/>
      <c r="I168" s="411"/>
      <c r="J168" s="411"/>
      <c r="K168" s="411"/>
      <c r="L168" s="411"/>
      <c r="M168" s="411"/>
      <c r="N168" s="411"/>
      <c r="O168" s="411"/>
      <c r="P168" s="411"/>
      <c r="Q168" s="411"/>
      <c r="R168" s="411"/>
      <c r="S168" s="411"/>
      <c r="T168" s="411"/>
      <c r="U168" s="411"/>
      <c r="V168" s="408"/>
      <c r="W168" s="446"/>
      <c r="X168" s="443">
        <v>42859</v>
      </c>
      <c r="Y168" s="444">
        <v>0.43865740740740744</v>
      </c>
    </row>
    <row r="169" spans="1:25" ht="12.75" customHeight="1">
      <c r="A169" s="445">
        <v>160</v>
      </c>
      <c r="B169" s="414"/>
      <c r="C169" s="415"/>
      <c r="D169" s="411"/>
      <c r="E169" s="411"/>
      <c r="F169" s="411"/>
      <c r="G169" s="411"/>
      <c r="H169" s="411"/>
      <c r="I169" s="411"/>
      <c r="J169" s="411"/>
      <c r="K169" s="411"/>
      <c r="L169" s="411"/>
      <c r="M169" s="411"/>
      <c r="N169" s="411"/>
      <c r="O169" s="411"/>
      <c r="P169" s="411"/>
      <c r="Q169" s="411"/>
      <c r="R169" s="411"/>
      <c r="S169" s="411"/>
      <c r="T169" s="411"/>
      <c r="U169" s="411"/>
      <c r="V169" s="408"/>
      <c r="W169" s="446"/>
      <c r="X169" s="443">
        <v>42859</v>
      </c>
      <c r="Y169" s="444">
        <v>0.43881944444444443</v>
      </c>
    </row>
    <row r="170" spans="1:25" ht="12.75" customHeight="1">
      <c r="A170" s="445">
        <v>161</v>
      </c>
      <c r="B170" s="414"/>
      <c r="C170" s="415"/>
      <c r="D170" s="411"/>
      <c r="E170" s="411"/>
      <c r="F170" s="411"/>
      <c r="G170" s="411"/>
      <c r="H170" s="411"/>
      <c r="I170" s="411"/>
      <c r="J170" s="411"/>
      <c r="K170" s="411"/>
      <c r="L170" s="411"/>
      <c r="M170" s="411"/>
      <c r="N170" s="411"/>
      <c r="O170" s="411"/>
      <c r="P170" s="411"/>
      <c r="Q170" s="411"/>
      <c r="R170" s="411"/>
      <c r="S170" s="411"/>
      <c r="T170" s="411"/>
      <c r="U170" s="411"/>
      <c r="V170" s="408"/>
      <c r="W170" s="446"/>
      <c r="X170" s="443">
        <v>42859</v>
      </c>
      <c r="Y170" s="444">
        <v>0.43894675925925924</v>
      </c>
    </row>
    <row r="171" spans="1:25" ht="12.75" customHeight="1">
      <c r="A171" s="445">
        <v>162</v>
      </c>
      <c r="B171" s="414"/>
      <c r="C171" s="415"/>
      <c r="D171" s="411"/>
      <c r="E171" s="411"/>
      <c r="F171" s="411"/>
      <c r="G171" s="411"/>
      <c r="H171" s="411"/>
      <c r="I171" s="411"/>
      <c r="J171" s="411"/>
      <c r="K171" s="411"/>
      <c r="L171" s="411"/>
      <c r="M171" s="411"/>
      <c r="N171" s="411"/>
      <c r="O171" s="411"/>
      <c r="P171" s="411"/>
      <c r="Q171" s="411"/>
      <c r="R171" s="411"/>
      <c r="S171" s="411"/>
      <c r="T171" s="411"/>
      <c r="U171" s="411"/>
      <c r="V171" s="408"/>
      <c r="W171" s="446"/>
      <c r="X171" s="443">
        <v>42859</v>
      </c>
      <c r="Y171" s="444">
        <v>0.43965277777777773</v>
      </c>
    </row>
    <row r="172" spans="1:25" ht="12.75" customHeight="1">
      <c r="A172" s="445">
        <v>163</v>
      </c>
      <c r="B172" s="414"/>
      <c r="C172" s="415"/>
      <c r="D172" s="411"/>
      <c r="E172" s="411"/>
      <c r="F172" s="411"/>
      <c r="G172" s="411"/>
      <c r="H172" s="411"/>
      <c r="I172" s="411"/>
      <c r="J172" s="411"/>
      <c r="K172" s="411"/>
      <c r="L172" s="411"/>
      <c r="M172" s="411"/>
      <c r="N172" s="411"/>
      <c r="O172" s="411"/>
      <c r="P172" s="411"/>
      <c r="Q172" s="411"/>
      <c r="R172" s="411"/>
      <c r="S172" s="411"/>
      <c r="T172" s="411"/>
      <c r="U172" s="411"/>
      <c r="V172" s="408"/>
      <c r="W172" s="446"/>
      <c r="X172" s="443">
        <v>42859</v>
      </c>
      <c r="Y172" s="444">
        <v>0.43989583333333332</v>
      </c>
    </row>
    <row r="173" spans="1:25" ht="12.75" customHeight="1">
      <c r="A173" s="445">
        <v>164</v>
      </c>
      <c r="B173" s="414"/>
      <c r="C173" s="415"/>
      <c r="D173" s="411"/>
      <c r="E173" s="411"/>
      <c r="F173" s="411"/>
      <c r="G173" s="411"/>
      <c r="H173" s="411"/>
      <c r="I173" s="411"/>
      <c r="J173" s="411"/>
      <c r="K173" s="411"/>
      <c r="L173" s="411"/>
      <c r="M173" s="411"/>
      <c r="N173" s="411"/>
      <c r="O173" s="411"/>
      <c r="P173" s="411"/>
      <c r="Q173" s="411"/>
      <c r="R173" s="411"/>
      <c r="S173" s="411"/>
      <c r="T173" s="411"/>
      <c r="U173" s="411"/>
      <c r="V173" s="408"/>
      <c r="W173" s="446"/>
      <c r="X173" s="443">
        <v>42859</v>
      </c>
      <c r="Y173" s="444">
        <v>0.44006944444444446</v>
      </c>
    </row>
    <row r="174" spans="1:25" ht="12.75" customHeight="1">
      <c r="A174" s="445">
        <v>165</v>
      </c>
      <c r="B174" s="414"/>
      <c r="C174" s="415"/>
      <c r="D174" s="411"/>
      <c r="E174" s="411"/>
      <c r="F174" s="411"/>
      <c r="G174" s="411"/>
      <c r="H174" s="411"/>
      <c r="I174" s="411"/>
      <c r="J174" s="411"/>
      <c r="K174" s="411"/>
      <c r="L174" s="411"/>
      <c r="M174" s="411"/>
      <c r="N174" s="411"/>
      <c r="O174" s="411"/>
      <c r="P174" s="411"/>
      <c r="Q174" s="411"/>
      <c r="R174" s="411"/>
      <c r="S174" s="411"/>
      <c r="T174" s="411"/>
      <c r="U174" s="411"/>
      <c r="V174" s="408"/>
      <c r="W174" s="446"/>
      <c r="X174" s="443">
        <v>42859</v>
      </c>
      <c r="Y174" s="444">
        <v>0.44114583333333335</v>
      </c>
    </row>
    <row r="175" spans="1:25" ht="12.75" customHeight="1">
      <c r="A175" s="445">
        <v>166</v>
      </c>
      <c r="B175" s="414"/>
      <c r="C175" s="415"/>
      <c r="D175" s="411"/>
      <c r="E175" s="411"/>
      <c r="F175" s="411"/>
      <c r="G175" s="411"/>
      <c r="H175" s="411"/>
      <c r="I175" s="411"/>
      <c r="J175" s="411"/>
      <c r="K175" s="411"/>
      <c r="L175" s="411"/>
      <c r="M175" s="411"/>
      <c r="N175" s="411"/>
      <c r="O175" s="411"/>
      <c r="P175" s="411"/>
      <c r="Q175" s="411"/>
      <c r="R175" s="411"/>
      <c r="S175" s="411"/>
      <c r="T175" s="411"/>
      <c r="U175" s="411"/>
      <c r="V175" s="408"/>
      <c r="W175" s="446"/>
      <c r="X175" s="443">
        <v>42859</v>
      </c>
      <c r="Y175" s="444">
        <v>0.44138888888888889</v>
      </c>
    </row>
    <row r="176" spans="1:25" ht="12.75" customHeight="1">
      <c r="A176" s="445">
        <v>167</v>
      </c>
      <c r="B176" s="414"/>
      <c r="C176" s="415"/>
      <c r="D176" s="411"/>
      <c r="E176" s="411"/>
      <c r="F176" s="411"/>
      <c r="G176" s="411"/>
      <c r="H176" s="411"/>
      <c r="I176" s="411"/>
      <c r="J176" s="411"/>
      <c r="K176" s="411"/>
      <c r="L176" s="411"/>
      <c r="M176" s="411"/>
      <c r="N176" s="411"/>
      <c r="O176" s="411"/>
      <c r="P176" s="411"/>
      <c r="Q176" s="411"/>
      <c r="R176" s="411"/>
      <c r="S176" s="411"/>
      <c r="T176" s="411"/>
      <c r="U176" s="411"/>
      <c r="V176" s="408"/>
      <c r="W176" s="446"/>
      <c r="X176" s="443">
        <v>42859</v>
      </c>
      <c r="Y176" s="444">
        <v>0.44171296296296297</v>
      </c>
    </row>
    <row r="177" spans="1:25" ht="12.75" customHeight="1">
      <c r="A177" s="445">
        <v>168</v>
      </c>
      <c r="B177" s="414"/>
      <c r="C177" s="415"/>
      <c r="D177" s="411"/>
      <c r="E177" s="411"/>
      <c r="F177" s="411"/>
      <c r="G177" s="411"/>
      <c r="H177" s="411"/>
      <c r="I177" s="411"/>
      <c r="J177" s="411"/>
      <c r="K177" s="411"/>
      <c r="L177" s="411"/>
      <c r="M177" s="411"/>
      <c r="N177" s="411"/>
      <c r="O177" s="411"/>
      <c r="P177" s="411"/>
      <c r="Q177" s="411"/>
      <c r="R177" s="411"/>
      <c r="S177" s="411"/>
      <c r="T177" s="411"/>
      <c r="U177" s="411"/>
      <c r="V177" s="408"/>
      <c r="W177" s="446"/>
      <c r="X177" s="443">
        <v>42859</v>
      </c>
      <c r="Y177" s="444">
        <v>0.44197916666666665</v>
      </c>
    </row>
    <row r="178" spans="1:25" ht="12.75" customHeight="1">
      <c r="A178" s="445">
        <v>169</v>
      </c>
      <c r="B178" s="414"/>
      <c r="C178" s="415"/>
      <c r="D178" s="411"/>
      <c r="E178" s="411"/>
      <c r="F178" s="411"/>
      <c r="G178" s="411"/>
      <c r="H178" s="411"/>
      <c r="I178" s="411"/>
      <c r="J178" s="411"/>
      <c r="K178" s="411"/>
      <c r="L178" s="411"/>
      <c r="M178" s="411"/>
      <c r="N178" s="411"/>
      <c r="O178" s="411"/>
      <c r="P178" s="411"/>
      <c r="Q178" s="411"/>
      <c r="R178" s="411"/>
      <c r="S178" s="411"/>
      <c r="T178" s="411"/>
      <c r="U178" s="411"/>
      <c r="V178" s="408"/>
      <c r="W178" s="446"/>
      <c r="X178" s="443">
        <v>42859</v>
      </c>
      <c r="Y178" s="444">
        <v>0.44210648148148146</v>
      </c>
    </row>
    <row r="179" spans="1:25" ht="12.75" customHeight="1">
      <c r="A179" s="445">
        <v>170</v>
      </c>
      <c r="B179" s="414"/>
      <c r="C179" s="415"/>
      <c r="D179" s="411"/>
      <c r="E179" s="411"/>
      <c r="F179" s="411"/>
      <c r="G179" s="411"/>
      <c r="H179" s="411"/>
      <c r="I179" s="411"/>
      <c r="J179" s="411"/>
      <c r="K179" s="411"/>
      <c r="L179" s="411"/>
      <c r="M179" s="411"/>
      <c r="N179" s="411"/>
      <c r="O179" s="411"/>
      <c r="P179" s="411"/>
      <c r="Q179" s="411"/>
      <c r="R179" s="411"/>
      <c r="S179" s="411"/>
      <c r="T179" s="411"/>
      <c r="U179" s="411"/>
      <c r="V179" s="408"/>
      <c r="W179" s="446"/>
      <c r="X179" s="443">
        <v>42859</v>
      </c>
      <c r="Y179" s="444">
        <v>0.44440972222222225</v>
      </c>
    </row>
    <row r="180" spans="1:25" ht="12.75" customHeight="1">
      <c r="A180" s="445">
        <v>171</v>
      </c>
      <c r="B180" s="414"/>
      <c r="C180" s="415"/>
      <c r="D180" s="411"/>
      <c r="E180" s="411"/>
      <c r="F180" s="411"/>
      <c r="G180" s="411"/>
      <c r="H180" s="411"/>
      <c r="I180" s="411"/>
      <c r="J180" s="411"/>
      <c r="K180" s="411"/>
      <c r="L180" s="411"/>
      <c r="M180" s="411"/>
      <c r="N180" s="411"/>
      <c r="O180" s="411"/>
      <c r="P180" s="411"/>
      <c r="Q180" s="411"/>
      <c r="R180" s="411"/>
      <c r="S180" s="411"/>
      <c r="T180" s="411"/>
      <c r="U180" s="411"/>
      <c r="V180" s="408"/>
      <c r="W180" s="446"/>
      <c r="X180" s="443">
        <v>42859</v>
      </c>
      <c r="Y180" s="444">
        <v>0.4460648148148148</v>
      </c>
    </row>
    <row r="181" spans="1:25" ht="12.75" customHeight="1">
      <c r="A181" s="445">
        <v>172</v>
      </c>
      <c r="B181" s="414"/>
      <c r="C181" s="415"/>
      <c r="D181" s="411"/>
      <c r="E181" s="411"/>
      <c r="F181" s="411"/>
      <c r="G181" s="411"/>
      <c r="H181" s="411"/>
      <c r="I181" s="411"/>
      <c r="J181" s="411"/>
      <c r="K181" s="411"/>
      <c r="L181" s="411"/>
      <c r="M181" s="411"/>
      <c r="N181" s="411"/>
      <c r="O181" s="411"/>
      <c r="P181" s="411"/>
      <c r="Q181" s="411"/>
      <c r="R181" s="411"/>
      <c r="S181" s="411"/>
      <c r="T181" s="411"/>
      <c r="U181" s="411"/>
      <c r="V181" s="408"/>
      <c r="W181" s="446"/>
      <c r="X181" s="443">
        <v>42859</v>
      </c>
      <c r="Y181" s="444">
        <v>0.44672453703703702</v>
      </c>
    </row>
    <row r="182" spans="1:25" ht="12.75" customHeight="1">
      <c r="A182" s="445">
        <v>173</v>
      </c>
      <c r="B182" s="414"/>
      <c r="C182" s="415"/>
      <c r="D182" s="411"/>
      <c r="E182" s="411"/>
      <c r="F182" s="411"/>
      <c r="G182" s="411"/>
      <c r="H182" s="411"/>
      <c r="I182" s="411"/>
      <c r="J182" s="411"/>
      <c r="K182" s="411"/>
      <c r="L182" s="411"/>
      <c r="M182" s="411"/>
      <c r="N182" s="411"/>
      <c r="O182" s="411"/>
      <c r="P182" s="411"/>
      <c r="Q182" s="411"/>
      <c r="R182" s="411"/>
      <c r="S182" s="411"/>
      <c r="T182" s="411"/>
      <c r="U182" s="411"/>
      <c r="V182" s="408"/>
      <c r="W182" s="446"/>
      <c r="X182" s="443">
        <v>42859</v>
      </c>
      <c r="Y182" s="444">
        <v>0.44846064814814812</v>
      </c>
    </row>
    <row r="183" spans="1:25" ht="12.75" customHeight="1">
      <c r="A183" s="445">
        <v>174</v>
      </c>
      <c r="B183" s="414"/>
      <c r="C183" s="415"/>
      <c r="D183" s="411"/>
      <c r="E183" s="411"/>
      <c r="F183" s="411"/>
      <c r="G183" s="411"/>
      <c r="H183" s="411"/>
      <c r="I183" s="411"/>
      <c r="J183" s="411"/>
      <c r="K183" s="411"/>
      <c r="L183" s="411"/>
      <c r="M183" s="411"/>
      <c r="N183" s="411"/>
      <c r="O183" s="411"/>
      <c r="P183" s="411"/>
      <c r="Q183" s="411"/>
      <c r="R183" s="411"/>
      <c r="S183" s="411"/>
      <c r="T183" s="411"/>
      <c r="U183" s="411"/>
      <c r="V183" s="408"/>
      <c r="W183" s="446"/>
      <c r="X183" s="443">
        <v>42859</v>
      </c>
      <c r="Y183" s="444">
        <v>0.44865740740740739</v>
      </c>
    </row>
    <row r="184" spans="1:25" ht="12.75" customHeight="1">
      <c r="A184" s="445">
        <v>175</v>
      </c>
      <c r="B184" s="414"/>
      <c r="C184" s="415"/>
      <c r="D184" s="411"/>
      <c r="E184" s="411"/>
      <c r="F184" s="411"/>
      <c r="G184" s="411"/>
      <c r="H184" s="411"/>
      <c r="I184" s="411"/>
      <c r="J184" s="411"/>
      <c r="K184" s="411"/>
      <c r="L184" s="411"/>
      <c r="M184" s="411"/>
      <c r="N184" s="411"/>
      <c r="O184" s="411"/>
      <c r="P184" s="411"/>
      <c r="Q184" s="411"/>
      <c r="R184" s="411"/>
      <c r="S184" s="411"/>
      <c r="T184" s="411"/>
      <c r="U184" s="411"/>
      <c r="V184" s="408"/>
      <c r="W184" s="446"/>
      <c r="X184" s="443">
        <v>42859</v>
      </c>
      <c r="Y184" s="444">
        <v>0.44878472222222227</v>
      </c>
    </row>
    <row r="185" spans="1:25" ht="12.75" customHeight="1">
      <c r="A185" s="445">
        <v>176</v>
      </c>
      <c r="B185" s="414"/>
      <c r="C185" s="415"/>
      <c r="D185" s="411"/>
      <c r="E185" s="411"/>
      <c r="F185" s="411"/>
      <c r="G185" s="411"/>
      <c r="H185" s="411"/>
      <c r="I185" s="411"/>
      <c r="J185" s="411"/>
      <c r="K185" s="411"/>
      <c r="L185" s="411"/>
      <c r="M185" s="411"/>
      <c r="N185" s="411"/>
      <c r="O185" s="411"/>
      <c r="P185" s="411"/>
      <c r="Q185" s="411"/>
      <c r="R185" s="411"/>
      <c r="S185" s="411"/>
      <c r="T185" s="411"/>
      <c r="U185" s="411"/>
      <c r="V185" s="408"/>
      <c r="W185" s="446"/>
      <c r="X185" s="443">
        <v>42859</v>
      </c>
      <c r="Y185" s="444">
        <v>0.4490277777777778</v>
      </c>
    </row>
    <row r="186" spans="1:25" ht="12.75" customHeight="1">
      <c r="A186" s="445">
        <v>177</v>
      </c>
      <c r="B186" s="414"/>
      <c r="C186" s="415"/>
      <c r="D186" s="411"/>
      <c r="E186" s="411"/>
      <c r="F186" s="411"/>
      <c r="G186" s="411"/>
      <c r="H186" s="411"/>
      <c r="I186" s="411"/>
      <c r="J186" s="411"/>
      <c r="K186" s="411"/>
      <c r="L186" s="411"/>
      <c r="M186" s="411"/>
      <c r="N186" s="411"/>
      <c r="O186" s="411"/>
      <c r="P186" s="411"/>
      <c r="Q186" s="411"/>
      <c r="R186" s="411"/>
      <c r="S186" s="411"/>
      <c r="T186" s="411"/>
      <c r="U186" s="411"/>
      <c r="V186" s="408"/>
      <c r="W186" s="446"/>
      <c r="X186" s="443">
        <v>42859</v>
      </c>
      <c r="Y186" s="444">
        <v>0.44923611111111111</v>
      </c>
    </row>
    <row r="187" spans="1:25" ht="12.75" customHeight="1">
      <c r="A187" s="445">
        <v>178</v>
      </c>
      <c r="B187" s="414"/>
      <c r="C187" s="415"/>
      <c r="D187" s="411"/>
      <c r="E187" s="411"/>
      <c r="F187" s="411"/>
      <c r="G187" s="411"/>
      <c r="H187" s="411"/>
      <c r="I187" s="411"/>
      <c r="J187" s="411"/>
      <c r="K187" s="411"/>
      <c r="L187" s="411"/>
      <c r="M187" s="411"/>
      <c r="N187" s="411"/>
      <c r="O187" s="411"/>
      <c r="P187" s="411"/>
      <c r="Q187" s="411"/>
      <c r="R187" s="411"/>
      <c r="S187" s="411"/>
      <c r="T187" s="411"/>
      <c r="U187" s="411"/>
      <c r="V187" s="408"/>
      <c r="W187" s="446"/>
      <c r="X187" s="443">
        <v>42859</v>
      </c>
      <c r="Y187" s="444">
        <v>0.45126157407407402</v>
      </c>
    </row>
    <row r="188" spans="1:25" ht="12.75" customHeight="1">
      <c r="A188" s="445">
        <v>179</v>
      </c>
      <c r="B188" s="414"/>
      <c r="C188" s="415"/>
      <c r="D188" s="411"/>
      <c r="E188" s="411"/>
      <c r="F188" s="411"/>
      <c r="G188" s="411"/>
      <c r="H188" s="411"/>
      <c r="I188" s="411"/>
      <c r="J188" s="411"/>
      <c r="K188" s="411"/>
      <c r="L188" s="411"/>
      <c r="M188" s="411"/>
      <c r="N188" s="411"/>
      <c r="O188" s="411"/>
      <c r="P188" s="411"/>
      <c r="Q188" s="411"/>
      <c r="R188" s="411"/>
      <c r="S188" s="411"/>
      <c r="T188" s="411"/>
      <c r="U188" s="411"/>
      <c r="V188" s="408"/>
      <c r="W188" s="446"/>
      <c r="X188" s="443">
        <v>42859</v>
      </c>
      <c r="Y188" s="444">
        <v>0.45157407407407407</v>
      </c>
    </row>
    <row r="189" spans="1:25" ht="12.75" customHeight="1">
      <c r="A189" s="445">
        <v>180</v>
      </c>
      <c r="B189" s="414"/>
      <c r="C189" s="415"/>
      <c r="D189" s="411"/>
      <c r="E189" s="411"/>
      <c r="F189" s="411"/>
      <c r="G189" s="411"/>
      <c r="H189" s="411"/>
      <c r="I189" s="411"/>
      <c r="J189" s="411"/>
      <c r="K189" s="411"/>
      <c r="L189" s="411"/>
      <c r="M189" s="411"/>
      <c r="N189" s="411"/>
      <c r="O189" s="411"/>
      <c r="P189" s="411"/>
      <c r="Q189" s="411"/>
      <c r="R189" s="411"/>
      <c r="S189" s="411"/>
      <c r="T189" s="411"/>
      <c r="U189" s="411"/>
      <c r="V189" s="408"/>
      <c r="W189" s="446"/>
      <c r="X189" s="443">
        <v>42859</v>
      </c>
      <c r="Y189" s="444">
        <v>0.45165509259259262</v>
      </c>
    </row>
    <row r="190" spans="1:25" ht="12.75" customHeight="1">
      <c r="A190" s="445">
        <v>181</v>
      </c>
      <c r="B190" s="414"/>
      <c r="C190" s="415"/>
      <c r="D190" s="411"/>
      <c r="E190" s="411"/>
      <c r="F190" s="411"/>
      <c r="G190" s="411"/>
      <c r="H190" s="411"/>
      <c r="I190" s="411"/>
      <c r="J190" s="411"/>
      <c r="K190" s="411"/>
      <c r="L190" s="411"/>
      <c r="M190" s="411"/>
      <c r="N190" s="411"/>
      <c r="O190" s="411"/>
      <c r="P190" s="411"/>
      <c r="Q190" s="411"/>
      <c r="R190" s="411"/>
      <c r="S190" s="411"/>
      <c r="T190" s="411"/>
      <c r="U190" s="411"/>
      <c r="V190" s="408"/>
      <c r="W190" s="446"/>
      <c r="X190" s="443">
        <v>42859</v>
      </c>
      <c r="Y190" s="444">
        <v>0.45307870370370368</v>
      </c>
    </row>
    <row r="191" spans="1:25" ht="12.75" customHeight="1">
      <c r="A191" s="445">
        <v>182</v>
      </c>
      <c r="B191" s="414"/>
      <c r="C191" s="415"/>
      <c r="D191" s="411"/>
      <c r="E191" s="411"/>
      <c r="F191" s="411"/>
      <c r="G191" s="411"/>
      <c r="H191" s="411"/>
      <c r="I191" s="411"/>
      <c r="J191" s="411"/>
      <c r="K191" s="411"/>
      <c r="L191" s="411"/>
      <c r="M191" s="411"/>
      <c r="N191" s="411"/>
      <c r="O191" s="411"/>
      <c r="P191" s="411"/>
      <c r="Q191" s="411"/>
      <c r="R191" s="411"/>
      <c r="S191" s="411"/>
      <c r="T191" s="411"/>
      <c r="U191" s="411"/>
      <c r="V191" s="408"/>
      <c r="W191" s="446"/>
      <c r="X191" s="443">
        <v>42859</v>
      </c>
      <c r="Y191" s="444">
        <v>0.45320601851851849</v>
      </c>
    </row>
    <row r="192" spans="1:25" ht="12.75" customHeight="1">
      <c r="A192" s="445">
        <v>183</v>
      </c>
      <c r="B192" s="414"/>
      <c r="C192" s="415"/>
      <c r="D192" s="411"/>
      <c r="E192" s="411"/>
      <c r="F192" s="411"/>
      <c r="G192" s="411"/>
      <c r="H192" s="411"/>
      <c r="I192" s="411"/>
      <c r="J192" s="411"/>
      <c r="K192" s="411"/>
      <c r="L192" s="411"/>
      <c r="M192" s="411"/>
      <c r="N192" s="411"/>
      <c r="O192" s="411"/>
      <c r="P192" s="411"/>
      <c r="Q192" s="411"/>
      <c r="R192" s="411"/>
      <c r="S192" s="411"/>
      <c r="T192" s="411"/>
      <c r="U192" s="411"/>
      <c r="V192" s="408"/>
      <c r="W192" s="446"/>
      <c r="X192" s="443">
        <v>42859</v>
      </c>
      <c r="Y192" s="444">
        <v>0.45337962962962958</v>
      </c>
    </row>
    <row r="193" spans="1:25" ht="12.75" customHeight="1">
      <c r="A193" s="445">
        <v>184</v>
      </c>
      <c r="B193" s="414"/>
      <c r="C193" s="415"/>
      <c r="D193" s="411"/>
      <c r="E193" s="411"/>
      <c r="F193" s="411"/>
      <c r="G193" s="411"/>
      <c r="H193" s="411"/>
      <c r="I193" s="411"/>
      <c r="J193" s="411"/>
      <c r="K193" s="411"/>
      <c r="L193" s="411"/>
      <c r="M193" s="411"/>
      <c r="N193" s="411"/>
      <c r="O193" s="411"/>
      <c r="P193" s="411"/>
      <c r="Q193" s="411"/>
      <c r="R193" s="411"/>
      <c r="S193" s="411"/>
      <c r="T193" s="411"/>
      <c r="U193" s="411"/>
      <c r="V193" s="408"/>
      <c r="W193" s="446"/>
      <c r="X193" s="443">
        <v>42859</v>
      </c>
      <c r="Y193" s="444">
        <v>0.45349537037037035</v>
      </c>
    </row>
    <row r="194" spans="1:25" ht="12.75" customHeight="1">
      <c r="A194" s="445">
        <v>185</v>
      </c>
      <c r="B194" s="414"/>
      <c r="C194" s="415"/>
      <c r="D194" s="411"/>
      <c r="E194" s="411"/>
      <c r="F194" s="411"/>
      <c r="G194" s="411"/>
      <c r="H194" s="411"/>
      <c r="I194" s="411"/>
      <c r="J194" s="411"/>
      <c r="K194" s="411"/>
      <c r="L194" s="411"/>
      <c r="M194" s="411"/>
      <c r="N194" s="411"/>
      <c r="O194" s="411"/>
      <c r="P194" s="411"/>
      <c r="Q194" s="411"/>
      <c r="R194" s="411"/>
      <c r="S194" s="411"/>
      <c r="T194" s="411"/>
      <c r="U194" s="411"/>
      <c r="V194" s="408"/>
      <c r="W194" s="446"/>
      <c r="X194" s="443">
        <v>42859</v>
      </c>
      <c r="Y194" s="444">
        <v>0.4535763888888889</v>
      </c>
    </row>
    <row r="195" spans="1:25" ht="12.75" customHeight="1">
      <c r="A195" s="445">
        <v>186</v>
      </c>
      <c r="B195" s="414"/>
      <c r="C195" s="415"/>
      <c r="D195" s="411"/>
      <c r="E195" s="411"/>
      <c r="F195" s="411"/>
      <c r="G195" s="411"/>
      <c r="H195" s="411"/>
      <c r="I195" s="411"/>
      <c r="J195" s="411"/>
      <c r="K195" s="411"/>
      <c r="L195" s="411"/>
      <c r="M195" s="411"/>
      <c r="N195" s="411"/>
      <c r="O195" s="411"/>
      <c r="P195" s="411"/>
      <c r="Q195" s="411"/>
      <c r="R195" s="411"/>
      <c r="S195" s="411"/>
      <c r="T195" s="411"/>
      <c r="U195" s="411"/>
      <c r="V195" s="408"/>
      <c r="W195" s="446"/>
      <c r="X195" s="443">
        <v>42859</v>
      </c>
      <c r="Y195" s="444">
        <v>0.45465277777777779</v>
      </c>
    </row>
    <row r="196" spans="1:25" ht="12.75" customHeight="1">
      <c r="A196" s="445">
        <v>187</v>
      </c>
      <c r="B196" s="414"/>
      <c r="C196" s="415"/>
      <c r="D196" s="411"/>
      <c r="E196" s="411"/>
      <c r="F196" s="411"/>
      <c r="G196" s="411"/>
      <c r="H196" s="411"/>
      <c r="I196" s="411"/>
      <c r="J196" s="411"/>
      <c r="K196" s="411"/>
      <c r="L196" s="411"/>
      <c r="M196" s="411"/>
      <c r="N196" s="411"/>
      <c r="O196" s="411"/>
      <c r="P196" s="411"/>
      <c r="Q196" s="411"/>
      <c r="R196" s="411"/>
      <c r="S196" s="411"/>
      <c r="T196" s="411"/>
      <c r="U196" s="411"/>
      <c r="V196" s="408"/>
      <c r="W196" s="446"/>
      <c r="X196" s="443">
        <v>42859</v>
      </c>
      <c r="Y196" s="444">
        <v>0.45478009259259261</v>
      </c>
    </row>
    <row r="197" spans="1:25" ht="12.75" customHeight="1">
      <c r="A197" s="445">
        <v>188</v>
      </c>
      <c r="B197" s="414"/>
      <c r="C197" s="415"/>
      <c r="D197" s="411"/>
      <c r="E197" s="411"/>
      <c r="F197" s="411"/>
      <c r="G197" s="411"/>
      <c r="H197" s="411"/>
      <c r="I197" s="411"/>
      <c r="J197" s="411"/>
      <c r="K197" s="411"/>
      <c r="L197" s="411"/>
      <c r="M197" s="411"/>
      <c r="N197" s="411"/>
      <c r="O197" s="411"/>
      <c r="P197" s="411"/>
      <c r="Q197" s="411"/>
      <c r="R197" s="411"/>
      <c r="S197" s="411"/>
      <c r="T197" s="411"/>
      <c r="U197" s="411"/>
      <c r="V197" s="408"/>
      <c r="W197" s="446"/>
      <c r="X197" s="443">
        <v>42859</v>
      </c>
      <c r="Y197" s="444">
        <v>0.45490740740740737</v>
      </c>
    </row>
    <row r="198" spans="1:25" ht="12.75" customHeight="1">
      <c r="A198" s="445">
        <v>189</v>
      </c>
      <c r="B198" s="414"/>
      <c r="C198" s="415"/>
      <c r="D198" s="411"/>
      <c r="E198" s="411"/>
      <c r="F198" s="411"/>
      <c r="G198" s="411"/>
      <c r="H198" s="411"/>
      <c r="I198" s="411"/>
      <c r="J198" s="411"/>
      <c r="K198" s="411"/>
      <c r="L198" s="411"/>
      <c r="M198" s="411"/>
      <c r="N198" s="411"/>
      <c r="O198" s="411"/>
      <c r="P198" s="411"/>
      <c r="Q198" s="411"/>
      <c r="R198" s="411"/>
      <c r="S198" s="411"/>
      <c r="T198" s="411"/>
      <c r="U198" s="411"/>
      <c r="V198" s="408"/>
      <c r="W198" s="446"/>
      <c r="X198" s="443">
        <v>42859</v>
      </c>
      <c r="Y198" s="444">
        <v>0.45497685185185183</v>
      </c>
    </row>
    <row r="199" spans="1:25" ht="12.75" customHeight="1">
      <c r="A199" s="445">
        <v>190</v>
      </c>
      <c r="B199" s="414"/>
      <c r="C199" s="415"/>
      <c r="D199" s="411"/>
      <c r="E199" s="411"/>
      <c r="F199" s="411"/>
      <c r="G199" s="411"/>
      <c r="H199" s="411"/>
      <c r="I199" s="411"/>
      <c r="J199" s="411"/>
      <c r="K199" s="411"/>
      <c r="L199" s="411"/>
      <c r="M199" s="411"/>
      <c r="N199" s="411"/>
      <c r="O199" s="411"/>
      <c r="P199" s="411"/>
      <c r="Q199" s="411"/>
      <c r="R199" s="411"/>
      <c r="S199" s="411"/>
      <c r="T199" s="411"/>
      <c r="U199" s="411"/>
      <c r="V199" s="408"/>
      <c r="W199" s="446"/>
      <c r="X199" s="443">
        <v>42859</v>
      </c>
      <c r="Y199" s="444">
        <v>0.45502314814814815</v>
      </c>
    </row>
    <row r="200" spans="1:25" ht="12.75" customHeight="1">
      <c r="A200" s="445">
        <v>191</v>
      </c>
      <c r="B200" s="414"/>
      <c r="C200" s="415"/>
      <c r="D200" s="411"/>
      <c r="E200" s="411"/>
      <c r="F200" s="411"/>
      <c r="G200" s="411"/>
      <c r="H200" s="411"/>
      <c r="I200" s="411"/>
      <c r="J200" s="411"/>
      <c r="K200" s="411"/>
      <c r="L200" s="411"/>
      <c r="M200" s="411"/>
      <c r="N200" s="411"/>
      <c r="O200" s="411"/>
      <c r="P200" s="411"/>
      <c r="Q200" s="411"/>
      <c r="R200" s="411"/>
      <c r="S200" s="411"/>
      <c r="T200" s="411"/>
      <c r="U200" s="411"/>
      <c r="V200" s="408"/>
      <c r="W200" s="446"/>
      <c r="X200" s="443">
        <v>42859</v>
      </c>
      <c r="Y200" s="444">
        <v>0.45738425925925924</v>
      </c>
    </row>
    <row r="201" spans="1:25" ht="12.75" customHeight="1">
      <c r="A201" s="445">
        <v>192</v>
      </c>
      <c r="B201" s="414"/>
      <c r="C201" s="415"/>
      <c r="D201" s="411"/>
      <c r="E201" s="411"/>
      <c r="F201" s="411"/>
      <c r="G201" s="411"/>
      <c r="H201" s="411"/>
      <c r="I201" s="411"/>
      <c r="J201" s="411"/>
      <c r="K201" s="411"/>
      <c r="L201" s="411"/>
      <c r="M201" s="411"/>
      <c r="N201" s="411"/>
      <c r="O201" s="411"/>
      <c r="P201" s="411"/>
      <c r="Q201" s="411"/>
      <c r="R201" s="411"/>
      <c r="S201" s="411"/>
      <c r="T201" s="411"/>
      <c r="U201" s="411"/>
      <c r="V201" s="408"/>
      <c r="W201" s="446"/>
      <c r="X201" s="443">
        <v>42859</v>
      </c>
      <c r="Y201" s="444">
        <v>0.45759259259259261</v>
      </c>
    </row>
    <row r="202" spans="1:25" ht="12.75" customHeight="1">
      <c r="A202" s="445">
        <v>193</v>
      </c>
      <c r="B202" s="414"/>
      <c r="C202" s="415"/>
      <c r="D202" s="411"/>
      <c r="E202" s="411"/>
      <c r="F202" s="411"/>
      <c r="G202" s="411"/>
      <c r="H202" s="411"/>
      <c r="I202" s="411"/>
      <c r="J202" s="411"/>
      <c r="K202" s="411"/>
      <c r="L202" s="411"/>
      <c r="M202" s="411"/>
      <c r="N202" s="411"/>
      <c r="O202" s="411"/>
      <c r="P202" s="411"/>
      <c r="Q202" s="411"/>
      <c r="R202" s="411"/>
      <c r="S202" s="411"/>
      <c r="T202" s="411"/>
      <c r="U202" s="411"/>
      <c r="V202" s="408"/>
      <c r="W202" s="446"/>
      <c r="X202" s="443">
        <v>42859</v>
      </c>
      <c r="Y202" s="444">
        <v>0.45788194444444441</v>
      </c>
    </row>
    <row r="203" spans="1:25" ht="12.75" customHeight="1">
      <c r="A203" s="445">
        <v>194</v>
      </c>
      <c r="B203" s="414"/>
      <c r="C203" s="415"/>
      <c r="D203" s="411"/>
      <c r="E203" s="411"/>
      <c r="F203" s="411"/>
      <c r="G203" s="411"/>
      <c r="H203" s="411"/>
      <c r="I203" s="411"/>
      <c r="J203" s="411"/>
      <c r="K203" s="411"/>
      <c r="L203" s="411"/>
      <c r="M203" s="411"/>
      <c r="N203" s="411"/>
      <c r="O203" s="411"/>
      <c r="P203" s="411"/>
      <c r="Q203" s="411"/>
      <c r="R203" s="411"/>
      <c r="S203" s="411"/>
      <c r="T203" s="411"/>
      <c r="U203" s="411"/>
      <c r="V203" s="408"/>
      <c r="W203" s="446"/>
      <c r="X203" s="443">
        <v>42859</v>
      </c>
      <c r="Y203" s="444">
        <v>0.4599421296296296</v>
      </c>
    </row>
    <row r="204" spans="1:25" ht="12.75" customHeight="1">
      <c r="A204" s="445">
        <v>195</v>
      </c>
      <c r="B204" s="414"/>
      <c r="C204" s="415"/>
      <c r="D204" s="411"/>
      <c r="E204" s="411"/>
      <c r="F204" s="411"/>
      <c r="G204" s="411"/>
      <c r="H204" s="411"/>
      <c r="I204" s="411"/>
      <c r="J204" s="411"/>
      <c r="K204" s="411"/>
      <c r="L204" s="411"/>
      <c r="M204" s="411"/>
      <c r="N204" s="411"/>
      <c r="O204" s="411"/>
      <c r="P204" s="411"/>
      <c r="Q204" s="411"/>
      <c r="R204" s="411"/>
      <c r="S204" s="411"/>
      <c r="T204" s="411"/>
      <c r="U204" s="411"/>
      <c r="V204" s="408"/>
      <c r="W204" s="446"/>
      <c r="X204" s="443">
        <v>42859</v>
      </c>
      <c r="Y204" s="444">
        <v>0.4600231481481481</v>
      </c>
    </row>
    <row r="205" spans="1:25" ht="12.75" customHeight="1">
      <c r="A205" s="445">
        <v>196</v>
      </c>
      <c r="B205" s="414"/>
      <c r="C205" s="415"/>
      <c r="D205" s="411"/>
      <c r="E205" s="411"/>
      <c r="F205" s="411"/>
      <c r="G205" s="411"/>
      <c r="H205" s="411"/>
      <c r="I205" s="411"/>
      <c r="J205" s="411"/>
      <c r="K205" s="411"/>
      <c r="L205" s="411"/>
      <c r="M205" s="411"/>
      <c r="N205" s="411"/>
      <c r="O205" s="411"/>
      <c r="P205" s="411"/>
      <c r="Q205" s="411"/>
      <c r="R205" s="411"/>
      <c r="S205" s="411"/>
      <c r="T205" s="411"/>
      <c r="U205" s="411"/>
      <c r="V205" s="408"/>
      <c r="W205" s="446"/>
      <c r="X205" s="443">
        <v>42859</v>
      </c>
      <c r="Y205" s="444">
        <v>0.46026620370370369</v>
      </c>
    </row>
    <row r="206" spans="1:25" ht="12.75" customHeight="1">
      <c r="A206" s="445">
        <v>197</v>
      </c>
      <c r="B206" s="414"/>
      <c r="C206" s="415"/>
      <c r="D206" s="411"/>
      <c r="E206" s="411"/>
      <c r="F206" s="411"/>
      <c r="G206" s="411"/>
      <c r="H206" s="411"/>
      <c r="I206" s="411"/>
      <c r="J206" s="411"/>
      <c r="K206" s="411"/>
      <c r="L206" s="411"/>
      <c r="M206" s="411"/>
      <c r="N206" s="411"/>
      <c r="O206" s="411"/>
      <c r="P206" s="411"/>
      <c r="Q206" s="411"/>
      <c r="R206" s="411"/>
      <c r="S206" s="411"/>
      <c r="T206" s="411"/>
      <c r="U206" s="411"/>
      <c r="V206" s="408"/>
      <c r="W206" s="446"/>
      <c r="X206" s="443">
        <v>42859</v>
      </c>
      <c r="Y206" s="444">
        <v>0.46045138888888887</v>
      </c>
    </row>
    <row r="207" spans="1:25" ht="12.75" customHeight="1">
      <c r="A207" s="445">
        <v>198</v>
      </c>
      <c r="B207" s="414"/>
      <c r="C207" s="415"/>
      <c r="D207" s="411"/>
      <c r="E207" s="411"/>
      <c r="F207" s="411"/>
      <c r="G207" s="411"/>
      <c r="H207" s="411"/>
      <c r="I207" s="411"/>
      <c r="J207" s="411"/>
      <c r="K207" s="411"/>
      <c r="L207" s="411"/>
      <c r="M207" s="411"/>
      <c r="N207" s="411"/>
      <c r="O207" s="411"/>
      <c r="P207" s="411"/>
      <c r="Q207" s="411"/>
      <c r="R207" s="411"/>
      <c r="S207" s="411"/>
      <c r="T207" s="411"/>
      <c r="U207" s="411"/>
      <c r="V207" s="408"/>
      <c r="W207" s="446"/>
      <c r="X207" s="443">
        <v>42859</v>
      </c>
      <c r="Y207" s="444">
        <v>0.46055555555555555</v>
      </c>
    </row>
    <row r="208" spans="1:25" ht="12.75" customHeight="1">
      <c r="A208" s="445">
        <v>199</v>
      </c>
      <c r="B208" s="414"/>
      <c r="C208" s="415"/>
      <c r="D208" s="411"/>
      <c r="E208" s="411"/>
      <c r="F208" s="411"/>
      <c r="G208" s="411"/>
      <c r="H208" s="411"/>
      <c r="I208" s="411"/>
      <c r="J208" s="411"/>
      <c r="K208" s="411"/>
      <c r="L208" s="411"/>
      <c r="M208" s="411"/>
      <c r="N208" s="411"/>
      <c r="O208" s="411"/>
      <c r="P208" s="411"/>
      <c r="Q208" s="411"/>
      <c r="R208" s="411"/>
      <c r="S208" s="411"/>
      <c r="T208" s="411"/>
      <c r="U208" s="411"/>
      <c r="V208" s="408"/>
      <c r="W208" s="446"/>
      <c r="X208" s="443">
        <v>42859</v>
      </c>
      <c r="Y208" s="444">
        <v>0.46107638888888891</v>
      </c>
    </row>
    <row r="209" spans="1:25" ht="12.75" customHeight="1">
      <c r="A209" s="445">
        <v>200</v>
      </c>
      <c r="B209" s="414"/>
      <c r="C209" s="415"/>
      <c r="D209" s="411"/>
      <c r="E209" s="411"/>
      <c r="F209" s="411"/>
      <c r="G209" s="411"/>
      <c r="H209" s="411"/>
      <c r="I209" s="411"/>
      <c r="J209" s="411"/>
      <c r="K209" s="411"/>
      <c r="L209" s="411"/>
      <c r="M209" s="411"/>
      <c r="N209" s="411"/>
      <c r="O209" s="411"/>
      <c r="P209" s="411"/>
      <c r="Q209" s="411"/>
      <c r="R209" s="411"/>
      <c r="S209" s="411"/>
      <c r="T209" s="411"/>
      <c r="U209" s="411"/>
      <c r="V209" s="408"/>
      <c r="W209" s="446"/>
      <c r="X209" s="443">
        <v>42859</v>
      </c>
      <c r="Y209" s="444">
        <v>0.46233796296296298</v>
      </c>
    </row>
    <row r="210" spans="1:25" ht="12.75" customHeight="1">
      <c r="A210" s="445">
        <v>201</v>
      </c>
      <c r="B210" s="414"/>
      <c r="C210" s="415"/>
      <c r="D210" s="411"/>
      <c r="E210" s="411"/>
      <c r="F210" s="411"/>
      <c r="G210" s="411"/>
      <c r="H210" s="411"/>
      <c r="I210" s="411"/>
      <c r="J210" s="411"/>
      <c r="K210" s="411"/>
      <c r="L210" s="411"/>
      <c r="M210" s="411"/>
      <c r="N210" s="411"/>
      <c r="O210" s="411"/>
      <c r="P210" s="411"/>
      <c r="Q210" s="411"/>
      <c r="R210" s="411"/>
      <c r="S210" s="411"/>
      <c r="T210" s="411"/>
      <c r="U210" s="411"/>
      <c r="V210" s="408"/>
      <c r="W210" s="446"/>
      <c r="X210" s="443">
        <v>42859</v>
      </c>
      <c r="Y210" s="444">
        <v>0.46306712962962965</v>
      </c>
    </row>
    <row r="211" spans="1:25" ht="12.75" customHeight="1">
      <c r="A211" s="445">
        <v>202</v>
      </c>
      <c r="B211" s="414"/>
      <c r="C211" s="415"/>
      <c r="D211" s="411"/>
      <c r="E211" s="411"/>
      <c r="F211" s="411"/>
      <c r="G211" s="411"/>
      <c r="H211" s="411"/>
      <c r="I211" s="411"/>
      <c r="J211" s="411"/>
      <c r="K211" s="411"/>
      <c r="L211" s="411"/>
      <c r="M211" s="411"/>
      <c r="N211" s="411"/>
      <c r="O211" s="411"/>
      <c r="P211" s="411"/>
      <c r="Q211" s="411"/>
      <c r="R211" s="411"/>
      <c r="S211" s="411"/>
      <c r="T211" s="411"/>
      <c r="U211" s="411"/>
      <c r="V211" s="408"/>
      <c r="W211" s="446"/>
      <c r="X211" s="443">
        <v>42859</v>
      </c>
      <c r="Y211" s="444">
        <v>0.46334490740740741</v>
      </c>
    </row>
    <row r="212" spans="1:25" ht="12.75" customHeight="1">
      <c r="A212" s="445">
        <v>203</v>
      </c>
      <c r="B212" s="414"/>
      <c r="C212" s="415"/>
      <c r="D212" s="411"/>
      <c r="E212" s="411"/>
      <c r="F212" s="411"/>
      <c r="G212" s="411"/>
      <c r="H212" s="411"/>
      <c r="I212" s="411"/>
      <c r="J212" s="411"/>
      <c r="K212" s="411"/>
      <c r="L212" s="411"/>
      <c r="M212" s="411"/>
      <c r="N212" s="411"/>
      <c r="O212" s="411"/>
      <c r="P212" s="411"/>
      <c r="Q212" s="411"/>
      <c r="R212" s="411"/>
      <c r="S212" s="411"/>
      <c r="T212" s="411"/>
      <c r="U212" s="411"/>
      <c r="V212" s="408"/>
      <c r="W212" s="446"/>
      <c r="X212" s="443">
        <v>42859</v>
      </c>
      <c r="Y212" s="444">
        <v>0.46359953703703699</v>
      </c>
    </row>
    <row r="213" spans="1:25" ht="12.75" customHeight="1">
      <c r="A213" s="445">
        <v>204</v>
      </c>
      <c r="B213" s="414"/>
      <c r="C213" s="415"/>
      <c r="D213" s="411"/>
      <c r="E213" s="411"/>
      <c r="F213" s="411"/>
      <c r="G213" s="411"/>
      <c r="H213" s="411"/>
      <c r="I213" s="411"/>
      <c r="J213" s="411"/>
      <c r="K213" s="411"/>
      <c r="L213" s="411"/>
      <c r="M213" s="411"/>
      <c r="N213" s="411"/>
      <c r="O213" s="411"/>
      <c r="P213" s="411"/>
      <c r="Q213" s="411"/>
      <c r="R213" s="411"/>
      <c r="S213" s="411"/>
      <c r="T213" s="411"/>
      <c r="U213" s="411"/>
      <c r="V213" s="408"/>
      <c r="W213" s="446"/>
      <c r="X213" s="443">
        <v>42859</v>
      </c>
      <c r="Y213" s="444">
        <v>0.46371527777777777</v>
      </c>
    </row>
    <row r="214" spans="1:25" ht="12.75" customHeight="1">
      <c r="A214" s="445">
        <v>205</v>
      </c>
      <c r="B214" s="414"/>
      <c r="C214" s="415"/>
      <c r="D214" s="411"/>
      <c r="E214" s="411"/>
      <c r="F214" s="411"/>
      <c r="G214" s="411"/>
      <c r="H214" s="411"/>
      <c r="I214" s="411"/>
      <c r="J214" s="411"/>
      <c r="K214" s="411"/>
      <c r="L214" s="411"/>
      <c r="M214" s="411"/>
      <c r="N214" s="411"/>
      <c r="O214" s="411"/>
      <c r="P214" s="411"/>
      <c r="Q214" s="411"/>
      <c r="R214" s="411"/>
      <c r="S214" s="411"/>
      <c r="T214" s="411"/>
      <c r="U214" s="411"/>
      <c r="V214" s="408"/>
      <c r="W214" s="446"/>
      <c r="X214" s="443">
        <v>42859</v>
      </c>
      <c r="Y214" s="444">
        <v>0.46508101851851852</v>
      </c>
    </row>
    <row r="215" spans="1:25" ht="12.75" customHeight="1">
      <c r="A215" s="445">
        <v>206</v>
      </c>
      <c r="B215" s="414"/>
      <c r="C215" s="415"/>
      <c r="D215" s="411"/>
      <c r="E215" s="411"/>
      <c r="F215" s="411"/>
      <c r="G215" s="411"/>
      <c r="H215" s="411"/>
      <c r="I215" s="411"/>
      <c r="J215" s="411"/>
      <c r="K215" s="411"/>
      <c r="L215" s="411"/>
      <c r="M215" s="411"/>
      <c r="N215" s="411"/>
      <c r="O215" s="411"/>
      <c r="P215" s="411"/>
      <c r="Q215" s="411"/>
      <c r="R215" s="411"/>
      <c r="S215" s="411"/>
      <c r="T215" s="411"/>
      <c r="U215" s="411"/>
      <c r="V215" s="408"/>
      <c r="W215" s="446"/>
      <c r="X215" s="443">
        <v>42859</v>
      </c>
      <c r="Y215" s="444">
        <v>0.46571759259259254</v>
      </c>
    </row>
    <row r="216" spans="1:25" ht="12.75" customHeight="1">
      <c r="A216" s="445">
        <v>207</v>
      </c>
      <c r="B216" s="414"/>
      <c r="C216" s="415"/>
      <c r="D216" s="411"/>
      <c r="E216" s="411"/>
      <c r="F216" s="411"/>
      <c r="G216" s="411"/>
      <c r="H216" s="411"/>
      <c r="I216" s="411"/>
      <c r="J216" s="411"/>
      <c r="K216" s="411"/>
      <c r="L216" s="411"/>
      <c r="M216" s="411"/>
      <c r="N216" s="411"/>
      <c r="O216" s="411"/>
      <c r="P216" s="411"/>
      <c r="Q216" s="411"/>
      <c r="R216" s="411"/>
      <c r="S216" s="411"/>
      <c r="T216" s="411"/>
      <c r="U216" s="411"/>
      <c r="V216" s="408"/>
      <c r="W216" s="446"/>
      <c r="X216" s="443">
        <v>42859</v>
      </c>
      <c r="Y216" s="444">
        <v>0.46597222222222223</v>
      </c>
    </row>
    <row r="217" spans="1:25" ht="12.75" customHeight="1">
      <c r="A217" s="445">
        <v>208</v>
      </c>
      <c r="B217" s="414"/>
      <c r="C217" s="415"/>
      <c r="D217" s="411"/>
      <c r="E217" s="411"/>
      <c r="F217" s="411"/>
      <c r="G217" s="411"/>
      <c r="H217" s="411"/>
      <c r="I217" s="411"/>
      <c r="J217" s="411"/>
      <c r="K217" s="411"/>
      <c r="L217" s="411"/>
      <c r="M217" s="411"/>
      <c r="N217" s="411"/>
      <c r="O217" s="411"/>
      <c r="P217" s="411"/>
      <c r="Q217" s="411"/>
      <c r="R217" s="411"/>
      <c r="S217" s="411"/>
      <c r="T217" s="411"/>
      <c r="U217" s="411"/>
      <c r="V217" s="408"/>
      <c r="W217" s="446"/>
      <c r="X217" s="443">
        <v>42859</v>
      </c>
      <c r="Y217" s="444">
        <v>0.46635416666666668</v>
      </c>
    </row>
    <row r="218" spans="1:25" ht="12.75" customHeight="1">
      <c r="A218" s="445">
        <v>209</v>
      </c>
      <c r="B218" s="414"/>
      <c r="C218" s="415"/>
      <c r="D218" s="411"/>
      <c r="E218" s="411"/>
      <c r="F218" s="411"/>
      <c r="G218" s="411"/>
      <c r="H218" s="411"/>
      <c r="I218" s="411"/>
      <c r="J218" s="411"/>
      <c r="K218" s="411"/>
      <c r="L218" s="411"/>
      <c r="M218" s="411"/>
      <c r="N218" s="411"/>
      <c r="O218" s="411"/>
      <c r="P218" s="411"/>
      <c r="Q218" s="411"/>
      <c r="R218" s="411"/>
      <c r="S218" s="411"/>
      <c r="T218" s="411"/>
      <c r="U218" s="411"/>
      <c r="V218" s="408"/>
      <c r="W218" s="446"/>
      <c r="X218" s="443">
        <v>42859</v>
      </c>
      <c r="Y218" s="444">
        <v>0.46666666666666662</v>
      </c>
    </row>
    <row r="219" spans="1:25" ht="12.75" customHeight="1">
      <c r="A219" s="445">
        <v>210</v>
      </c>
      <c r="B219" s="414"/>
      <c r="C219" s="415"/>
      <c r="D219" s="411"/>
      <c r="E219" s="411"/>
      <c r="F219" s="411"/>
      <c r="G219" s="411"/>
      <c r="H219" s="411"/>
      <c r="I219" s="411"/>
      <c r="J219" s="411"/>
      <c r="K219" s="411"/>
      <c r="L219" s="411"/>
      <c r="M219" s="411"/>
      <c r="N219" s="411"/>
      <c r="O219" s="411"/>
      <c r="P219" s="411"/>
      <c r="Q219" s="411"/>
      <c r="R219" s="411"/>
      <c r="S219" s="411"/>
      <c r="T219" s="411"/>
      <c r="U219" s="411"/>
      <c r="V219" s="408"/>
      <c r="W219" s="446"/>
      <c r="X219" s="443">
        <v>42859</v>
      </c>
      <c r="Y219" s="444">
        <v>0.46689814814814817</v>
      </c>
    </row>
    <row r="220" spans="1:25" ht="12.75" customHeight="1">
      <c r="A220" s="445">
        <v>211</v>
      </c>
      <c r="B220" s="414"/>
      <c r="C220" s="415"/>
      <c r="D220" s="411"/>
      <c r="E220" s="411"/>
      <c r="F220" s="411"/>
      <c r="G220" s="411"/>
      <c r="H220" s="411"/>
      <c r="I220" s="411"/>
      <c r="J220" s="411"/>
      <c r="K220" s="411"/>
      <c r="L220" s="411"/>
      <c r="M220" s="411"/>
      <c r="N220" s="411"/>
      <c r="O220" s="411"/>
      <c r="P220" s="411"/>
      <c r="Q220" s="411"/>
      <c r="R220" s="411"/>
      <c r="S220" s="411"/>
      <c r="T220" s="411"/>
      <c r="U220" s="411"/>
      <c r="V220" s="408"/>
      <c r="W220" s="446"/>
      <c r="X220" s="443">
        <v>42859</v>
      </c>
      <c r="Y220" s="444">
        <v>0.46709490740740739</v>
      </c>
    </row>
    <row r="221" spans="1:25" ht="12.75" customHeight="1">
      <c r="A221" s="445">
        <v>212</v>
      </c>
      <c r="B221" s="414"/>
      <c r="C221" s="415"/>
      <c r="D221" s="411"/>
      <c r="E221" s="411"/>
      <c r="F221" s="411"/>
      <c r="G221" s="411"/>
      <c r="H221" s="411"/>
      <c r="I221" s="411"/>
      <c r="J221" s="411"/>
      <c r="K221" s="411"/>
      <c r="L221" s="411"/>
      <c r="M221" s="411"/>
      <c r="N221" s="411"/>
      <c r="O221" s="411"/>
      <c r="P221" s="411"/>
      <c r="Q221" s="411"/>
      <c r="R221" s="411"/>
      <c r="S221" s="411"/>
      <c r="T221" s="411"/>
      <c r="U221" s="411"/>
      <c r="V221" s="408"/>
      <c r="W221" s="446"/>
      <c r="X221" s="443">
        <v>42859</v>
      </c>
      <c r="Y221" s="444">
        <v>0.4676967592592593</v>
      </c>
    </row>
    <row r="222" spans="1:25" ht="12.75" customHeight="1">
      <c r="A222" s="445">
        <v>213</v>
      </c>
      <c r="B222" s="414"/>
      <c r="C222" s="415"/>
      <c r="D222" s="411"/>
      <c r="E222" s="411"/>
      <c r="F222" s="411"/>
      <c r="G222" s="411"/>
      <c r="H222" s="411"/>
      <c r="I222" s="411"/>
      <c r="J222" s="411"/>
      <c r="K222" s="411"/>
      <c r="L222" s="411"/>
      <c r="M222" s="411"/>
      <c r="N222" s="411"/>
      <c r="O222" s="411"/>
      <c r="P222" s="411"/>
      <c r="Q222" s="411"/>
      <c r="R222" s="411"/>
      <c r="S222" s="411"/>
      <c r="T222" s="411"/>
      <c r="U222" s="411"/>
      <c r="V222" s="408"/>
      <c r="W222" s="446"/>
      <c r="X222" s="443">
        <v>42859</v>
      </c>
      <c r="Y222" s="444">
        <v>0.4677546296296296</v>
      </c>
    </row>
    <row r="223" spans="1:25" ht="12.75" customHeight="1">
      <c r="A223" s="445">
        <v>214</v>
      </c>
      <c r="B223" s="414"/>
      <c r="C223" s="415"/>
      <c r="D223" s="411"/>
      <c r="E223" s="411"/>
      <c r="F223" s="411"/>
      <c r="G223" s="411"/>
      <c r="H223" s="411"/>
      <c r="I223" s="411"/>
      <c r="J223" s="411"/>
      <c r="K223" s="411"/>
      <c r="L223" s="411"/>
      <c r="M223" s="411"/>
      <c r="N223" s="411"/>
      <c r="O223" s="411"/>
      <c r="P223" s="411"/>
      <c r="Q223" s="411"/>
      <c r="R223" s="411"/>
      <c r="S223" s="411"/>
      <c r="T223" s="411"/>
      <c r="U223" s="411"/>
      <c r="V223" s="408"/>
      <c r="W223" s="446"/>
      <c r="X223" s="443">
        <v>42859</v>
      </c>
      <c r="Y223" s="444">
        <v>0.46780092592592593</v>
      </c>
    </row>
    <row r="224" spans="1:25" ht="12.75" customHeight="1">
      <c r="A224" s="445">
        <v>215</v>
      </c>
      <c r="B224" s="414"/>
      <c r="C224" s="415"/>
      <c r="D224" s="411"/>
      <c r="E224" s="411"/>
      <c r="F224" s="411"/>
      <c r="G224" s="411"/>
      <c r="H224" s="411"/>
      <c r="I224" s="411"/>
      <c r="J224" s="411"/>
      <c r="K224" s="411"/>
      <c r="L224" s="411"/>
      <c r="M224" s="411"/>
      <c r="N224" s="411"/>
      <c r="O224" s="411"/>
      <c r="P224" s="411"/>
      <c r="Q224" s="411"/>
      <c r="R224" s="411"/>
      <c r="S224" s="411"/>
      <c r="T224" s="411"/>
      <c r="U224" s="411"/>
      <c r="V224" s="408"/>
      <c r="W224" s="446"/>
      <c r="X224" s="443">
        <v>42859</v>
      </c>
      <c r="Y224" s="444">
        <v>0.46785879629629629</v>
      </c>
    </row>
    <row r="225" spans="1:25" ht="12.75" customHeight="1">
      <c r="A225" s="445">
        <v>216</v>
      </c>
      <c r="B225" s="414"/>
      <c r="C225" s="415"/>
      <c r="D225" s="411"/>
      <c r="E225" s="411"/>
      <c r="F225" s="411"/>
      <c r="G225" s="411"/>
      <c r="H225" s="411"/>
      <c r="I225" s="411"/>
      <c r="J225" s="411"/>
      <c r="K225" s="411"/>
      <c r="L225" s="411"/>
      <c r="M225" s="411"/>
      <c r="N225" s="411"/>
      <c r="O225" s="411"/>
      <c r="P225" s="411"/>
      <c r="Q225" s="411"/>
      <c r="R225" s="411"/>
      <c r="S225" s="411"/>
      <c r="T225" s="411"/>
      <c r="U225" s="411"/>
      <c r="V225" s="408"/>
      <c r="W225" s="446"/>
      <c r="X225" s="443">
        <v>42859</v>
      </c>
      <c r="Y225" s="444">
        <v>0.4679166666666667</v>
      </c>
    </row>
    <row r="226" spans="1:25" ht="12.75" customHeight="1">
      <c r="A226" s="445">
        <v>217</v>
      </c>
      <c r="B226" s="414"/>
      <c r="C226" s="415"/>
      <c r="D226" s="411"/>
      <c r="E226" s="411"/>
      <c r="F226" s="411"/>
      <c r="G226" s="411"/>
      <c r="H226" s="411"/>
      <c r="I226" s="411"/>
      <c r="J226" s="411"/>
      <c r="K226" s="411"/>
      <c r="L226" s="411"/>
      <c r="M226" s="411"/>
      <c r="N226" s="411"/>
      <c r="O226" s="411"/>
      <c r="P226" s="411"/>
      <c r="Q226" s="411"/>
      <c r="R226" s="411"/>
      <c r="S226" s="411"/>
      <c r="T226" s="411"/>
      <c r="U226" s="411"/>
      <c r="V226" s="408"/>
      <c r="W226" s="446"/>
      <c r="X226" s="443">
        <v>42859</v>
      </c>
      <c r="Y226" s="444">
        <v>0.46804398148148146</v>
      </c>
    </row>
    <row r="227" spans="1:25" ht="12.75" customHeight="1">
      <c r="A227" s="445">
        <v>218</v>
      </c>
      <c r="B227" s="414"/>
      <c r="C227" s="415"/>
      <c r="D227" s="411"/>
      <c r="E227" s="411"/>
      <c r="F227" s="411"/>
      <c r="G227" s="411"/>
      <c r="H227" s="411"/>
      <c r="I227" s="411"/>
      <c r="J227" s="411"/>
      <c r="K227" s="411"/>
      <c r="L227" s="411"/>
      <c r="M227" s="411"/>
      <c r="N227" s="411"/>
      <c r="O227" s="411"/>
      <c r="P227" s="411"/>
      <c r="Q227" s="411"/>
      <c r="R227" s="411"/>
      <c r="S227" s="411"/>
      <c r="T227" s="411"/>
      <c r="U227" s="411"/>
      <c r="V227" s="408"/>
      <c r="W227" s="446"/>
      <c r="X227" s="443">
        <v>42859</v>
      </c>
      <c r="Y227" s="444">
        <v>0.47156250000000005</v>
      </c>
    </row>
    <row r="228" spans="1:25" ht="12.75" customHeight="1">
      <c r="A228" s="445">
        <v>219</v>
      </c>
      <c r="B228" s="414"/>
      <c r="C228" s="415"/>
      <c r="D228" s="411"/>
      <c r="E228" s="411"/>
      <c r="F228" s="411"/>
      <c r="G228" s="411"/>
      <c r="H228" s="411"/>
      <c r="I228" s="411"/>
      <c r="J228" s="411"/>
      <c r="K228" s="411"/>
      <c r="L228" s="411"/>
      <c r="M228" s="411"/>
      <c r="N228" s="411"/>
      <c r="O228" s="411"/>
      <c r="P228" s="411"/>
      <c r="Q228" s="411"/>
      <c r="R228" s="411"/>
      <c r="S228" s="411"/>
      <c r="T228" s="411"/>
      <c r="U228" s="411"/>
      <c r="V228" s="408"/>
      <c r="W228" s="446"/>
      <c r="X228" s="443">
        <v>42859</v>
      </c>
      <c r="Y228" s="444">
        <v>0.47226851851851853</v>
      </c>
    </row>
    <row r="229" spans="1:25" ht="12.75" customHeight="1">
      <c r="A229" s="445">
        <v>220</v>
      </c>
      <c r="B229" s="414"/>
      <c r="C229" s="415"/>
      <c r="D229" s="411"/>
      <c r="E229" s="411"/>
      <c r="F229" s="411"/>
      <c r="G229" s="411"/>
      <c r="H229" s="411"/>
      <c r="I229" s="411"/>
      <c r="J229" s="411"/>
      <c r="K229" s="411"/>
      <c r="L229" s="411"/>
      <c r="M229" s="411"/>
      <c r="N229" s="411"/>
      <c r="O229" s="411"/>
      <c r="P229" s="411"/>
      <c r="Q229" s="411"/>
      <c r="R229" s="411"/>
      <c r="S229" s="411"/>
      <c r="T229" s="411"/>
      <c r="U229" s="411"/>
      <c r="V229" s="408"/>
      <c r="W229" s="446"/>
      <c r="X229" s="443">
        <v>42859</v>
      </c>
      <c r="Y229" s="444">
        <v>0.47266203703703707</v>
      </c>
    </row>
    <row r="230" spans="1:25" ht="12.75" customHeight="1">
      <c r="A230" s="445">
        <v>221</v>
      </c>
      <c r="B230" s="414"/>
      <c r="C230" s="415"/>
      <c r="D230" s="411"/>
      <c r="E230" s="411"/>
      <c r="F230" s="411"/>
      <c r="G230" s="411"/>
      <c r="H230" s="411"/>
      <c r="I230" s="411"/>
      <c r="J230" s="411"/>
      <c r="K230" s="411"/>
      <c r="L230" s="411"/>
      <c r="M230" s="411"/>
      <c r="N230" s="411"/>
      <c r="O230" s="411"/>
      <c r="P230" s="411"/>
      <c r="Q230" s="411"/>
      <c r="R230" s="411"/>
      <c r="S230" s="411"/>
      <c r="T230" s="411"/>
      <c r="U230" s="411"/>
      <c r="V230" s="408"/>
      <c r="W230" s="446"/>
      <c r="X230" s="443">
        <v>42859</v>
      </c>
      <c r="Y230" s="444">
        <v>0.47271990740740738</v>
      </c>
    </row>
    <row r="231" spans="1:25" ht="12.75" customHeight="1">
      <c r="A231" s="445">
        <v>222</v>
      </c>
      <c r="B231" s="414"/>
      <c r="C231" s="415"/>
      <c r="D231" s="411"/>
      <c r="E231" s="411"/>
      <c r="F231" s="411"/>
      <c r="G231" s="411"/>
      <c r="H231" s="411"/>
      <c r="I231" s="411"/>
      <c r="J231" s="411"/>
      <c r="K231" s="411"/>
      <c r="L231" s="411"/>
      <c r="M231" s="411"/>
      <c r="N231" s="411"/>
      <c r="O231" s="411"/>
      <c r="P231" s="411"/>
      <c r="Q231" s="411"/>
      <c r="R231" s="411"/>
      <c r="S231" s="411"/>
      <c r="T231" s="411"/>
      <c r="U231" s="411"/>
      <c r="V231" s="408"/>
      <c r="W231" s="446"/>
      <c r="X231" s="443">
        <v>42859</v>
      </c>
      <c r="Y231" s="444">
        <v>0.47278935185185184</v>
      </c>
    </row>
    <row r="232" spans="1:25" ht="12.75" customHeight="1">
      <c r="A232" s="445">
        <v>223</v>
      </c>
      <c r="B232" s="414"/>
      <c r="C232" s="415"/>
      <c r="D232" s="411"/>
      <c r="E232" s="411"/>
      <c r="F232" s="411"/>
      <c r="G232" s="411"/>
      <c r="H232" s="411"/>
      <c r="I232" s="411"/>
      <c r="J232" s="411"/>
      <c r="K232" s="411"/>
      <c r="L232" s="411"/>
      <c r="M232" s="411"/>
      <c r="N232" s="411"/>
      <c r="O232" s="411"/>
      <c r="P232" s="411"/>
      <c r="Q232" s="411"/>
      <c r="R232" s="411"/>
      <c r="S232" s="411"/>
      <c r="T232" s="411"/>
      <c r="U232" s="411"/>
      <c r="V232" s="408"/>
      <c r="W232" s="446"/>
      <c r="X232" s="443">
        <v>42859</v>
      </c>
      <c r="Y232" s="444">
        <v>0.47287037037037033</v>
      </c>
    </row>
    <row r="233" spans="1:25" ht="12.75" customHeight="1">
      <c r="A233" s="445">
        <v>224</v>
      </c>
      <c r="B233" s="414"/>
      <c r="C233" s="415"/>
      <c r="D233" s="411"/>
      <c r="E233" s="411"/>
      <c r="F233" s="411"/>
      <c r="G233" s="411"/>
      <c r="H233" s="411"/>
      <c r="I233" s="411"/>
      <c r="J233" s="411"/>
      <c r="K233" s="411"/>
      <c r="L233" s="411"/>
      <c r="M233" s="411"/>
      <c r="N233" s="411"/>
      <c r="O233" s="411"/>
      <c r="P233" s="411"/>
      <c r="Q233" s="411"/>
      <c r="R233" s="411"/>
      <c r="S233" s="411"/>
      <c r="T233" s="411"/>
      <c r="U233" s="411"/>
      <c r="V233" s="408"/>
      <c r="W233" s="446"/>
      <c r="X233" s="443">
        <v>42859</v>
      </c>
      <c r="Y233" s="444">
        <v>0.47318287037037038</v>
      </c>
    </row>
    <row r="234" spans="1:25" ht="12.75" customHeight="1">
      <c r="A234" s="445">
        <v>225</v>
      </c>
      <c r="B234" s="414"/>
      <c r="C234" s="415"/>
      <c r="D234" s="411"/>
      <c r="E234" s="411"/>
      <c r="F234" s="411"/>
      <c r="G234" s="411"/>
      <c r="H234" s="411"/>
      <c r="I234" s="411"/>
      <c r="J234" s="411"/>
      <c r="K234" s="411"/>
      <c r="L234" s="411"/>
      <c r="M234" s="411"/>
      <c r="N234" s="411"/>
      <c r="O234" s="411"/>
      <c r="P234" s="411"/>
      <c r="Q234" s="411"/>
      <c r="R234" s="411"/>
      <c r="S234" s="411"/>
      <c r="T234" s="411"/>
      <c r="U234" s="411"/>
      <c r="V234" s="408"/>
      <c r="W234" s="446"/>
      <c r="X234" s="443">
        <v>42859</v>
      </c>
      <c r="Y234" s="444">
        <v>0.47324074074074068</v>
      </c>
    </row>
    <row r="235" spans="1:25" ht="12.75" customHeight="1">
      <c r="A235" s="445">
        <v>226</v>
      </c>
      <c r="B235" s="414"/>
      <c r="C235" s="415"/>
      <c r="D235" s="411"/>
      <c r="E235" s="411"/>
      <c r="F235" s="411"/>
      <c r="G235" s="411"/>
      <c r="H235" s="411"/>
      <c r="I235" s="411"/>
      <c r="J235" s="411"/>
      <c r="K235" s="411"/>
      <c r="L235" s="411"/>
      <c r="M235" s="411"/>
      <c r="N235" s="411"/>
      <c r="O235" s="411"/>
      <c r="P235" s="411"/>
      <c r="Q235" s="411"/>
      <c r="R235" s="411"/>
      <c r="S235" s="411"/>
      <c r="T235" s="411"/>
      <c r="U235" s="411"/>
      <c r="V235" s="408"/>
      <c r="W235" s="446"/>
      <c r="X235" s="443">
        <v>42859</v>
      </c>
      <c r="Y235" s="444">
        <v>0.47332175925925929</v>
      </c>
    </row>
    <row r="236" spans="1:25" ht="12.75" customHeight="1">
      <c r="A236" s="445">
        <v>227</v>
      </c>
      <c r="B236" s="414"/>
      <c r="C236" s="415"/>
      <c r="D236" s="411"/>
      <c r="E236" s="411"/>
      <c r="F236" s="411"/>
      <c r="G236" s="411"/>
      <c r="H236" s="411"/>
      <c r="I236" s="411"/>
      <c r="J236" s="411"/>
      <c r="K236" s="411"/>
      <c r="L236" s="411"/>
      <c r="M236" s="411"/>
      <c r="N236" s="411"/>
      <c r="O236" s="411"/>
      <c r="P236" s="411"/>
      <c r="Q236" s="411"/>
      <c r="R236" s="411"/>
      <c r="S236" s="411"/>
      <c r="T236" s="411"/>
      <c r="U236" s="411"/>
      <c r="V236" s="408"/>
      <c r="W236" s="446"/>
      <c r="X236" s="443">
        <v>42859</v>
      </c>
      <c r="Y236" s="444">
        <v>0.47530092592592593</v>
      </c>
    </row>
    <row r="237" spans="1:25" ht="12.75" customHeight="1">
      <c r="A237" s="445">
        <v>228</v>
      </c>
      <c r="B237" s="414"/>
      <c r="C237" s="415"/>
      <c r="D237" s="411"/>
      <c r="E237" s="411"/>
      <c r="F237" s="411"/>
      <c r="G237" s="411"/>
      <c r="H237" s="411"/>
      <c r="I237" s="411"/>
      <c r="J237" s="411"/>
      <c r="K237" s="411"/>
      <c r="L237" s="411"/>
      <c r="M237" s="411"/>
      <c r="N237" s="411"/>
      <c r="O237" s="411"/>
      <c r="P237" s="411"/>
      <c r="Q237" s="411"/>
      <c r="R237" s="411"/>
      <c r="S237" s="411"/>
      <c r="T237" s="411"/>
      <c r="U237" s="411"/>
      <c r="V237" s="408"/>
      <c r="W237" s="446"/>
      <c r="X237" s="443">
        <v>42859</v>
      </c>
      <c r="Y237" s="444">
        <v>0.47535879629629635</v>
      </c>
    </row>
    <row r="238" spans="1:25" ht="12.75" customHeight="1">
      <c r="A238" s="445">
        <v>229</v>
      </c>
      <c r="B238" s="414"/>
      <c r="C238" s="415"/>
      <c r="D238" s="411"/>
      <c r="E238" s="411"/>
      <c r="F238" s="411"/>
      <c r="G238" s="411"/>
      <c r="H238" s="411"/>
      <c r="I238" s="411"/>
      <c r="J238" s="411"/>
      <c r="K238" s="411"/>
      <c r="L238" s="411"/>
      <c r="M238" s="411"/>
      <c r="N238" s="411"/>
      <c r="O238" s="411"/>
      <c r="P238" s="411"/>
      <c r="Q238" s="411"/>
      <c r="R238" s="411"/>
      <c r="S238" s="411"/>
      <c r="T238" s="411"/>
      <c r="U238" s="411"/>
      <c r="V238" s="408"/>
      <c r="W238" s="446"/>
      <c r="X238" s="443">
        <v>42859</v>
      </c>
      <c r="Y238" s="444">
        <v>0.47549768518518515</v>
      </c>
    </row>
    <row r="239" spans="1:25" ht="12.75" customHeight="1">
      <c r="A239" s="445">
        <v>230</v>
      </c>
      <c r="B239" s="414"/>
      <c r="C239" s="415"/>
      <c r="D239" s="411"/>
      <c r="E239" s="411"/>
      <c r="F239" s="411"/>
      <c r="G239" s="411"/>
      <c r="H239" s="411"/>
      <c r="I239" s="411"/>
      <c r="J239" s="411"/>
      <c r="K239" s="411"/>
      <c r="L239" s="411"/>
      <c r="M239" s="411"/>
      <c r="N239" s="411"/>
      <c r="O239" s="411"/>
      <c r="P239" s="411"/>
      <c r="Q239" s="411"/>
      <c r="R239" s="411"/>
      <c r="S239" s="411"/>
      <c r="T239" s="411"/>
      <c r="U239" s="411"/>
      <c r="V239" s="408"/>
      <c r="W239" s="446"/>
      <c r="X239" s="443">
        <v>42859</v>
      </c>
      <c r="Y239" s="444">
        <v>0.47687499999999999</v>
      </c>
    </row>
    <row r="240" spans="1:25" ht="12.75" customHeight="1">
      <c r="A240" s="445">
        <v>231</v>
      </c>
      <c r="B240" s="414"/>
      <c r="C240" s="415"/>
      <c r="D240" s="411"/>
      <c r="E240" s="411"/>
      <c r="F240" s="411"/>
      <c r="G240" s="411"/>
      <c r="H240" s="411"/>
      <c r="I240" s="411"/>
      <c r="J240" s="411"/>
      <c r="K240" s="411"/>
      <c r="L240" s="411"/>
      <c r="M240" s="411"/>
      <c r="N240" s="411"/>
      <c r="O240" s="411"/>
      <c r="P240" s="411"/>
      <c r="Q240" s="411"/>
      <c r="R240" s="411"/>
      <c r="S240" s="411"/>
      <c r="T240" s="411"/>
      <c r="U240" s="411"/>
      <c r="V240" s="408"/>
      <c r="W240" s="446"/>
      <c r="X240" s="443">
        <v>42859</v>
      </c>
      <c r="Y240" s="444">
        <v>0.47711805555555559</v>
      </c>
    </row>
    <row r="241" spans="1:25" ht="12.75" customHeight="1">
      <c r="A241" s="445">
        <v>232</v>
      </c>
      <c r="B241" s="414"/>
      <c r="C241" s="415"/>
      <c r="D241" s="411"/>
      <c r="E241" s="411"/>
      <c r="F241" s="411"/>
      <c r="G241" s="411"/>
      <c r="H241" s="411"/>
      <c r="I241" s="411"/>
      <c r="J241" s="411"/>
      <c r="K241" s="411"/>
      <c r="L241" s="411"/>
      <c r="M241" s="411"/>
      <c r="N241" s="411"/>
      <c r="O241" s="411"/>
      <c r="P241" s="411"/>
      <c r="Q241" s="411"/>
      <c r="R241" s="411"/>
      <c r="S241" s="411"/>
      <c r="T241" s="411"/>
      <c r="U241" s="411"/>
      <c r="V241" s="408"/>
      <c r="W241" s="446"/>
      <c r="X241" s="443">
        <v>42859</v>
      </c>
      <c r="Y241" s="444">
        <v>0.47722222222222221</v>
      </c>
    </row>
    <row r="242" spans="1:25" ht="12.75" customHeight="1">
      <c r="A242" s="445">
        <v>233</v>
      </c>
      <c r="B242" s="414"/>
      <c r="C242" s="415"/>
      <c r="D242" s="411"/>
      <c r="E242" s="411"/>
      <c r="F242" s="411"/>
      <c r="G242" s="411"/>
      <c r="H242" s="411"/>
      <c r="I242" s="411"/>
      <c r="J242" s="411"/>
      <c r="K242" s="411"/>
      <c r="L242" s="411"/>
      <c r="M242" s="411"/>
      <c r="N242" s="411"/>
      <c r="O242" s="411"/>
      <c r="P242" s="411"/>
      <c r="Q242" s="411"/>
      <c r="R242" s="411"/>
      <c r="S242" s="411"/>
      <c r="T242" s="411"/>
      <c r="U242" s="411"/>
      <c r="V242" s="408"/>
      <c r="W242" s="446"/>
      <c r="X242" s="443">
        <v>42859</v>
      </c>
      <c r="Y242" s="444">
        <v>0.47980324074074071</v>
      </c>
    </row>
    <row r="243" spans="1:25" ht="12.75" customHeight="1">
      <c r="A243" s="445">
        <v>234</v>
      </c>
      <c r="B243" s="414"/>
      <c r="C243" s="415"/>
      <c r="D243" s="411"/>
      <c r="E243" s="411"/>
      <c r="F243" s="411"/>
      <c r="G243" s="411"/>
      <c r="H243" s="411"/>
      <c r="I243" s="411"/>
      <c r="J243" s="411"/>
      <c r="K243" s="411"/>
      <c r="L243" s="411"/>
      <c r="M243" s="411"/>
      <c r="N243" s="411"/>
      <c r="O243" s="411"/>
      <c r="P243" s="411"/>
      <c r="Q243" s="411"/>
      <c r="R243" s="411"/>
      <c r="S243" s="411"/>
      <c r="T243" s="411"/>
      <c r="U243" s="411"/>
      <c r="V243" s="408"/>
      <c r="W243" s="446"/>
      <c r="X243" s="443">
        <v>42859</v>
      </c>
      <c r="Y243" s="444">
        <v>0.48018518518518521</v>
      </c>
    </row>
    <row r="244" spans="1:25" ht="12.75" customHeight="1">
      <c r="A244" s="445">
        <v>235</v>
      </c>
      <c r="B244" s="414"/>
      <c r="C244" s="415"/>
      <c r="D244" s="411"/>
      <c r="E244" s="411"/>
      <c r="F244" s="411"/>
      <c r="G244" s="411"/>
      <c r="H244" s="411"/>
      <c r="I244" s="411"/>
      <c r="J244" s="411"/>
      <c r="K244" s="411"/>
      <c r="L244" s="411"/>
      <c r="M244" s="411"/>
      <c r="N244" s="411"/>
      <c r="O244" s="411"/>
      <c r="P244" s="411"/>
      <c r="Q244" s="411"/>
      <c r="R244" s="411"/>
      <c r="S244" s="411"/>
      <c r="T244" s="411"/>
      <c r="U244" s="411"/>
      <c r="V244" s="408"/>
      <c r="W244" s="446"/>
      <c r="X244" s="443">
        <v>42859</v>
      </c>
      <c r="Y244" s="444">
        <v>0.48042824074074075</v>
      </c>
    </row>
    <row r="245" spans="1:25" ht="12.75" customHeight="1">
      <c r="A245" s="445">
        <v>236</v>
      </c>
      <c r="B245" s="414"/>
      <c r="C245" s="415"/>
      <c r="D245" s="411"/>
      <c r="E245" s="411"/>
      <c r="F245" s="411"/>
      <c r="G245" s="411"/>
      <c r="H245" s="411"/>
      <c r="I245" s="411"/>
      <c r="J245" s="411"/>
      <c r="K245" s="411"/>
      <c r="L245" s="411"/>
      <c r="M245" s="411"/>
      <c r="N245" s="411"/>
      <c r="O245" s="411"/>
      <c r="P245" s="411"/>
      <c r="Q245" s="411"/>
      <c r="R245" s="411"/>
      <c r="S245" s="411"/>
      <c r="T245" s="411"/>
      <c r="U245" s="411"/>
      <c r="V245" s="408"/>
      <c r="W245" s="446"/>
      <c r="X245" s="443">
        <v>42859</v>
      </c>
      <c r="Y245" s="444">
        <v>0.48069444444444448</v>
      </c>
    </row>
    <row r="246" spans="1:25" ht="12.75" customHeight="1">
      <c r="A246" s="445">
        <v>237</v>
      </c>
      <c r="B246" s="414"/>
      <c r="C246" s="415"/>
      <c r="D246" s="411"/>
      <c r="E246" s="411"/>
      <c r="F246" s="411"/>
      <c r="G246" s="411"/>
      <c r="H246" s="411"/>
      <c r="I246" s="411"/>
      <c r="J246" s="411"/>
      <c r="K246" s="411"/>
      <c r="L246" s="411"/>
      <c r="M246" s="411"/>
      <c r="N246" s="411"/>
      <c r="O246" s="411"/>
      <c r="P246" s="411"/>
      <c r="Q246" s="411"/>
      <c r="R246" s="411"/>
      <c r="S246" s="411"/>
      <c r="T246" s="411"/>
      <c r="U246" s="411"/>
      <c r="V246" s="408"/>
      <c r="W246" s="446"/>
      <c r="X246" s="443">
        <v>42859</v>
      </c>
      <c r="Y246" s="444">
        <v>0.48097222222222219</v>
      </c>
    </row>
    <row r="247" spans="1:25" ht="12.75" customHeight="1">
      <c r="A247" s="445">
        <v>238</v>
      </c>
      <c r="B247" s="414"/>
      <c r="C247" s="415"/>
      <c r="D247" s="411"/>
      <c r="E247" s="411"/>
      <c r="F247" s="411"/>
      <c r="G247" s="411"/>
      <c r="H247" s="411"/>
      <c r="I247" s="411"/>
      <c r="J247" s="411"/>
      <c r="K247" s="411"/>
      <c r="L247" s="411"/>
      <c r="M247" s="411"/>
      <c r="N247" s="411"/>
      <c r="O247" s="411"/>
      <c r="P247" s="411"/>
      <c r="Q247" s="411"/>
      <c r="R247" s="411"/>
      <c r="S247" s="411"/>
      <c r="T247" s="411"/>
      <c r="U247" s="411"/>
      <c r="V247" s="408"/>
      <c r="W247" s="446"/>
      <c r="X247" s="443">
        <v>42859</v>
      </c>
      <c r="Y247" s="444">
        <v>0.48118055555555556</v>
      </c>
    </row>
    <row r="248" spans="1:25" ht="12.75" customHeight="1">
      <c r="A248" s="445">
        <v>239</v>
      </c>
      <c r="B248" s="414"/>
      <c r="C248" s="415"/>
      <c r="D248" s="411"/>
      <c r="E248" s="411"/>
      <c r="F248" s="411"/>
      <c r="G248" s="411"/>
      <c r="H248" s="411"/>
      <c r="I248" s="411"/>
      <c r="J248" s="411"/>
      <c r="K248" s="411"/>
      <c r="L248" s="411"/>
      <c r="M248" s="411"/>
      <c r="N248" s="411"/>
      <c r="O248" s="411"/>
      <c r="P248" s="411"/>
      <c r="Q248" s="411"/>
      <c r="R248" s="411"/>
      <c r="S248" s="411"/>
      <c r="T248" s="411"/>
      <c r="U248" s="411"/>
      <c r="V248" s="408"/>
      <c r="W248" s="446"/>
      <c r="X248" s="443">
        <v>42859</v>
      </c>
      <c r="Y248" s="444">
        <v>0.48142361111111115</v>
      </c>
    </row>
    <row r="249" spans="1:25" ht="12.75" customHeight="1">
      <c r="A249" s="445">
        <v>240</v>
      </c>
      <c r="B249" s="414"/>
      <c r="C249" s="415"/>
      <c r="D249" s="411"/>
      <c r="E249" s="411"/>
      <c r="F249" s="411"/>
      <c r="G249" s="411"/>
      <c r="H249" s="411"/>
      <c r="I249" s="411"/>
      <c r="J249" s="411"/>
      <c r="K249" s="411"/>
      <c r="L249" s="411"/>
      <c r="M249" s="411"/>
      <c r="N249" s="411"/>
      <c r="O249" s="411"/>
      <c r="P249" s="411"/>
      <c r="Q249" s="411"/>
      <c r="R249" s="411"/>
      <c r="S249" s="411"/>
      <c r="T249" s="411"/>
      <c r="U249" s="411"/>
      <c r="V249" s="408"/>
      <c r="W249" s="446"/>
      <c r="X249" s="443">
        <v>42859</v>
      </c>
      <c r="Y249" s="444">
        <v>0.48153935185185182</v>
      </c>
    </row>
    <row r="250" spans="1:25" ht="12.75" customHeight="1">
      <c r="A250" s="445">
        <v>241</v>
      </c>
      <c r="B250" s="414"/>
      <c r="C250" s="415"/>
      <c r="D250" s="411"/>
      <c r="E250" s="411"/>
      <c r="F250" s="411"/>
      <c r="G250" s="411"/>
      <c r="H250" s="411"/>
      <c r="I250" s="411"/>
      <c r="J250" s="411"/>
      <c r="K250" s="411"/>
      <c r="L250" s="411"/>
      <c r="M250" s="411"/>
      <c r="N250" s="411"/>
      <c r="O250" s="411"/>
      <c r="P250" s="411"/>
      <c r="Q250" s="411"/>
      <c r="R250" s="411"/>
      <c r="S250" s="411"/>
      <c r="T250" s="411"/>
      <c r="U250" s="411"/>
      <c r="V250" s="408"/>
      <c r="W250" s="446"/>
      <c r="X250" s="443">
        <v>42859</v>
      </c>
      <c r="Y250" s="444">
        <v>0.48177083333333331</v>
      </c>
    </row>
    <row r="251" spans="1:25" ht="12.75" customHeight="1">
      <c r="A251" s="445">
        <v>242</v>
      </c>
      <c r="B251" s="414"/>
      <c r="C251" s="415"/>
      <c r="D251" s="411"/>
      <c r="E251" s="411"/>
      <c r="F251" s="411"/>
      <c r="G251" s="411"/>
      <c r="H251" s="411"/>
      <c r="I251" s="411"/>
      <c r="J251" s="411"/>
      <c r="K251" s="411"/>
      <c r="L251" s="411"/>
      <c r="M251" s="411"/>
      <c r="N251" s="411"/>
      <c r="O251" s="411"/>
      <c r="P251" s="411"/>
      <c r="Q251" s="411"/>
      <c r="R251" s="411"/>
      <c r="S251" s="411"/>
      <c r="T251" s="411"/>
      <c r="U251" s="411"/>
      <c r="V251" s="408"/>
      <c r="W251" s="446"/>
      <c r="X251" s="443">
        <v>42859</v>
      </c>
      <c r="Y251" s="444">
        <v>0.48201388888888891</v>
      </c>
    </row>
    <row r="252" spans="1:25" ht="12.75" customHeight="1">
      <c r="A252" s="445">
        <v>243</v>
      </c>
      <c r="B252" s="414"/>
      <c r="C252" s="415"/>
      <c r="D252" s="411"/>
      <c r="E252" s="411"/>
      <c r="F252" s="411"/>
      <c r="G252" s="411"/>
      <c r="H252" s="411"/>
      <c r="I252" s="411"/>
      <c r="J252" s="411"/>
      <c r="K252" s="411"/>
      <c r="L252" s="411"/>
      <c r="M252" s="411"/>
      <c r="N252" s="411"/>
      <c r="O252" s="411"/>
      <c r="P252" s="411"/>
      <c r="Q252" s="411"/>
      <c r="R252" s="411"/>
      <c r="S252" s="411"/>
      <c r="T252" s="411"/>
      <c r="U252" s="411"/>
      <c r="V252" s="408"/>
      <c r="W252" s="446"/>
      <c r="X252" s="443">
        <v>42859</v>
      </c>
      <c r="Y252" s="444">
        <v>0.48364583333333333</v>
      </c>
    </row>
    <row r="253" spans="1:25" ht="12.75" customHeight="1">
      <c r="A253" s="445">
        <v>244</v>
      </c>
      <c r="B253" s="414"/>
      <c r="C253" s="415"/>
      <c r="D253" s="411"/>
      <c r="E253" s="411"/>
      <c r="F253" s="411"/>
      <c r="G253" s="411"/>
      <c r="H253" s="411"/>
      <c r="I253" s="411"/>
      <c r="J253" s="411"/>
      <c r="K253" s="411"/>
      <c r="L253" s="411"/>
      <c r="M253" s="411"/>
      <c r="N253" s="411"/>
      <c r="O253" s="411"/>
      <c r="P253" s="411"/>
      <c r="Q253" s="411"/>
      <c r="R253" s="411"/>
      <c r="S253" s="411"/>
      <c r="T253" s="411"/>
      <c r="U253" s="411"/>
      <c r="V253" s="408"/>
      <c r="W253" s="446"/>
      <c r="X253" s="443">
        <v>42859</v>
      </c>
      <c r="Y253" s="444">
        <v>0.48504629629629631</v>
      </c>
    </row>
    <row r="254" spans="1:25" ht="12.75" customHeight="1">
      <c r="A254" s="445">
        <v>245</v>
      </c>
      <c r="B254" s="414"/>
      <c r="C254" s="415"/>
      <c r="D254" s="411"/>
      <c r="E254" s="411"/>
      <c r="F254" s="411"/>
      <c r="G254" s="411"/>
      <c r="H254" s="411"/>
      <c r="I254" s="411"/>
      <c r="J254" s="411"/>
      <c r="K254" s="411"/>
      <c r="L254" s="411"/>
      <c r="M254" s="411"/>
      <c r="N254" s="411"/>
      <c r="O254" s="411"/>
      <c r="P254" s="411"/>
      <c r="Q254" s="411"/>
      <c r="R254" s="411"/>
      <c r="S254" s="411"/>
      <c r="T254" s="411"/>
      <c r="U254" s="411"/>
      <c r="V254" s="408"/>
      <c r="W254" s="446"/>
      <c r="X254" s="443">
        <v>42859</v>
      </c>
      <c r="Y254" s="444">
        <v>0.48571759259259256</v>
      </c>
    </row>
    <row r="255" spans="1:25" ht="12.75" customHeight="1">
      <c r="A255" s="445">
        <v>246</v>
      </c>
      <c r="B255" s="414"/>
      <c r="C255" s="415"/>
      <c r="D255" s="411"/>
      <c r="E255" s="411"/>
      <c r="F255" s="411"/>
      <c r="G255" s="411"/>
      <c r="H255" s="411"/>
      <c r="I255" s="411"/>
      <c r="J255" s="411"/>
      <c r="K255" s="411"/>
      <c r="L255" s="411"/>
      <c r="M255" s="411"/>
      <c r="N255" s="411"/>
      <c r="O255" s="411"/>
      <c r="P255" s="411"/>
      <c r="Q255" s="411"/>
      <c r="R255" s="411"/>
      <c r="S255" s="411"/>
      <c r="T255" s="411"/>
      <c r="U255" s="411"/>
      <c r="V255" s="408"/>
      <c r="W255" s="446"/>
      <c r="X255" s="443">
        <v>42859</v>
      </c>
      <c r="Y255" s="444">
        <v>0.48710648148148145</v>
      </c>
    </row>
    <row r="256" spans="1:25" ht="12.75" customHeight="1">
      <c r="A256" s="445">
        <v>247</v>
      </c>
      <c r="B256" s="414"/>
      <c r="C256" s="415"/>
      <c r="D256" s="411"/>
      <c r="E256" s="411"/>
      <c r="F256" s="411"/>
      <c r="G256" s="411"/>
      <c r="H256" s="411"/>
      <c r="I256" s="411"/>
      <c r="J256" s="411"/>
      <c r="K256" s="411"/>
      <c r="L256" s="411"/>
      <c r="M256" s="411"/>
      <c r="N256" s="411"/>
      <c r="O256" s="411"/>
      <c r="P256" s="411"/>
      <c r="Q256" s="411"/>
      <c r="R256" s="411"/>
      <c r="S256" s="411"/>
      <c r="T256" s="411"/>
      <c r="U256" s="411"/>
      <c r="V256" s="408"/>
      <c r="W256" s="446"/>
      <c r="X256" s="443">
        <v>42859</v>
      </c>
      <c r="Y256" s="444">
        <v>0.4872569444444444</v>
      </c>
    </row>
    <row r="257" spans="1:25" ht="12.75" customHeight="1">
      <c r="A257" s="445">
        <v>248</v>
      </c>
      <c r="B257" s="414"/>
      <c r="C257" s="415"/>
      <c r="D257" s="411"/>
      <c r="E257" s="411"/>
      <c r="F257" s="411"/>
      <c r="G257" s="411"/>
      <c r="H257" s="411"/>
      <c r="I257" s="411"/>
      <c r="J257" s="411"/>
      <c r="K257" s="411"/>
      <c r="L257" s="411"/>
      <c r="M257" s="411"/>
      <c r="N257" s="411"/>
      <c r="O257" s="411"/>
      <c r="P257" s="411"/>
      <c r="Q257" s="411"/>
      <c r="R257" s="411"/>
      <c r="S257" s="411"/>
      <c r="T257" s="411"/>
      <c r="U257" s="411"/>
      <c r="V257" s="408"/>
      <c r="W257" s="446"/>
      <c r="X257" s="443">
        <v>42859</v>
      </c>
      <c r="Y257" s="444">
        <v>0.48875000000000002</v>
      </c>
    </row>
    <row r="258" spans="1:25" ht="12.75" customHeight="1">
      <c r="A258" s="445">
        <v>249</v>
      </c>
      <c r="B258" s="414"/>
      <c r="C258" s="415"/>
      <c r="D258" s="411"/>
      <c r="E258" s="411"/>
      <c r="F258" s="411"/>
      <c r="G258" s="411"/>
      <c r="H258" s="411"/>
      <c r="I258" s="411"/>
      <c r="J258" s="411"/>
      <c r="K258" s="411"/>
      <c r="L258" s="411"/>
      <c r="M258" s="411"/>
      <c r="N258" s="411"/>
      <c r="O258" s="411"/>
      <c r="P258" s="411"/>
      <c r="Q258" s="411"/>
      <c r="R258" s="411"/>
      <c r="S258" s="411"/>
      <c r="T258" s="411"/>
      <c r="U258" s="411"/>
      <c r="V258" s="408"/>
      <c r="W258" s="446"/>
      <c r="X258" s="443">
        <v>42865</v>
      </c>
      <c r="Y258" s="444">
        <v>0.9067708333333333</v>
      </c>
    </row>
    <row r="259" spans="1:25" ht="12.75" customHeight="1">
      <c r="A259" s="445"/>
      <c r="B259" s="414"/>
      <c r="C259" s="415"/>
      <c r="D259" s="411"/>
      <c r="E259" s="411"/>
      <c r="F259" s="411"/>
      <c r="G259" s="411"/>
      <c r="H259" s="411"/>
      <c r="I259" s="411"/>
      <c r="J259" s="411"/>
      <c r="K259" s="411"/>
      <c r="L259" s="411"/>
      <c r="M259" s="411"/>
      <c r="N259" s="411"/>
      <c r="O259" s="411"/>
      <c r="P259" s="411"/>
      <c r="Q259" s="411"/>
      <c r="R259" s="411"/>
      <c r="S259" s="411"/>
      <c r="T259" s="411"/>
      <c r="U259" s="411"/>
      <c r="V259" s="408"/>
      <c r="W259" s="446"/>
      <c r="X259" s="443"/>
      <c r="Y259" s="444"/>
    </row>
    <row r="260" spans="1:25" ht="12.75" customHeight="1">
      <c r="A260" s="445"/>
      <c r="B260" s="414"/>
      <c r="C260" s="415"/>
      <c r="D260" s="411"/>
      <c r="E260" s="411"/>
      <c r="F260" s="411"/>
      <c r="G260" s="411"/>
      <c r="H260" s="411"/>
      <c r="I260" s="411"/>
      <c r="J260" s="411"/>
      <c r="K260" s="411"/>
      <c r="L260" s="411"/>
      <c r="M260" s="411"/>
      <c r="N260" s="411"/>
      <c r="O260" s="411"/>
      <c r="P260" s="411"/>
      <c r="Q260" s="411"/>
      <c r="R260" s="411"/>
      <c r="S260" s="411"/>
      <c r="T260" s="411"/>
      <c r="U260" s="411"/>
      <c r="V260" s="408"/>
      <c r="W260" s="446"/>
      <c r="X260" s="443"/>
      <c r="Y260" s="444"/>
    </row>
    <row r="261" spans="1:25" ht="12.75" customHeight="1">
      <c r="A261" s="445"/>
      <c r="B261" s="414"/>
      <c r="C261" s="415"/>
      <c r="D261" s="411"/>
      <c r="E261" s="411"/>
      <c r="F261" s="411"/>
      <c r="G261" s="411"/>
      <c r="H261" s="411"/>
      <c r="I261" s="411"/>
      <c r="J261" s="411"/>
      <c r="K261" s="411"/>
      <c r="L261" s="411"/>
      <c r="M261" s="411"/>
      <c r="N261" s="411"/>
      <c r="O261" s="411"/>
      <c r="P261" s="411"/>
      <c r="Q261" s="411"/>
      <c r="R261" s="411"/>
      <c r="S261" s="411"/>
      <c r="T261" s="411"/>
      <c r="U261" s="411"/>
      <c r="V261" s="408"/>
      <c r="W261" s="446"/>
      <c r="X261" s="443"/>
      <c r="Y261" s="444"/>
    </row>
    <row r="262" spans="1:25" ht="12.75" customHeight="1">
      <c r="A262" s="445"/>
      <c r="B262" s="414"/>
      <c r="C262" s="415"/>
      <c r="D262" s="411"/>
      <c r="E262" s="411"/>
      <c r="F262" s="411"/>
      <c r="G262" s="411"/>
      <c r="H262" s="411"/>
      <c r="I262" s="411"/>
      <c r="J262" s="411"/>
      <c r="K262" s="411"/>
      <c r="L262" s="411"/>
      <c r="M262" s="411"/>
      <c r="N262" s="411"/>
      <c r="O262" s="411"/>
      <c r="P262" s="411"/>
      <c r="Q262" s="411"/>
      <c r="R262" s="411"/>
      <c r="S262" s="411"/>
      <c r="T262" s="411"/>
      <c r="U262" s="411"/>
      <c r="V262" s="408"/>
      <c r="W262" s="446"/>
      <c r="X262" s="443"/>
      <c r="Y262" s="444"/>
    </row>
    <row r="263" spans="1:25" ht="12.75" customHeight="1">
      <c r="A263" s="445"/>
      <c r="B263" s="414"/>
      <c r="C263" s="415"/>
      <c r="D263" s="411"/>
      <c r="E263" s="411"/>
      <c r="F263" s="411"/>
      <c r="G263" s="411"/>
      <c r="H263" s="411"/>
      <c r="I263" s="411"/>
      <c r="J263" s="411"/>
      <c r="K263" s="411"/>
      <c r="L263" s="411"/>
      <c r="M263" s="411"/>
      <c r="N263" s="411"/>
      <c r="O263" s="411"/>
      <c r="P263" s="411"/>
      <c r="Q263" s="411"/>
      <c r="R263" s="411"/>
      <c r="S263" s="411"/>
      <c r="T263" s="411"/>
      <c r="U263" s="411"/>
      <c r="V263" s="408"/>
      <c r="W263" s="446"/>
      <c r="X263" s="443"/>
      <c r="Y263" s="444"/>
    </row>
    <row r="264" spans="1:25" ht="12.75" customHeight="1">
      <c r="A264" s="445"/>
      <c r="B264" s="414"/>
      <c r="C264" s="415"/>
      <c r="D264" s="411"/>
      <c r="E264" s="411"/>
      <c r="F264" s="411"/>
      <c r="G264" s="411"/>
      <c r="H264" s="411"/>
      <c r="I264" s="411"/>
      <c r="J264" s="411"/>
      <c r="K264" s="411"/>
      <c r="L264" s="411"/>
      <c r="M264" s="411"/>
      <c r="N264" s="411"/>
      <c r="O264" s="411"/>
      <c r="P264" s="411"/>
      <c r="Q264" s="411"/>
      <c r="R264" s="411"/>
      <c r="S264" s="411"/>
      <c r="T264" s="411"/>
      <c r="U264" s="411"/>
      <c r="V264" s="408"/>
      <c r="W264" s="446"/>
      <c r="X264" s="443"/>
      <c r="Y264" s="444"/>
    </row>
    <row r="265" spans="1:25" ht="12.75" customHeight="1">
      <c r="A265" s="445"/>
      <c r="B265" s="414"/>
      <c r="C265" s="415"/>
      <c r="D265" s="411"/>
      <c r="E265" s="411"/>
      <c r="F265" s="411"/>
      <c r="G265" s="411"/>
      <c r="H265" s="411"/>
      <c r="I265" s="411"/>
      <c r="J265" s="411"/>
      <c r="K265" s="411"/>
      <c r="L265" s="411"/>
      <c r="M265" s="411"/>
      <c r="N265" s="411"/>
      <c r="O265" s="411"/>
      <c r="P265" s="411"/>
      <c r="Q265" s="411"/>
      <c r="R265" s="411"/>
      <c r="S265" s="411"/>
      <c r="T265" s="411"/>
      <c r="U265" s="411"/>
      <c r="V265" s="408"/>
      <c r="W265" s="446"/>
      <c r="X265" s="443"/>
      <c r="Y265" s="444"/>
    </row>
    <row r="266" spans="1:25" ht="12.75" customHeight="1">
      <c r="A266" s="445"/>
      <c r="B266" s="414"/>
      <c r="C266" s="415"/>
      <c r="D266" s="411"/>
      <c r="E266" s="411"/>
      <c r="F266" s="411"/>
      <c r="G266" s="411"/>
      <c r="H266" s="411"/>
      <c r="I266" s="411"/>
      <c r="J266" s="411"/>
      <c r="K266" s="411"/>
      <c r="L266" s="411"/>
      <c r="M266" s="411"/>
      <c r="N266" s="411"/>
      <c r="O266" s="411"/>
      <c r="P266" s="411"/>
      <c r="Q266" s="411"/>
      <c r="R266" s="411"/>
      <c r="S266" s="411"/>
      <c r="T266" s="411"/>
      <c r="U266" s="411"/>
      <c r="V266" s="408"/>
      <c r="W266" s="446"/>
      <c r="X266" s="443"/>
      <c r="Y266" s="444"/>
    </row>
    <row r="267" spans="1:25" ht="12.75" customHeight="1">
      <c r="A267" s="445"/>
      <c r="B267" s="414"/>
      <c r="C267" s="415"/>
      <c r="D267" s="411"/>
      <c r="E267" s="411"/>
      <c r="F267" s="411"/>
      <c r="G267" s="411"/>
      <c r="H267" s="411"/>
      <c r="I267" s="411"/>
      <c r="J267" s="411"/>
      <c r="K267" s="411"/>
      <c r="L267" s="411"/>
      <c r="M267" s="411"/>
      <c r="N267" s="411"/>
      <c r="O267" s="411"/>
      <c r="P267" s="411"/>
      <c r="Q267" s="411"/>
      <c r="R267" s="411"/>
      <c r="S267" s="411"/>
      <c r="T267" s="411"/>
      <c r="U267" s="411"/>
      <c r="V267" s="408"/>
      <c r="W267" s="446"/>
      <c r="X267" s="443"/>
      <c r="Y267" s="444"/>
    </row>
    <row r="268" spans="1:25" ht="12.75" customHeight="1">
      <c r="A268" s="445"/>
      <c r="B268" s="414"/>
      <c r="C268" s="415"/>
      <c r="D268" s="411"/>
      <c r="E268" s="411"/>
      <c r="F268" s="411"/>
      <c r="G268" s="411"/>
      <c r="H268" s="411"/>
      <c r="I268" s="411"/>
      <c r="J268" s="411"/>
      <c r="K268" s="411"/>
      <c r="L268" s="411"/>
      <c r="M268" s="411"/>
      <c r="N268" s="411"/>
      <c r="O268" s="411"/>
      <c r="P268" s="411"/>
      <c r="Q268" s="411"/>
      <c r="R268" s="411"/>
      <c r="S268" s="411"/>
      <c r="T268" s="411"/>
      <c r="U268" s="411"/>
      <c r="V268" s="408"/>
      <c r="W268" s="446"/>
      <c r="X268" s="416"/>
      <c r="Y268" s="416"/>
    </row>
    <row r="269" spans="1:25" ht="12.75" customHeight="1">
      <c r="A269" s="445"/>
      <c r="B269" s="414"/>
      <c r="C269" s="415"/>
      <c r="D269" s="411"/>
      <c r="E269" s="411"/>
      <c r="F269" s="411"/>
      <c r="G269" s="411"/>
      <c r="H269" s="411"/>
      <c r="I269" s="411"/>
      <c r="J269" s="411"/>
      <c r="K269" s="411"/>
      <c r="L269" s="411"/>
      <c r="M269" s="411"/>
      <c r="N269" s="411"/>
      <c r="O269" s="411"/>
      <c r="P269" s="411"/>
      <c r="Q269" s="411"/>
      <c r="R269" s="411"/>
      <c r="S269" s="411"/>
      <c r="T269" s="411"/>
      <c r="U269" s="411"/>
      <c r="V269" s="408"/>
      <c r="W269" s="446"/>
      <c r="X269" s="416"/>
      <c r="Y269" s="416"/>
    </row>
    <row r="270" spans="1:25" ht="12.75" customHeight="1">
      <c r="A270" s="445"/>
      <c r="B270" s="414"/>
      <c r="C270" s="415"/>
      <c r="D270" s="411"/>
      <c r="E270" s="411"/>
      <c r="F270" s="411"/>
      <c r="G270" s="411"/>
      <c r="H270" s="411"/>
      <c r="I270" s="411"/>
      <c r="J270" s="411"/>
      <c r="K270" s="411"/>
      <c r="L270" s="411"/>
      <c r="M270" s="411"/>
      <c r="N270" s="411"/>
      <c r="O270" s="411"/>
      <c r="P270" s="411"/>
      <c r="Q270" s="411"/>
      <c r="R270" s="411"/>
      <c r="S270" s="411"/>
      <c r="T270" s="411"/>
      <c r="U270" s="411"/>
      <c r="V270" s="408"/>
      <c r="W270" s="446"/>
      <c r="X270" s="416"/>
      <c r="Y270" s="416"/>
    </row>
    <row r="271" spans="1:25" ht="12.75" customHeight="1">
      <c r="A271" s="445"/>
      <c r="B271" s="414"/>
      <c r="C271" s="415"/>
      <c r="D271" s="411"/>
      <c r="E271" s="411"/>
      <c r="F271" s="411"/>
      <c r="G271" s="411"/>
      <c r="H271" s="411"/>
      <c r="I271" s="411"/>
      <c r="J271" s="411"/>
      <c r="K271" s="411"/>
      <c r="L271" s="411"/>
      <c r="M271" s="411"/>
      <c r="N271" s="411"/>
      <c r="O271" s="411"/>
      <c r="P271" s="411"/>
      <c r="Q271" s="411"/>
      <c r="R271" s="411"/>
      <c r="S271" s="411"/>
      <c r="T271" s="411"/>
      <c r="U271" s="411"/>
      <c r="V271" s="408"/>
      <c r="W271" s="446"/>
      <c r="X271" s="416"/>
      <c r="Y271" s="416"/>
    </row>
    <row r="272" spans="1:25" ht="12.75" customHeight="1">
      <c r="A272" s="445"/>
      <c r="B272" s="414"/>
      <c r="C272" s="415"/>
      <c r="D272" s="411"/>
      <c r="E272" s="411"/>
      <c r="F272" s="411"/>
      <c r="G272" s="411"/>
      <c r="H272" s="411"/>
      <c r="I272" s="411"/>
      <c r="J272" s="411"/>
      <c r="K272" s="411"/>
      <c r="L272" s="411"/>
      <c r="M272" s="411"/>
      <c r="N272" s="411"/>
      <c r="O272" s="411"/>
      <c r="P272" s="411"/>
      <c r="Q272" s="411"/>
      <c r="R272" s="411"/>
      <c r="S272" s="411"/>
      <c r="T272" s="411"/>
      <c r="U272" s="411"/>
      <c r="V272" s="408"/>
      <c r="W272" s="446"/>
      <c r="X272" s="416"/>
      <c r="Y272" s="416"/>
    </row>
    <row r="273" spans="1:25" ht="12.75" customHeight="1">
      <c r="A273" s="445"/>
      <c r="B273" s="414"/>
      <c r="C273" s="415"/>
      <c r="D273" s="411"/>
      <c r="E273" s="411"/>
      <c r="F273" s="411"/>
      <c r="G273" s="411"/>
      <c r="H273" s="411"/>
      <c r="I273" s="411"/>
      <c r="J273" s="411"/>
      <c r="K273" s="411"/>
      <c r="L273" s="411"/>
      <c r="M273" s="411"/>
      <c r="N273" s="411"/>
      <c r="O273" s="411"/>
      <c r="P273" s="411"/>
      <c r="Q273" s="411"/>
      <c r="R273" s="411"/>
      <c r="S273" s="411"/>
      <c r="T273" s="411"/>
      <c r="U273" s="411"/>
      <c r="V273" s="408"/>
      <c r="W273" s="446"/>
      <c r="X273" s="416"/>
      <c r="Y273" s="416"/>
    </row>
    <row r="274" spans="1:25" ht="12.75" customHeight="1">
      <c r="A274" s="445"/>
      <c r="B274" s="414"/>
      <c r="C274" s="415"/>
      <c r="D274" s="411"/>
      <c r="E274" s="411"/>
      <c r="F274" s="411"/>
      <c r="G274" s="411"/>
      <c r="H274" s="411"/>
      <c r="I274" s="411"/>
      <c r="J274" s="411"/>
      <c r="K274" s="411"/>
      <c r="L274" s="411"/>
      <c r="M274" s="411"/>
      <c r="N274" s="411"/>
      <c r="O274" s="411"/>
      <c r="P274" s="411"/>
      <c r="Q274" s="411"/>
      <c r="R274" s="411"/>
      <c r="S274" s="411"/>
      <c r="T274" s="411"/>
      <c r="U274" s="411"/>
      <c r="V274" s="408"/>
      <c r="W274" s="446"/>
      <c r="X274" s="416"/>
      <c r="Y274" s="416"/>
    </row>
    <row r="275" spans="1:25" ht="12.75" customHeight="1">
      <c r="A275" s="445"/>
      <c r="B275" s="414"/>
      <c r="C275" s="415"/>
      <c r="D275" s="411"/>
      <c r="E275" s="411"/>
      <c r="F275" s="411"/>
      <c r="G275" s="411"/>
      <c r="H275" s="411"/>
      <c r="I275" s="411"/>
      <c r="J275" s="411"/>
      <c r="K275" s="411"/>
      <c r="L275" s="411"/>
      <c r="M275" s="411"/>
      <c r="N275" s="411"/>
      <c r="O275" s="411"/>
      <c r="P275" s="411"/>
      <c r="Q275" s="411"/>
      <c r="R275" s="411"/>
      <c r="S275" s="411"/>
      <c r="T275" s="411"/>
      <c r="U275" s="411"/>
      <c r="V275" s="408"/>
      <c r="W275" s="446"/>
      <c r="X275" s="416"/>
      <c r="Y275" s="416"/>
    </row>
    <row r="276" spans="1:25" ht="12.75" customHeight="1">
      <c r="A276" s="445"/>
      <c r="B276" s="414"/>
      <c r="C276" s="415"/>
      <c r="D276" s="411"/>
      <c r="E276" s="411"/>
      <c r="F276" s="411"/>
      <c r="G276" s="411"/>
      <c r="H276" s="411"/>
      <c r="I276" s="411"/>
      <c r="J276" s="411"/>
      <c r="K276" s="411"/>
      <c r="L276" s="411"/>
      <c r="M276" s="411"/>
      <c r="N276" s="411"/>
      <c r="O276" s="411"/>
      <c r="P276" s="411"/>
      <c r="Q276" s="411"/>
      <c r="R276" s="411"/>
      <c r="S276" s="411"/>
      <c r="T276" s="411"/>
      <c r="U276" s="411"/>
      <c r="V276" s="408"/>
      <c r="W276" s="446"/>
      <c r="X276" s="416"/>
      <c r="Y276" s="416"/>
    </row>
    <row r="277" spans="1:25" ht="12.75" customHeight="1">
      <c r="A277" s="445"/>
      <c r="B277" s="414"/>
      <c r="C277" s="415"/>
      <c r="D277" s="411"/>
      <c r="E277" s="411"/>
      <c r="F277" s="411"/>
      <c r="G277" s="411"/>
      <c r="H277" s="411"/>
      <c r="I277" s="411"/>
      <c r="J277" s="411"/>
      <c r="K277" s="411"/>
      <c r="L277" s="411"/>
      <c r="M277" s="411"/>
      <c r="N277" s="411"/>
      <c r="O277" s="411"/>
      <c r="P277" s="411"/>
      <c r="Q277" s="411"/>
      <c r="R277" s="411"/>
      <c r="S277" s="411"/>
      <c r="T277" s="411"/>
      <c r="U277" s="411"/>
      <c r="V277" s="408"/>
      <c r="W277" s="446"/>
      <c r="X277" s="416"/>
      <c r="Y277" s="416"/>
    </row>
    <row r="278" spans="1:25" ht="12.75" customHeight="1">
      <c r="A278" s="445"/>
      <c r="B278" s="414"/>
      <c r="C278" s="415"/>
      <c r="D278" s="411"/>
      <c r="E278" s="411"/>
      <c r="F278" s="411"/>
      <c r="G278" s="411"/>
      <c r="H278" s="411"/>
      <c r="I278" s="411"/>
      <c r="J278" s="411"/>
      <c r="K278" s="411"/>
      <c r="L278" s="411"/>
      <c r="M278" s="411"/>
      <c r="N278" s="411"/>
      <c r="O278" s="411"/>
      <c r="P278" s="411"/>
      <c r="Q278" s="411"/>
      <c r="R278" s="411"/>
      <c r="S278" s="411"/>
      <c r="T278" s="411"/>
      <c r="U278" s="411"/>
      <c r="V278" s="408"/>
      <c r="W278" s="446"/>
      <c r="X278" s="416"/>
      <c r="Y278" s="416"/>
    </row>
    <row r="279" spans="1:25" ht="12.75" customHeight="1">
      <c r="A279" s="445"/>
      <c r="B279" s="414"/>
      <c r="C279" s="415"/>
      <c r="D279" s="411"/>
      <c r="E279" s="411"/>
      <c r="F279" s="411"/>
      <c r="G279" s="411"/>
      <c r="H279" s="411"/>
      <c r="I279" s="411"/>
      <c r="J279" s="411"/>
      <c r="K279" s="411"/>
      <c r="L279" s="411"/>
      <c r="M279" s="411"/>
      <c r="N279" s="411"/>
      <c r="O279" s="411"/>
      <c r="P279" s="411"/>
      <c r="Q279" s="411"/>
      <c r="R279" s="411"/>
      <c r="S279" s="411"/>
      <c r="T279" s="411"/>
      <c r="U279" s="411"/>
      <c r="V279" s="408"/>
      <c r="W279" s="446"/>
      <c r="X279" s="416"/>
      <c r="Y279" s="416"/>
    </row>
    <row r="280" spans="1:25" ht="12.75" customHeight="1">
      <c r="A280" s="445"/>
      <c r="B280" s="414"/>
      <c r="C280" s="415"/>
      <c r="D280" s="411"/>
      <c r="E280" s="411"/>
      <c r="F280" s="411"/>
      <c r="G280" s="411"/>
      <c r="H280" s="411"/>
      <c r="I280" s="411"/>
      <c r="J280" s="411"/>
      <c r="K280" s="411"/>
      <c r="L280" s="411"/>
      <c r="M280" s="411"/>
      <c r="N280" s="411"/>
      <c r="O280" s="411"/>
      <c r="P280" s="411"/>
      <c r="Q280" s="411"/>
      <c r="R280" s="411"/>
      <c r="S280" s="411"/>
      <c r="T280" s="411"/>
      <c r="U280" s="411"/>
      <c r="V280" s="408"/>
      <c r="W280" s="446"/>
      <c r="X280" s="416"/>
      <c r="Y280" s="416"/>
    </row>
    <row r="281" spans="1:25" ht="12.75" customHeight="1">
      <c r="A281" s="445"/>
      <c r="B281" s="414"/>
      <c r="C281" s="415"/>
      <c r="D281" s="411"/>
      <c r="E281" s="411"/>
      <c r="F281" s="411"/>
      <c r="G281" s="411"/>
      <c r="H281" s="411"/>
      <c r="I281" s="411"/>
      <c r="J281" s="411"/>
      <c r="K281" s="411"/>
      <c r="L281" s="411"/>
      <c r="M281" s="411"/>
      <c r="N281" s="411"/>
      <c r="O281" s="411"/>
      <c r="P281" s="411"/>
      <c r="Q281" s="411"/>
      <c r="R281" s="411"/>
      <c r="S281" s="411"/>
      <c r="T281" s="411"/>
      <c r="U281" s="411"/>
      <c r="V281" s="408"/>
      <c r="W281" s="446"/>
      <c r="X281" s="416"/>
      <c r="Y281" s="416"/>
    </row>
    <row r="282" spans="1:25" ht="12.75" customHeight="1">
      <c r="A282" s="445"/>
      <c r="B282" s="414"/>
      <c r="C282" s="415"/>
      <c r="D282" s="411"/>
      <c r="E282" s="411"/>
      <c r="F282" s="411"/>
      <c r="G282" s="411"/>
      <c r="H282" s="411"/>
      <c r="I282" s="411"/>
      <c r="J282" s="411"/>
      <c r="K282" s="411"/>
      <c r="L282" s="411"/>
      <c r="M282" s="411"/>
      <c r="N282" s="411"/>
      <c r="O282" s="411"/>
      <c r="P282" s="411"/>
      <c r="Q282" s="411"/>
      <c r="R282" s="411"/>
      <c r="S282" s="411"/>
      <c r="T282" s="411"/>
      <c r="U282" s="411"/>
      <c r="V282" s="408"/>
      <c r="W282" s="446"/>
      <c r="X282" s="416"/>
      <c r="Y282" s="416"/>
    </row>
    <row r="283" spans="1:25" ht="12.75" customHeight="1">
      <c r="A283" s="445"/>
      <c r="B283" s="414"/>
      <c r="C283" s="415"/>
      <c r="D283" s="411"/>
      <c r="E283" s="411"/>
      <c r="F283" s="411"/>
      <c r="G283" s="411"/>
      <c r="H283" s="411"/>
      <c r="I283" s="411"/>
      <c r="J283" s="411"/>
      <c r="K283" s="411"/>
      <c r="L283" s="411"/>
      <c r="M283" s="411"/>
      <c r="N283" s="411"/>
      <c r="O283" s="411"/>
      <c r="P283" s="411"/>
      <c r="Q283" s="411"/>
      <c r="R283" s="411"/>
      <c r="S283" s="411"/>
      <c r="T283" s="411"/>
      <c r="U283" s="411"/>
      <c r="V283" s="408"/>
      <c r="W283" s="446"/>
      <c r="X283" s="416"/>
      <c r="Y283" s="416"/>
    </row>
    <row r="284" spans="1:25" ht="12.75" customHeight="1">
      <c r="A284" s="445"/>
      <c r="B284" s="414"/>
      <c r="C284" s="415"/>
      <c r="D284" s="411"/>
      <c r="E284" s="411"/>
      <c r="F284" s="411"/>
      <c r="G284" s="411"/>
      <c r="H284" s="411"/>
      <c r="I284" s="411"/>
      <c r="J284" s="411"/>
      <c r="K284" s="411"/>
      <c r="L284" s="411"/>
      <c r="M284" s="411"/>
      <c r="N284" s="411"/>
      <c r="O284" s="411"/>
      <c r="P284" s="411"/>
      <c r="Q284" s="411"/>
      <c r="R284" s="411"/>
      <c r="S284" s="411"/>
      <c r="T284" s="411"/>
      <c r="U284" s="411"/>
      <c r="V284" s="408"/>
      <c r="W284" s="446"/>
      <c r="X284" s="416"/>
      <c r="Y284" s="416"/>
    </row>
    <row r="285" spans="1:25" ht="12.75" customHeight="1">
      <c r="A285" s="445"/>
      <c r="B285" s="414"/>
      <c r="C285" s="415"/>
      <c r="D285" s="411"/>
      <c r="E285" s="411"/>
      <c r="F285" s="411"/>
      <c r="G285" s="411"/>
      <c r="H285" s="411"/>
      <c r="I285" s="411"/>
      <c r="J285" s="411"/>
      <c r="K285" s="411"/>
      <c r="L285" s="411"/>
      <c r="M285" s="411"/>
      <c r="N285" s="411"/>
      <c r="O285" s="411"/>
      <c r="P285" s="411"/>
      <c r="Q285" s="411"/>
      <c r="R285" s="411"/>
      <c r="S285" s="411"/>
      <c r="T285" s="411"/>
      <c r="U285" s="411"/>
      <c r="V285" s="408"/>
      <c r="W285" s="446"/>
      <c r="X285" s="416"/>
      <c r="Y285" s="416"/>
    </row>
    <row r="286" spans="1:25" ht="12.75" customHeight="1">
      <c r="A286" s="445"/>
      <c r="B286" s="414"/>
      <c r="C286" s="415"/>
      <c r="D286" s="411"/>
      <c r="E286" s="411"/>
      <c r="F286" s="411"/>
      <c r="G286" s="411"/>
      <c r="H286" s="411"/>
      <c r="I286" s="411"/>
      <c r="J286" s="411"/>
      <c r="K286" s="411"/>
      <c r="L286" s="411"/>
      <c r="M286" s="411"/>
      <c r="N286" s="411"/>
      <c r="O286" s="411"/>
      <c r="P286" s="411"/>
      <c r="Q286" s="411"/>
      <c r="R286" s="411"/>
      <c r="S286" s="411"/>
      <c r="T286" s="411"/>
      <c r="U286" s="411"/>
      <c r="V286" s="408"/>
      <c r="W286" s="446"/>
      <c r="X286" s="416"/>
      <c r="Y286" s="416"/>
    </row>
    <row r="287" spans="1:25" ht="12.75" customHeight="1">
      <c r="A287" s="445"/>
      <c r="B287" s="414"/>
      <c r="C287" s="415"/>
      <c r="D287" s="411"/>
      <c r="E287" s="411"/>
      <c r="F287" s="411"/>
      <c r="G287" s="411"/>
      <c r="H287" s="411"/>
      <c r="I287" s="411"/>
      <c r="J287" s="411"/>
      <c r="K287" s="411"/>
      <c r="L287" s="411"/>
      <c r="M287" s="411"/>
      <c r="N287" s="411"/>
      <c r="O287" s="411"/>
      <c r="P287" s="411"/>
      <c r="Q287" s="411"/>
      <c r="R287" s="411"/>
      <c r="S287" s="411"/>
      <c r="T287" s="411"/>
      <c r="U287" s="411"/>
      <c r="V287" s="408"/>
      <c r="W287" s="446"/>
      <c r="X287" s="416"/>
      <c r="Y287" s="416"/>
    </row>
    <row r="288" spans="1:25" ht="12.75" customHeight="1">
      <c r="A288" s="445"/>
      <c r="B288" s="414"/>
      <c r="C288" s="415"/>
      <c r="D288" s="411"/>
      <c r="E288" s="411"/>
      <c r="F288" s="411"/>
      <c r="G288" s="411"/>
      <c r="H288" s="411"/>
      <c r="I288" s="411"/>
      <c r="J288" s="411"/>
      <c r="K288" s="411"/>
      <c r="L288" s="411"/>
      <c r="M288" s="411"/>
      <c r="N288" s="411"/>
      <c r="O288" s="411"/>
      <c r="P288" s="411"/>
      <c r="Q288" s="411"/>
      <c r="R288" s="411"/>
      <c r="S288" s="411"/>
      <c r="T288" s="411"/>
      <c r="U288" s="411"/>
      <c r="V288" s="408"/>
      <c r="W288" s="446"/>
      <c r="X288" s="416"/>
      <c r="Y288" s="416"/>
    </row>
    <row r="289" spans="1:25" ht="12.75" customHeight="1">
      <c r="A289" s="445"/>
      <c r="B289" s="414"/>
      <c r="C289" s="415"/>
      <c r="D289" s="411"/>
      <c r="E289" s="411"/>
      <c r="F289" s="411"/>
      <c r="G289" s="411"/>
      <c r="H289" s="411"/>
      <c r="I289" s="411"/>
      <c r="J289" s="411"/>
      <c r="K289" s="411"/>
      <c r="L289" s="411"/>
      <c r="M289" s="411"/>
      <c r="N289" s="411"/>
      <c r="O289" s="411"/>
      <c r="P289" s="411"/>
      <c r="Q289" s="411"/>
      <c r="R289" s="411"/>
      <c r="S289" s="411"/>
      <c r="T289" s="411"/>
      <c r="U289" s="411"/>
      <c r="V289" s="408"/>
      <c r="W289" s="446"/>
      <c r="X289" s="416"/>
      <c r="Y289" s="416"/>
    </row>
    <row r="290" spans="1:25" ht="12.75" customHeight="1">
      <c r="A290" s="445"/>
      <c r="B290" s="414"/>
      <c r="C290" s="415"/>
      <c r="D290" s="411"/>
      <c r="E290" s="411"/>
      <c r="F290" s="411"/>
      <c r="G290" s="411"/>
      <c r="H290" s="411"/>
      <c r="I290" s="411"/>
      <c r="J290" s="411"/>
      <c r="K290" s="411"/>
      <c r="L290" s="411"/>
      <c r="M290" s="411"/>
      <c r="N290" s="411"/>
      <c r="O290" s="411"/>
      <c r="P290" s="411"/>
      <c r="Q290" s="411"/>
      <c r="R290" s="411"/>
      <c r="S290" s="411"/>
      <c r="T290" s="411"/>
      <c r="U290" s="411"/>
      <c r="V290" s="408"/>
      <c r="W290" s="446"/>
      <c r="X290" s="416"/>
      <c r="Y290" s="416"/>
    </row>
    <row r="291" spans="1:25" ht="12.75" customHeight="1">
      <c r="A291" s="445"/>
      <c r="B291" s="414"/>
      <c r="C291" s="415"/>
      <c r="D291" s="411"/>
      <c r="E291" s="411"/>
      <c r="F291" s="411"/>
      <c r="G291" s="411"/>
      <c r="H291" s="411"/>
      <c r="I291" s="411"/>
      <c r="J291" s="411"/>
      <c r="K291" s="411"/>
      <c r="L291" s="411"/>
      <c r="M291" s="411"/>
      <c r="N291" s="411"/>
      <c r="O291" s="411"/>
      <c r="P291" s="411"/>
      <c r="Q291" s="411"/>
      <c r="R291" s="411"/>
      <c r="S291" s="411"/>
      <c r="T291" s="411"/>
      <c r="U291" s="411"/>
      <c r="V291" s="408"/>
      <c r="W291" s="446"/>
      <c r="X291" s="416"/>
      <c r="Y291" s="416"/>
    </row>
    <row r="292" spans="1:25" ht="12.75" customHeight="1">
      <c r="A292" s="445"/>
      <c r="B292" s="414"/>
      <c r="C292" s="415"/>
      <c r="D292" s="411"/>
      <c r="E292" s="411"/>
      <c r="F292" s="411"/>
      <c r="G292" s="411"/>
      <c r="H292" s="411"/>
      <c r="I292" s="411"/>
      <c r="J292" s="411"/>
      <c r="K292" s="411"/>
      <c r="L292" s="411"/>
      <c r="M292" s="411"/>
      <c r="N292" s="411"/>
      <c r="O292" s="411"/>
      <c r="P292" s="411"/>
      <c r="Q292" s="411"/>
      <c r="R292" s="411"/>
      <c r="S292" s="411"/>
      <c r="T292" s="411"/>
      <c r="U292" s="411"/>
      <c r="V292" s="408"/>
      <c r="W292" s="446"/>
      <c r="X292" s="416"/>
      <c r="Y292" s="416"/>
    </row>
    <row r="293" spans="1:25" ht="12.75" customHeight="1">
      <c r="A293" s="445"/>
      <c r="B293" s="414"/>
      <c r="C293" s="415"/>
      <c r="D293" s="411"/>
      <c r="E293" s="411"/>
      <c r="F293" s="411"/>
      <c r="G293" s="411"/>
      <c r="H293" s="411"/>
      <c r="I293" s="411"/>
      <c r="J293" s="411"/>
      <c r="K293" s="411"/>
      <c r="L293" s="411"/>
      <c r="M293" s="411"/>
      <c r="N293" s="411"/>
      <c r="O293" s="411"/>
      <c r="P293" s="411"/>
      <c r="Q293" s="411"/>
      <c r="R293" s="411"/>
      <c r="S293" s="411"/>
      <c r="T293" s="411"/>
      <c r="U293" s="411"/>
      <c r="V293" s="408"/>
      <c r="W293" s="446"/>
      <c r="X293" s="416"/>
      <c r="Y293" s="416"/>
    </row>
    <row r="294" spans="1:25" ht="12.75" customHeight="1">
      <c r="A294" s="445"/>
      <c r="B294" s="414"/>
      <c r="C294" s="415"/>
      <c r="D294" s="411"/>
      <c r="E294" s="411"/>
      <c r="F294" s="411"/>
      <c r="G294" s="411"/>
      <c r="H294" s="411"/>
      <c r="I294" s="411"/>
      <c r="J294" s="411"/>
      <c r="K294" s="411"/>
      <c r="L294" s="411"/>
      <c r="M294" s="411"/>
      <c r="N294" s="411"/>
      <c r="O294" s="411"/>
      <c r="P294" s="411"/>
      <c r="Q294" s="411"/>
      <c r="R294" s="411"/>
      <c r="S294" s="411"/>
      <c r="T294" s="411"/>
      <c r="U294" s="411"/>
      <c r="V294" s="408"/>
      <c r="W294" s="446"/>
      <c r="X294" s="416"/>
      <c r="Y294" s="416"/>
    </row>
    <row r="295" spans="1:25" ht="12.75" customHeight="1">
      <c r="A295" s="445"/>
      <c r="B295" s="414"/>
      <c r="C295" s="415"/>
      <c r="D295" s="411"/>
      <c r="E295" s="411"/>
      <c r="F295" s="411"/>
      <c r="G295" s="411"/>
      <c r="H295" s="411"/>
      <c r="I295" s="411"/>
      <c r="J295" s="411"/>
      <c r="K295" s="411"/>
      <c r="L295" s="411"/>
      <c r="M295" s="411"/>
      <c r="N295" s="411"/>
      <c r="O295" s="411"/>
      <c r="P295" s="411"/>
      <c r="Q295" s="411"/>
      <c r="R295" s="411"/>
      <c r="S295" s="411"/>
      <c r="T295" s="411"/>
      <c r="U295" s="411"/>
      <c r="V295" s="408"/>
      <c r="W295" s="446"/>
      <c r="X295" s="416"/>
      <c r="Y295" s="416"/>
    </row>
    <row r="296" spans="1:25" ht="12.75" customHeight="1">
      <c r="A296" s="445"/>
      <c r="B296" s="414"/>
      <c r="C296" s="415"/>
      <c r="D296" s="411"/>
      <c r="E296" s="411"/>
      <c r="F296" s="411"/>
      <c r="G296" s="411"/>
      <c r="H296" s="411"/>
      <c r="I296" s="411"/>
      <c r="J296" s="411"/>
      <c r="K296" s="411"/>
      <c r="L296" s="411"/>
      <c r="M296" s="411"/>
      <c r="N296" s="411"/>
      <c r="O296" s="411"/>
      <c r="P296" s="411"/>
      <c r="Q296" s="411"/>
      <c r="R296" s="411"/>
      <c r="S296" s="411"/>
      <c r="T296" s="411"/>
      <c r="U296" s="411"/>
      <c r="V296" s="408"/>
      <c r="W296" s="446"/>
      <c r="X296" s="416"/>
      <c r="Y296" s="416"/>
    </row>
    <row r="297" spans="1:25" ht="12.75" customHeight="1">
      <c r="A297" s="445"/>
      <c r="B297" s="414"/>
      <c r="C297" s="415"/>
      <c r="D297" s="411"/>
      <c r="E297" s="411"/>
      <c r="F297" s="411"/>
      <c r="G297" s="411"/>
      <c r="H297" s="411"/>
      <c r="I297" s="411"/>
      <c r="J297" s="411"/>
      <c r="K297" s="411"/>
      <c r="L297" s="411"/>
      <c r="M297" s="411"/>
      <c r="N297" s="411"/>
      <c r="O297" s="411"/>
      <c r="P297" s="411"/>
      <c r="Q297" s="411"/>
      <c r="R297" s="411"/>
      <c r="S297" s="411"/>
      <c r="T297" s="411"/>
      <c r="U297" s="411"/>
      <c r="V297" s="408"/>
      <c r="W297" s="446"/>
      <c r="X297" s="416"/>
      <c r="Y297" s="416"/>
    </row>
    <row r="298" spans="1:25" ht="12.75" customHeight="1">
      <c r="A298" s="445"/>
      <c r="B298" s="414"/>
      <c r="C298" s="415"/>
      <c r="D298" s="411"/>
      <c r="E298" s="411"/>
      <c r="F298" s="411"/>
      <c r="G298" s="411"/>
      <c r="H298" s="411"/>
      <c r="I298" s="411"/>
      <c r="J298" s="411"/>
      <c r="K298" s="411"/>
      <c r="L298" s="411"/>
      <c r="M298" s="411"/>
      <c r="N298" s="411"/>
      <c r="O298" s="411"/>
      <c r="P298" s="411"/>
      <c r="Q298" s="411"/>
      <c r="R298" s="411"/>
      <c r="S298" s="411"/>
      <c r="T298" s="411"/>
      <c r="U298" s="411"/>
      <c r="V298" s="408"/>
      <c r="W298" s="446"/>
      <c r="X298" s="416"/>
      <c r="Y298" s="416"/>
    </row>
    <row r="299" spans="1:25" ht="12.75" customHeight="1">
      <c r="A299" s="445"/>
      <c r="B299" s="414"/>
      <c r="C299" s="415"/>
      <c r="D299" s="411"/>
      <c r="E299" s="411"/>
      <c r="F299" s="411"/>
      <c r="G299" s="411"/>
      <c r="H299" s="411"/>
      <c r="I299" s="411"/>
      <c r="J299" s="411"/>
      <c r="K299" s="411"/>
      <c r="L299" s="411"/>
      <c r="M299" s="411"/>
      <c r="N299" s="411"/>
      <c r="O299" s="411"/>
      <c r="P299" s="411"/>
      <c r="Q299" s="411"/>
      <c r="R299" s="411"/>
      <c r="S299" s="411"/>
      <c r="T299" s="411"/>
      <c r="U299" s="411"/>
      <c r="V299" s="408"/>
      <c r="W299" s="446"/>
      <c r="X299" s="416"/>
      <c r="Y299" s="416"/>
    </row>
    <row r="300" spans="1:25" ht="12.75" customHeight="1">
      <c r="A300" s="445"/>
      <c r="B300" s="414"/>
      <c r="C300" s="415"/>
      <c r="D300" s="411"/>
      <c r="E300" s="411"/>
      <c r="F300" s="411"/>
      <c r="G300" s="411"/>
      <c r="H300" s="411"/>
      <c r="I300" s="411"/>
      <c r="J300" s="411"/>
      <c r="K300" s="411"/>
      <c r="L300" s="411"/>
      <c r="M300" s="411"/>
      <c r="N300" s="411"/>
      <c r="O300" s="411"/>
      <c r="P300" s="411"/>
      <c r="Q300" s="411"/>
      <c r="R300" s="411"/>
      <c r="S300" s="411"/>
      <c r="T300" s="411"/>
      <c r="U300" s="411"/>
      <c r="V300" s="408"/>
      <c r="W300" s="446"/>
      <c r="X300" s="416"/>
      <c r="Y300" s="416"/>
    </row>
    <row r="301" spans="1:25" ht="12.75" customHeight="1">
      <c r="A301" s="445"/>
      <c r="B301" s="414"/>
      <c r="C301" s="415"/>
      <c r="D301" s="411"/>
      <c r="E301" s="411"/>
      <c r="F301" s="411"/>
      <c r="G301" s="411"/>
      <c r="H301" s="411"/>
      <c r="I301" s="411"/>
      <c r="J301" s="411"/>
      <c r="K301" s="411"/>
      <c r="L301" s="411"/>
      <c r="M301" s="411"/>
      <c r="N301" s="411"/>
      <c r="O301" s="411"/>
      <c r="P301" s="411"/>
      <c r="Q301" s="411"/>
      <c r="R301" s="411"/>
      <c r="S301" s="411"/>
      <c r="T301" s="411"/>
      <c r="U301" s="411"/>
      <c r="V301" s="408"/>
      <c r="W301" s="446"/>
      <c r="X301" s="416"/>
      <c r="Y301" s="416"/>
    </row>
    <row r="302" spans="1:25" ht="12.75" customHeight="1">
      <c r="A302" s="445"/>
      <c r="B302" s="414"/>
      <c r="C302" s="415"/>
      <c r="D302" s="411"/>
      <c r="E302" s="411"/>
      <c r="F302" s="411"/>
      <c r="G302" s="411"/>
      <c r="H302" s="411"/>
      <c r="I302" s="411"/>
      <c r="J302" s="411"/>
      <c r="K302" s="411"/>
      <c r="L302" s="411"/>
      <c r="M302" s="411"/>
      <c r="N302" s="411"/>
      <c r="O302" s="411"/>
      <c r="P302" s="411"/>
      <c r="Q302" s="411"/>
      <c r="R302" s="411"/>
      <c r="S302" s="411"/>
      <c r="T302" s="411"/>
      <c r="U302" s="411"/>
      <c r="V302" s="408"/>
      <c r="W302" s="446"/>
      <c r="X302" s="416"/>
      <c r="Y302" s="416"/>
    </row>
    <row r="303" spans="1:25" ht="12.75" customHeight="1">
      <c r="A303" s="445"/>
      <c r="B303" s="414"/>
      <c r="C303" s="415"/>
      <c r="D303" s="411"/>
      <c r="E303" s="411"/>
      <c r="F303" s="411"/>
      <c r="G303" s="411"/>
      <c r="H303" s="411"/>
      <c r="I303" s="411"/>
      <c r="J303" s="411"/>
      <c r="K303" s="411"/>
      <c r="L303" s="411"/>
      <c r="M303" s="411"/>
      <c r="N303" s="411"/>
      <c r="O303" s="411"/>
      <c r="P303" s="411"/>
      <c r="Q303" s="411"/>
      <c r="R303" s="411"/>
      <c r="S303" s="411"/>
      <c r="T303" s="411"/>
      <c r="U303" s="411"/>
      <c r="V303" s="408"/>
      <c r="W303" s="446"/>
      <c r="X303" s="416"/>
      <c r="Y303" s="416"/>
    </row>
    <row r="304" spans="1:25" ht="12.75" customHeight="1">
      <c r="A304" s="445"/>
      <c r="B304" s="414"/>
      <c r="C304" s="415"/>
      <c r="D304" s="411"/>
      <c r="E304" s="411"/>
      <c r="F304" s="411"/>
      <c r="G304" s="411"/>
      <c r="H304" s="411"/>
      <c r="I304" s="411"/>
      <c r="J304" s="411"/>
      <c r="K304" s="411"/>
      <c r="L304" s="411"/>
      <c r="M304" s="411"/>
      <c r="N304" s="411"/>
      <c r="O304" s="411"/>
      <c r="P304" s="411"/>
      <c r="Q304" s="411"/>
      <c r="R304" s="411"/>
      <c r="S304" s="411"/>
      <c r="T304" s="411"/>
      <c r="U304" s="411"/>
      <c r="V304" s="408"/>
      <c r="W304" s="446"/>
      <c r="X304" s="416"/>
      <c r="Y304" s="416"/>
    </row>
    <row r="305" spans="1:25" ht="12.75" customHeight="1">
      <c r="A305" s="445"/>
      <c r="B305" s="414"/>
      <c r="C305" s="415"/>
      <c r="D305" s="411"/>
      <c r="E305" s="411"/>
      <c r="F305" s="411"/>
      <c r="G305" s="411"/>
      <c r="H305" s="411"/>
      <c r="I305" s="411"/>
      <c r="J305" s="411"/>
      <c r="K305" s="411"/>
      <c r="L305" s="411"/>
      <c r="M305" s="411"/>
      <c r="N305" s="411"/>
      <c r="O305" s="411"/>
      <c r="P305" s="411"/>
      <c r="Q305" s="411"/>
      <c r="R305" s="411"/>
      <c r="S305" s="411"/>
      <c r="T305" s="411"/>
      <c r="U305" s="411"/>
      <c r="V305" s="408"/>
      <c r="W305" s="446"/>
      <c r="X305" s="416"/>
      <c r="Y305" s="416"/>
    </row>
    <row r="306" spans="1:25" ht="12.75" customHeight="1">
      <c r="A306" s="445"/>
      <c r="B306" s="414"/>
      <c r="C306" s="415"/>
      <c r="D306" s="411"/>
      <c r="E306" s="411"/>
      <c r="F306" s="411"/>
      <c r="G306" s="411"/>
      <c r="H306" s="411"/>
      <c r="I306" s="411"/>
      <c r="J306" s="411"/>
      <c r="K306" s="411"/>
      <c r="L306" s="411"/>
      <c r="M306" s="411"/>
      <c r="N306" s="411"/>
      <c r="O306" s="411"/>
      <c r="P306" s="411"/>
      <c r="Q306" s="411"/>
      <c r="R306" s="411"/>
      <c r="S306" s="411"/>
      <c r="T306" s="411"/>
      <c r="U306" s="411"/>
      <c r="V306" s="408"/>
      <c r="W306" s="446"/>
      <c r="X306" s="416"/>
      <c r="Y306" s="416"/>
    </row>
    <row r="307" spans="1:25" ht="12.75" customHeight="1">
      <c r="A307" s="445"/>
      <c r="B307" s="414"/>
      <c r="C307" s="415"/>
      <c r="D307" s="411"/>
      <c r="E307" s="411"/>
      <c r="F307" s="411"/>
      <c r="G307" s="411"/>
      <c r="H307" s="411"/>
      <c r="I307" s="411"/>
      <c r="J307" s="411"/>
      <c r="K307" s="411"/>
      <c r="L307" s="411"/>
      <c r="M307" s="411"/>
      <c r="N307" s="411"/>
      <c r="O307" s="411"/>
      <c r="P307" s="411"/>
      <c r="Q307" s="411"/>
      <c r="R307" s="411"/>
      <c r="S307" s="411"/>
      <c r="T307" s="411"/>
      <c r="U307" s="411"/>
      <c r="V307" s="408"/>
      <c r="W307" s="446"/>
      <c r="X307" s="416"/>
      <c r="Y307" s="416"/>
    </row>
    <row r="308" spans="1:25" ht="12.75" customHeight="1">
      <c r="A308" s="445"/>
      <c r="B308" s="414"/>
      <c r="C308" s="415"/>
      <c r="D308" s="411"/>
      <c r="E308" s="411"/>
      <c r="F308" s="411"/>
      <c r="G308" s="411"/>
      <c r="H308" s="411"/>
      <c r="I308" s="411"/>
      <c r="J308" s="411"/>
      <c r="K308" s="411"/>
      <c r="L308" s="411"/>
      <c r="M308" s="411"/>
      <c r="N308" s="411"/>
      <c r="O308" s="411"/>
      <c r="P308" s="411"/>
      <c r="Q308" s="411"/>
      <c r="R308" s="411"/>
      <c r="S308" s="411"/>
      <c r="T308" s="411"/>
      <c r="U308" s="411"/>
      <c r="V308" s="408"/>
      <c r="W308" s="446"/>
      <c r="X308" s="416"/>
      <c r="Y308" s="416"/>
    </row>
    <row r="309" spans="1:25" ht="12.75" customHeight="1">
      <c r="A309" s="445"/>
      <c r="B309" s="414"/>
      <c r="C309" s="415"/>
      <c r="D309" s="411"/>
      <c r="E309" s="411"/>
      <c r="F309" s="411"/>
      <c r="G309" s="411"/>
      <c r="H309" s="411"/>
      <c r="I309" s="411"/>
      <c r="J309" s="411"/>
      <c r="K309" s="411"/>
      <c r="L309" s="411"/>
      <c r="M309" s="411"/>
      <c r="N309" s="411"/>
      <c r="O309" s="411"/>
      <c r="P309" s="411"/>
      <c r="Q309" s="411"/>
      <c r="R309" s="411"/>
      <c r="S309" s="411"/>
      <c r="T309" s="411"/>
      <c r="U309" s="411"/>
      <c r="V309" s="408"/>
      <c r="W309" s="446"/>
      <c r="X309" s="416"/>
      <c r="Y309" s="416"/>
    </row>
    <row r="310" spans="1:25" ht="12.75" customHeight="1">
      <c r="A310" s="445"/>
      <c r="B310" s="414"/>
      <c r="C310" s="415"/>
      <c r="D310" s="411"/>
      <c r="E310" s="411"/>
      <c r="F310" s="411"/>
      <c r="G310" s="411"/>
      <c r="H310" s="411"/>
      <c r="I310" s="411"/>
      <c r="J310" s="411"/>
      <c r="K310" s="411"/>
      <c r="L310" s="411"/>
      <c r="M310" s="411"/>
      <c r="N310" s="411"/>
      <c r="O310" s="411"/>
      <c r="P310" s="411"/>
      <c r="Q310" s="411"/>
      <c r="R310" s="411"/>
      <c r="S310" s="411"/>
      <c r="T310" s="411"/>
      <c r="U310" s="411"/>
      <c r="V310" s="408"/>
      <c r="W310" s="446"/>
      <c r="X310" s="416"/>
      <c r="Y310" s="416"/>
    </row>
    <row r="311" spans="1:25" ht="12.75" customHeight="1">
      <c r="A311" s="445"/>
      <c r="B311" s="414"/>
      <c r="C311" s="415"/>
      <c r="D311" s="411"/>
      <c r="E311" s="411"/>
      <c r="F311" s="411"/>
      <c r="G311" s="411"/>
      <c r="H311" s="411"/>
      <c r="I311" s="411"/>
      <c r="J311" s="411"/>
      <c r="K311" s="411"/>
      <c r="L311" s="411"/>
      <c r="M311" s="411"/>
      <c r="N311" s="411"/>
      <c r="O311" s="411"/>
      <c r="P311" s="411"/>
      <c r="Q311" s="411"/>
      <c r="R311" s="411"/>
      <c r="S311" s="411"/>
      <c r="T311" s="411"/>
      <c r="U311" s="411"/>
      <c r="V311" s="408"/>
      <c r="W311" s="446"/>
      <c r="X311" s="416"/>
      <c r="Y311" s="416"/>
    </row>
    <row r="312" spans="1:25" ht="12.75" customHeight="1">
      <c r="A312" s="445"/>
      <c r="B312" s="414"/>
      <c r="C312" s="415"/>
      <c r="D312" s="411"/>
      <c r="E312" s="411"/>
      <c r="F312" s="411"/>
      <c r="G312" s="411"/>
      <c r="H312" s="411"/>
      <c r="I312" s="411"/>
      <c r="J312" s="411"/>
      <c r="K312" s="411"/>
      <c r="L312" s="411"/>
      <c r="M312" s="411"/>
      <c r="N312" s="411"/>
      <c r="O312" s="411"/>
      <c r="P312" s="411"/>
      <c r="Q312" s="411"/>
      <c r="R312" s="411"/>
      <c r="S312" s="411"/>
      <c r="T312" s="411"/>
      <c r="U312" s="411"/>
      <c r="V312" s="408"/>
      <c r="W312" s="446"/>
      <c r="X312" s="416"/>
      <c r="Y312" s="416"/>
    </row>
    <row r="313" spans="1:25" ht="12.75" customHeight="1">
      <c r="A313" s="445"/>
      <c r="B313" s="414"/>
      <c r="C313" s="415"/>
      <c r="D313" s="411"/>
      <c r="E313" s="411"/>
      <c r="F313" s="411"/>
      <c r="G313" s="411"/>
      <c r="H313" s="411"/>
      <c r="I313" s="411"/>
      <c r="J313" s="411"/>
      <c r="K313" s="411"/>
      <c r="L313" s="411"/>
      <c r="M313" s="411"/>
      <c r="N313" s="411"/>
      <c r="O313" s="411"/>
      <c r="P313" s="411"/>
      <c r="Q313" s="411"/>
      <c r="R313" s="411"/>
      <c r="S313" s="411"/>
      <c r="T313" s="411"/>
      <c r="U313" s="411"/>
      <c r="V313" s="408"/>
      <c r="W313" s="446"/>
      <c r="X313" s="416"/>
      <c r="Y313" s="416"/>
    </row>
    <row r="314" spans="1:25" ht="12.75" customHeight="1">
      <c r="A314" s="445"/>
      <c r="B314" s="414"/>
      <c r="C314" s="415"/>
      <c r="D314" s="411"/>
      <c r="E314" s="411"/>
      <c r="F314" s="411"/>
      <c r="G314" s="411"/>
      <c r="H314" s="411"/>
      <c r="I314" s="411"/>
      <c r="J314" s="411"/>
      <c r="K314" s="411"/>
      <c r="L314" s="411"/>
      <c r="M314" s="411"/>
      <c r="N314" s="411"/>
      <c r="O314" s="411"/>
      <c r="P314" s="411"/>
      <c r="Q314" s="411"/>
      <c r="R314" s="411"/>
      <c r="S314" s="411"/>
      <c r="T314" s="411"/>
      <c r="U314" s="411"/>
      <c r="V314" s="408"/>
      <c r="W314" s="446"/>
      <c r="X314" s="416"/>
      <c r="Y314" s="416"/>
    </row>
    <row r="315" spans="1:25" ht="12.75" customHeight="1">
      <c r="A315" s="445"/>
      <c r="B315" s="414"/>
      <c r="C315" s="415"/>
      <c r="D315" s="411"/>
      <c r="E315" s="411"/>
      <c r="F315" s="411"/>
      <c r="G315" s="411"/>
      <c r="H315" s="411"/>
      <c r="I315" s="411"/>
      <c r="J315" s="411"/>
      <c r="K315" s="411"/>
      <c r="L315" s="411"/>
      <c r="M315" s="411"/>
      <c r="N315" s="411"/>
      <c r="O315" s="411"/>
      <c r="P315" s="411"/>
      <c r="Q315" s="411"/>
      <c r="R315" s="411"/>
      <c r="S315" s="411"/>
      <c r="T315" s="411"/>
      <c r="U315" s="411"/>
      <c r="V315" s="408"/>
      <c r="W315" s="446"/>
      <c r="X315" s="416"/>
      <c r="Y315" s="416"/>
    </row>
    <row r="316" spans="1:25" ht="12.75" customHeight="1">
      <c r="A316" s="445"/>
      <c r="B316" s="414"/>
      <c r="C316" s="415"/>
      <c r="D316" s="411"/>
      <c r="E316" s="411"/>
      <c r="F316" s="411"/>
      <c r="G316" s="411"/>
      <c r="H316" s="411"/>
      <c r="I316" s="411"/>
      <c r="J316" s="411"/>
      <c r="K316" s="411"/>
      <c r="L316" s="411"/>
      <c r="M316" s="411"/>
      <c r="N316" s="411"/>
      <c r="O316" s="411"/>
      <c r="P316" s="411"/>
      <c r="Q316" s="411"/>
      <c r="R316" s="411"/>
      <c r="S316" s="411"/>
      <c r="T316" s="411"/>
      <c r="U316" s="411"/>
      <c r="V316" s="408"/>
      <c r="W316" s="446"/>
      <c r="X316" s="416"/>
      <c r="Y316" s="416"/>
    </row>
    <row r="317" spans="1:25" ht="12.75" customHeight="1">
      <c r="A317" s="445"/>
      <c r="B317" s="414"/>
      <c r="C317" s="415"/>
      <c r="D317" s="411"/>
      <c r="E317" s="411"/>
      <c r="F317" s="411"/>
      <c r="G317" s="411"/>
      <c r="H317" s="411"/>
      <c r="I317" s="411"/>
      <c r="J317" s="411"/>
      <c r="K317" s="411"/>
      <c r="L317" s="411"/>
      <c r="M317" s="411"/>
      <c r="N317" s="411"/>
      <c r="O317" s="411"/>
      <c r="P317" s="411"/>
      <c r="Q317" s="411"/>
      <c r="R317" s="411"/>
      <c r="S317" s="411"/>
      <c r="T317" s="411"/>
      <c r="U317" s="411"/>
      <c r="V317" s="408"/>
      <c r="W317" s="446"/>
      <c r="X317" s="416"/>
      <c r="Y317" s="416"/>
    </row>
    <row r="318" spans="1:25" ht="12.75" customHeight="1">
      <c r="A318" s="445"/>
      <c r="B318" s="414"/>
      <c r="C318" s="415"/>
      <c r="D318" s="411"/>
      <c r="E318" s="411"/>
      <c r="F318" s="411"/>
      <c r="G318" s="411"/>
      <c r="H318" s="411"/>
      <c r="I318" s="411"/>
      <c r="J318" s="411"/>
      <c r="K318" s="411"/>
      <c r="L318" s="411"/>
      <c r="M318" s="411"/>
      <c r="N318" s="411"/>
      <c r="O318" s="411"/>
      <c r="P318" s="411"/>
      <c r="Q318" s="411"/>
      <c r="R318" s="411"/>
      <c r="S318" s="411"/>
      <c r="T318" s="411"/>
      <c r="U318" s="411"/>
      <c r="V318" s="408"/>
      <c r="W318" s="446"/>
      <c r="X318" s="416"/>
      <c r="Y318" s="416"/>
    </row>
    <row r="319" spans="1:25" ht="12.75" customHeight="1">
      <c r="A319" s="445"/>
      <c r="B319" s="414"/>
      <c r="C319" s="415"/>
      <c r="D319" s="411"/>
      <c r="E319" s="411"/>
      <c r="F319" s="411"/>
      <c r="G319" s="411"/>
      <c r="H319" s="411"/>
      <c r="I319" s="411"/>
      <c r="J319" s="411"/>
      <c r="K319" s="411"/>
      <c r="L319" s="411"/>
      <c r="M319" s="411"/>
      <c r="N319" s="411"/>
      <c r="O319" s="411"/>
      <c r="P319" s="411"/>
      <c r="Q319" s="411"/>
      <c r="R319" s="411"/>
      <c r="S319" s="411"/>
      <c r="T319" s="411"/>
      <c r="U319" s="411"/>
      <c r="V319" s="408"/>
      <c r="W319" s="446"/>
      <c r="X319" s="416"/>
      <c r="Y319" s="416"/>
    </row>
    <row r="320" spans="1:25" ht="12.75" customHeight="1">
      <c r="A320" s="445"/>
      <c r="B320" s="414"/>
      <c r="C320" s="415"/>
      <c r="D320" s="411"/>
      <c r="E320" s="411"/>
      <c r="F320" s="411"/>
      <c r="G320" s="411"/>
      <c r="H320" s="411"/>
      <c r="I320" s="411"/>
      <c r="J320" s="411"/>
      <c r="K320" s="411"/>
      <c r="L320" s="411"/>
      <c r="M320" s="411"/>
      <c r="N320" s="411"/>
      <c r="O320" s="411"/>
      <c r="P320" s="411"/>
      <c r="Q320" s="411"/>
      <c r="R320" s="411"/>
      <c r="S320" s="411"/>
      <c r="T320" s="411"/>
      <c r="U320" s="411"/>
      <c r="V320" s="408"/>
      <c r="W320" s="446"/>
      <c r="X320" s="416"/>
      <c r="Y320" s="416"/>
    </row>
    <row r="321" spans="1:25" ht="12.75" customHeight="1">
      <c r="A321" s="445"/>
      <c r="B321" s="414"/>
      <c r="C321" s="415"/>
      <c r="D321" s="411"/>
      <c r="E321" s="411"/>
      <c r="F321" s="411"/>
      <c r="G321" s="411"/>
      <c r="H321" s="411"/>
      <c r="I321" s="411"/>
      <c r="J321" s="411"/>
      <c r="K321" s="411"/>
      <c r="L321" s="411"/>
      <c r="M321" s="411"/>
      <c r="N321" s="411"/>
      <c r="O321" s="411"/>
      <c r="P321" s="411"/>
      <c r="Q321" s="411"/>
      <c r="R321" s="411"/>
      <c r="S321" s="411"/>
      <c r="T321" s="411"/>
      <c r="U321" s="411"/>
      <c r="V321" s="408"/>
      <c r="W321" s="446"/>
      <c r="X321" s="416"/>
      <c r="Y321" s="416"/>
    </row>
    <row r="322" spans="1:25" ht="12.75" customHeight="1">
      <c r="A322" s="445"/>
      <c r="B322" s="414"/>
      <c r="C322" s="415"/>
      <c r="D322" s="411"/>
      <c r="E322" s="411"/>
      <c r="F322" s="411"/>
      <c r="G322" s="411"/>
      <c r="H322" s="411"/>
      <c r="I322" s="411"/>
      <c r="J322" s="411"/>
      <c r="K322" s="411"/>
      <c r="L322" s="411"/>
      <c r="M322" s="411"/>
      <c r="N322" s="411"/>
      <c r="O322" s="411"/>
      <c r="P322" s="411"/>
      <c r="Q322" s="411"/>
      <c r="R322" s="411"/>
      <c r="S322" s="411"/>
      <c r="T322" s="411"/>
      <c r="U322" s="411"/>
      <c r="V322" s="408"/>
      <c r="W322" s="446"/>
      <c r="X322" s="416"/>
      <c r="Y322" s="416"/>
    </row>
    <row r="323" spans="1:25" ht="12.75" customHeight="1">
      <c r="A323" s="445"/>
      <c r="B323" s="414"/>
      <c r="C323" s="415"/>
      <c r="D323" s="411"/>
      <c r="E323" s="411"/>
      <c r="F323" s="411"/>
      <c r="G323" s="411"/>
      <c r="H323" s="411"/>
      <c r="I323" s="411"/>
      <c r="J323" s="411"/>
      <c r="K323" s="411"/>
      <c r="L323" s="411"/>
      <c r="M323" s="411"/>
      <c r="N323" s="411"/>
      <c r="O323" s="411"/>
      <c r="P323" s="411"/>
      <c r="Q323" s="411"/>
      <c r="R323" s="411"/>
      <c r="S323" s="411"/>
      <c r="T323" s="411"/>
      <c r="U323" s="411"/>
      <c r="V323" s="408"/>
      <c r="W323" s="446"/>
      <c r="X323" s="416"/>
      <c r="Y323" s="416"/>
    </row>
    <row r="324" spans="1:25" ht="12.75" customHeight="1">
      <c r="A324" s="445"/>
      <c r="B324" s="414"/>
      <c r="C324" s="415"/>
      <c r="D324" s="411"/>
      <c r="E324" s="411"/>
      <c r="F324" s="411"/>
      <c r="G324" s="411"/>
      <c r="H324" s="411"/>
      <c r="I324" s="411"/>
      <c r="J324" s="411"/>
      <c r="K324" s="411"/>
      <c r="L324" s="411"/>
      <c r="M324" s="411"/>
      <c r="N324" s="411"/>
      <c r="O324" s="411"/>
      <c r="P324" s="411"/>
      <c r="Q324" s="411"/>
      <c r="R324" s="411"/>
      <c r="S324" s="411"/>
      <c r="T324" s="411"/>
      <c r="U324" s="411"/>
      <c r="V324" s="408"/>
      <c r="W324" s="446"/>
      <c r="X324" s="416"/>
      <c r="Y324" s="416"/>
    </row>
    <row r="325" spans="1:25" ht="12.75" customHeight="1">
      <c r="A325" s="445"/>
      <c r="B325" s="414"/>
      <c r="C325" s="415"/>
      <c r="D325" s="411"/>
      <c r="E325" s="411"/>
      <c r="F325" s="411"/>
      <c r="G325" s="411"/>
      <c r="H325" s="411"/>
      <c r="I325" s="411"/>
      <c r="J325" s="411"/>
      <c r="K325" s="411"/>
      <c r="L325" s="411"/>
      <c r="M325" s="411"/>
      <c r="N325" s="411"/>
      <c r="O325" s="411"/>
      <c r="P325" s="411"/>
      <c r="Q325" s="411"/>
      <c r="R325" s="411"/>
      <c r="S325" s="411"/>
      <c r="T325" s="411"/>
      <c r="U325" s="411"/>
      <c r="V325" s="408"/>
      <c r="W325" s="446"/>
      <c r="X325" s="416"/>
      <c r="Y325" s="416"/>
    </row>
    <row r="326" spans="1:25" ht="12.75" customHeight="1">
      <c r="A326" s="445"/>
      <c r="B326" s="414"/>
      <c r="C326" s="415"/>
      <c r="D326" s="411"/>
      <c r="E326" s="411"/>
      <c r="F326" s="411"/>
      <c r="G326" s="411"/>
      <c r="H326" s="411"/>
      <c r="I326" s="411"/>
      <c r="J326" s="411"/>
      <c r="K326" s="411"/>
      <c r="L326" s="411"/>
      <c r="M326" s="411"/>
      <c r="N326" s="411"/>
      <c r="O326" s="411"/>
      <c r="P326" s="411"/>
      <c r="Q326" s="411"/>
      <c r="R326" s="411"/>
      <c r="S326" s="411"/>
      <c r="T326" s="411"/>
      <c r="U326" s="411"/>
      <c r="V326" s="408"/>
      <c r="W326" s="446"/>
      <c r="X326" s="416"/>
      <c r="Y326" s="416"/>
    </row>
    <row r="327" spans="1:25" ht="12.75" customHeight="1">
      <c r="A327" s="445"/>
      <c r="B327" s="414"/>
      <c r="C327" s="415"/>
      <c r="D327" s="411"/>
      <c r="E327" s="411"/>
      <c r="F327" s="411"/>
      <c r="G327" s="411"/>
      <c r="H327" s="411"/>
      <c r="I327" s="411"/>
      <c r="J327" s="411"/>
      <c r="K327" s="411"/>
      <c r="L327" s="411"/>
      <c r="M327" s="411"/>
      <c r="N327" s="411"/>
      <c r="O327" s="411"/>
      <c r="P327" s="411"/>
      <c r="Q327" s="411"/>
      <c r="R327" s="411"/>
      <c r="S327" s="411"/>
      <c r="T327" s="411"/>
      <c r="U327" s="411"/>
      <c r="V327" s="408"/>
      <c r="W327" s="446"/>
      <c r="X327" s="416"/>
      <c r="Y327" s="416"/>
    </row>
    <row r="328" spans="1:25" ht="12.75" customHeight="1">
      <c r="A328" s="445"/>
      <c r="B328" s="414"/>
      <c r="C328" s="415"/>
      <c r="D328" s="411"/>
      <c r="E328" s="411"/>
      <c r="F328" s="411"/>
      <c r="G328" s="411"/>
      <c r="H328" s="411"/>
      <c r="I328" s="411"/>
      <c r="J328" s="411"/>
      <c r="K328" s="411"/>
      <c r="L328" s="411"/>
      <c r="M328" s="411"/>
      <c r="N328" s="411"/>
      <c r="O328" s="411"/>
      <c r="P328" s="411"/>
      <c r="Q328" s="411"/>
      <c r="R328" s="411"/>
      <c r="S328" s="411"/>
      <c r="T328" s="411"/>
      <c r="U328" s="411"/>
      <c r="V328" s="408"/>
      <c r="W328" s="446"/>
      <c r="X328" s="416"/>
      <c r="Y328" s="416"/>
    </row>
    <row r="329" spans="1:25" ht="12.75" customHeight="1">
      <c r="A329" s="445"/>
      <c r="B329" s="414"/>
      <c r="C329" s="415"/>
      <c r="D329" s="411"/>
      <c r="E329" s="411"/>
      <c r="F329" s="411"/>
      <c r="G329" s="411"/>
      <c r="H329" s="411"/>
      <c r="I329" s="411"/>
      <c r="J329" s="411"/>
      <c r="K329" s="411"/>
      <c r="L329" s="411"/>
      <c r="M329" s="411"/>
      <c r="N329" s="411"/>
      <c r="O329" s="411"/>
      <c r="P329" s="411"/>
      <c r="Q329" s="411"/>
      <c r="R329" s="411"/>
      <c r="S329" s="411"/>
      <c r="T329" s="411"/>
      <c r="U329" s="411"/>
      <c r="V329" s="408"/>
      <c r="W329" s="446"/>
      <c r="X329" s="416"/>
      <c r="Y329" s="416"/>
    </row>
    <row r="330" spans="1:25" ht="12.75" customHeight="1">
      <c r="A330" s="445"/>
      <c r="B330" s="414"/>
      <c r="C330" s="415"/>
      <c r="D330" s="411"/>
      <c r="E330" s="411"/>
      <c r="F330" s="411"/>
      <c r="G330" s="411"/>
      <c r="H330" s="411"/>
      <c r="I330" s="411"/>
      <c r="J330" s="411"/>
      <c r="K330" s="411"/>
      <c r="L330" s="411"/>
      <c r="M330" s="411"/>
      <c r="N330" s="411"/>
      <c r="O330" s="411"/>
      <c r="P330" s="411"/>
      <c r="Q330" s="411"/>
      <c r="R330" s="411"/>
      <c r="S330" s="411"/>
      <c r="T330" s="411"/>
      <c r="U330" s="411"/>
      <c r="V330" s="408"/>
      <c r="W330" s="446"/>
      <c r="X330" s="416"/>
      <c r="Y330" s="416"/>
    </row>
    <row r="331" spans="1:25" ht="12.75" customHeight="1">
      <c r="A331" s="445"/>
      <c r="B331" s="414"/>
      <c r="C331" s="415"/>
      <c r="D331" s="411"/>
      <c r="E331" s="411"/>
      <c r="F331" s="411"/>
      <c r="G331" s="411"/>
      <c r="H331" s="411"/>
      <c r="I331" s="411"/>
      <c r="J331" s="411"/>
      <c r="K331" s="411"/>
      <c r="L331" s="411"/>
      <c r="M331" s="411"/>
      <c r="N331" s="411"/>
      <c r="O331" s="411"/>
      <c r="P331" s="411"/>
      <c r="Q331" s="411"/>
      <c r="R331" s="411"/>
      <c r="S331" s="411"/>
      <c r="T331" s="411"/>
      <c r="U331" s="411"/>
      <c r="V331" s="408"/>
      <c r="W331" s="446"/>
      <c r="X331" s="416"/>
      <c r="Y331" s="416"/>
    </row>
    <row r="332" spans="1:25" ht="12.75" customHeight="1">
      <c r="A332" s="445"/>
      <c r="B332" s="414"/>
      <c r="C332" s="415"/>
      <c r="D332" s="411"/>
      <c r="E332" s="411"/>
      <c r="F332" s="411"/>
      <c r="G332" s="411"/>
      <c r="H332" s="411"/>
      <c r="I332" s="411"/>
      <c r="J332" s="411"/>
      <c r="K332" s="411"/>
      <c r="L332" s="411"/>
      <c r="M332" s="411"/>
      <c r="N332" s="411"/>
      <c r="O332" s="411"/>
      <c r="P332" s="411"/>
      <c r="Q332" s="411"/>
      <c r="R332" s="411"/>
      <c r="S332" s="411"/>
      <c r="T332" s="411"/>
      <c r="U332" s="411"/>
      <c r="V332" s="408"/>
      <c r="W332" s="446"/>
      <c r="X332" s="416"/>
      <c r="Y332" s="416"/>
    </row>
    <row r="333" spans="1:25" ht="12.75" customHeight="1">
      <c r="A333" s="445"/>
      <c r="B333" s="414"/>
      <c r="C333" s="415"/>
      <c r="D333" s="411"/>
      <c r="E333" s="411"/>
      <c r="F333" s="411"/>
      <c r="G333" s="411"/>
      <c r="H333" s="411"/>
      <c r="I333" s="411"/>
      <c r="J333" s="411"/>
      <c r="K333" s="411"/>
      <c r="L333" s="411"/>
      <c r="M333" s="411"/>
      <c r="N333" s="411"/>
      <c r="O333" s="411"/>
      <c r="P333" s="411"/>
      <c r="Q333" s="411"/>
      <c r="R333" s="411"/>
      <c r="S333" s="411"/>
      <c r="T333" s="411"/>
      <c r="U333" s="411"/>
      <c r="V333" s="408"/>
      <c r="W333" s="446"/>
      <c r="X333" s="416"/>
      <c r="Y333" s="416"/>
    </row>
    <row r="334" spans="1:25" ht="12.75" customHeight="1">
      <c r="A334" s="445"/>
      <c r="B334" s="414"/>
      <c r="C334" s="415"/>
      <c r="D334" s="411"/>
      <c r="E334" s="411"/>
      <c r="F334" s="411"/>
      <c r="G334" s="411"/>
      <c r="H334" s="411"/>
      <c r="I334" s="411"/>
      <c r="J334" s="411"/>
      <c r="K334" s="411"/>
      <c r="L334" s="411"/>
      <c r="M334" s="411"/>
      <c r="N334" s="411"/>
      <c r="O334" s="411"/>
      <c r="P334" s="411"/>
      <c r="Q334" s="411"/>
      <c r="R334" s="411"/>
      <c r="S334" s="411"/>
      <c r="T334" s="411"/>
      <c r="U334" s="411"/>
      <c r="V334" s="408"/>
      <c r="W334" s="446"/>
      <c r="X334" s="416"/>
      <c r="Y334" s="416"/>
    </row>
    <row r="335" spans="1:25" ht="12.75" customHeight="1">
      <c r="A335" s="445"/>
      <c r="B335" s="414"/>
      <c r="C335" s="415"/>
      <c r="D335" s="411"/>
      <c r="E335" s="411"/>
      <c r="F335" s="411"/>
      <c r="G335" s="411"/>
      <c r="H335" s="411"/>
      <c r="I335" s="411"/>
      <c r="J335" s="411"/>
      <c r="K335" s="411"/>
      <c r="L335" s="411"/>
      <c r="M335" s="411"/>
      <c r="N335" s="411"/>
      <c r="O335" s="411"/>
      <c r="P335" s="411"/>
      <c r="Q335" s="411"/>
      <c r="R335" s="411"/>
      <c r="S335" s="411"/>
      <c r="T335" s="411"/>
      <c r="U335" s="411"/>
      <c r="V335" s="408"/>
      <c r="W335" s="446"/>
      <c r="X335" s="416"/>
      <c r="Y335" s="416"/>
    </row>
    <row r="336" spans="1:25" ht="12.75" customHeight="1">
      <c r="A336" s="445"/>
      <c r="B336" s="414"/>
      <c r="C336" s="415"/>
      <c r="D336" s="411"/>
      <c r="E336" s="411"/>
      <c r="F336" s="411"/>
      <c r="G336" s="411"/>
      <c r="H336" s="411"/>
      <c r="I336" s="411"/>
      <c r="J336" s="411"/>
      <c r="K336" s="411"/>
      <c r="L336" s="411"/>
      <c r="M336" s="411"/>
      <c r="N336" s="411"/>
      <c r="O336" s="411"/>
      <c r="P336" s="411"/>
      <c r="Q336" s="411"/>
      <c r="R336" s="411"/>
      <c r="S336" s="411"/>
      <c r="T336" s="411"/>
      <c r="U336" s="411"/>
      <c r="V336" s="408"/>
      <c r="W336" s="446"/>
      <c r="X336" s="416"/>
      <c r="Y336" s="416"/>
    </row>
    <row r="337" spans="1:25" ht="12.75" customHeight="1">
      <c r="A337" s="445"/>
      <c r="B337" s="414"/>
      <c r="C337" s="415"/>
      <c r="D337" s="411"/>
      <c r="E337" s="411"/>
      <c r="F337" s="411"/>
      <c r="G337" s="411"/>
      <c r="H337" s="411"/>
      <c r="I337" s="411"/>
      <c r="J337" s="411"/>
      <c r="K337" s="411"/>
      <c r="L337" s="411"/>
      <c r="M337" s="411"/>
      <c r="N337" s="411"/>
      <c r="O337" s="411"/>
      <c r="P337" s="411"/>
      <c r="Q337" s="411"/>
      <c r="R337" s="411"/>
      <c r="S337" s="411"/>
      <c r="T337" s="411"/>
      <c r="U337" s="411"/>
      <c r="V337" s="408"/>
      <c r="W337" s="446"/>
      <c r="X337" s="416"/>
      <c r="Y337" s="416"/>
    </row>
    <row r="338" spans="1:25" ht="12.75" customHeight="1">
      <c r="A338" s="445"/>
      <c r="B338" s="414"/>
      <c r="C338" s="415"/>
      <c r="D338" s="411"/>
      <c r="E338" s="411"/>
      <c r="F338" s="411"/>
      <c r="G338" s="411"/>
      <c r="H338" s="411"/>
      <c r="I338" s="411"/>
      <c r="J338" s="411"/>
      <c r="K338" s="411"/>
      <c r="L338" s="411"/>
      <c r="M338" s="411"/>
      <c r="N338" s="411"/>
      <c r="O338" s="411"/>
      <c r="P338" s="411"/>
      <c r="Q338" s="411"/>
      <c r="R338" s="411"/>
      <c r="S338" s="411"/>
      <c r="T338" s="411"/>
      <c r="U338" s="411"/>
      <c r="V338" s="408"/>
      <c r="W338" s="446"/>
      <c r="X338" s="416"/>
      <c r="Y338" s="416"/>
    </row>
    <row r="339" spans="1:25" ht="12.75" customHeight="1">
      <c r="A339" s="445"/>
      <c r="B339" s="414"/>
      <c r="C339" s="415"/>
      <c r="D339" s="411"/>
      <c r="E339" s="411"/>
      <c r="F339" s="411"/>
      <c r="G339" s="411"/>
      <c r="H339" s="411"/>
      <c r="I339" s="411"/>
      <c r="J339" s="411"/>
      <c r="K339" s="411"/>
      <c r="L339" s="411"/>
      <c r="M339" s="411"/>
      <c r="N339" s="411"/>
      <c r="O339" s="411"/>
      <c r="P339" s="411"/>
      <c r="Q339" s="411"/>
      <c r="R339" s="411"/>
      <c r="S339" s="411"/>
      <c r="T339" s="411"/>
      <c r="U339" s="411"/>
      <c r="V339" s="408"/>
      <c r="W339" s="446"/>
      <c r="X339" s="416"/>
      <c r="Y339" s="416"/>
    </row>
    <row r="340" spans="1:25" ht="12.75" customHeight="1">
      <c r="A340" s="445"/>
      <c r="B340" s="414"/>
      <c r="C340" s="415"/>
      <c r="D340" s="411"/>
      <c r="E340" s="411"/>
      <c r="F340" s="411"/>
      <c r="G340" s="411"/>
      <c r="H340" s="411"/>
      <c r="I340" s="411"/>
      <c r="J340" s="411"/>
      <c r="K340" s="411"/>
      <c r="L340" s="411"/>
      <c r="M340" s="411"/>
      <c r="N340" s="411"/>
      <c r="O340" s="411"/>
      <c r="P340" s="411"/>
      <c r="Q340" s="411"/>
      <c r="R340" s="411"/>
      <c r="S340" s="411"/>
      <c r="T340" s="411"/>
      <c r="U340" s="411"/>
      <c r="V340" s="408"/>
      <c r="W340" s="446"/>
      <c r="X340" s="416"/>
      <c r="Y340" s="416"/>
    </row>
    <row r="341" spans="1:25" ht="12.75" customHeight="1">
      <c r="A341" s="445"/>
      <c r="B341" s="414"/>
      <c r="C341" s="415"/>
      <c r="D341" s="411"/>
      <c r="E341" s="411"/>
      <c r="F341" s="411"/>
      <c r="G341" s="411"/>
      <c r="H341" s="411"/>
      <c r="I341" s="411"/>
      <c r="J341" s="411"/>
      <c r="K341" s="411"/>
      <c r="L341" s="411"/>
      <c r="M341" s="411"/>
      <c r="N341" s="411"/>
      <c r="O341" s="411"/>
      <c r="P341" s="411"/>
      <c r="Q341" s="411"/>
      <c r="R341" s="411"/>
      <c r="S341" s="411"/>
      <c r="T341" s="411"/>
      <c r="U341" s="411"/>
      <c r="V341" s="408"/>
      <c r="W341" s="446"/>
      <c r="X341" s="416"/>
      <c r="Y341" s="416"/>
    </row>
    <row r="342" spans="1:25" ht="12.75" customHeight="1">
      <c r="A342" s="445"/>
      <c r="B342" s="414"/>
      <c r="C342" s="415"/>
      <c r="D342" s="411"/>
      <c r="E342" s="411"/>
      <c r="F342" s="411"/>
      <c r="G342" s="411"/>
      <c r="H342" s="411"/>
      <c r="I342" s="411"/>
      <c r="J342" s="411"/>
      <c r="K342" s="411"/>
      <c r="L342" s="411"/>
      <c r="M342" s="411"/>
      <c r="N342" s="411"/>
      <c r="O342" s="411"/>
      <c r="P342" s="411"/>
      <c r="Q342" s="411"/>
      <c r="R342" s="411"/>
      <c r="S342" s="411"/>
      <c r="T342" s="411"/>
      <c r="U342" s="411"/>
      <c r="V342" s="408"/>
      <c r="W342" s="446"/>
      <c r="X342" s="416"/>
      <c r="Y342" s="416"/>
    </row>
    <row r="343" spans="1:25" ht="12.75" customHeight="1">
      <c r="A343" s="445"/>
      <c r="B343" s="414"/>
      <c r="C343" s="415"/>
      <c r="D343" s="411"/>
      <c r="E343" s="411"/>
      <c r="F343" s="411"/>
      <c r="G343" s="411"/>
      <c r="H343" s="411"/>
      <c r="I343" s="411"/>
      <c r="J343" s="411"/>
      <c r="K343" s="411"/>
      <c r="L343" s="411"/>
      <c r="M343" s="411"/>
      <c r="N343" s="411"/>
      <c r="O343" s="411"/>
      <c r="P343" s="411"/>
      <c r="Q343" s="411"/>
      <c r="R343" s="411"/>
      <c r="S343" s="411"/>
      <c r="T343" s="411"/>
      <c r="U343" s="411"/>
      <c r="V343" s="408"/>
      <c r="W343" s="446"/>
      <c r="X343" s="416"/>
      <c r="Y343" s="416"/>
    </row>
    <row r="344" spans="1:25" ht="12.75" customHeight="1">
      <c r="A344" s="445"/>
      <c r="B344" s="414"/>
      <c r="C344" s="415"/>
      <c r="D344" s="411"/>
      <c r="E344" s="411"/>
      <c r="F344" s="411"/>
      <c r="G344" s="411"/>
      <c r="H344" s="411"/>
      <c r="I344" s="411"/>
      <c r="J344" s="411"/>
      <c r="K344" s="411"/>
      <c r="L344" s="411"/>
      <c r="M344" s="411"/>
      <c r="N344" s="411"/>
      <c r="O344" s="411"/>
      <c r="P344" s="411"/>
      <c r="Q344" s="411"/>
      <c r="R344" s="411"/>
      <c r="S344" s="411"/>
      <c r="T344" s="411"/>
      <c r="U344" s="411"/>
      <c r="V344" s="408"/>
      <c r="W344" s="446"/>
      <c r="X344" s="416"/>
      <c r="Y344" s="416"/>
    </row>
    <row r="345" spans="1:25" ht="12.75" customHeight="1">
      <c r="A345" s="445"/>
      <c r="B345" s="414"/>
      <c r="C345" s="415"/>
      <c r="D345" s="411"/>
      <c r="E345" s="411"/>
      <c r="F345" s="411"/>
      <c r="G345" s="411"/>
      <c r="H345" s="411"/>
      <c r="I345" s="411"/>
      <c r="J345" s="411"/>
      <c r="K345" s="411"/>
      <c r="L345" s="411"/>
      <c r="M345" s="411"/>
      <c r="N345" s="411"/>
      <c r="O345" s="411"/>
      <c r="P345" s="411"/>
      <c r="Q345" s="411"/>
      <c r="R345" s="411"/>
      <c r="S345" s="411"/>
      <c r="T345" s="411"/>
      <c r="U345" s="411"/>
      <c r="V345" s="408"/>
      <c r="W345" s="446"/>
      <c r="X345" s="416"/>
      <c r="Y345" s="416"/>
    </row>
    <row r="346" spans="1:25" ht="12.75" customHeight="1">
      <c r="A346" s="445"/>
      <c r="B346" s="414"/>
      <c r="C346" s="415"/>
      <c r="D346" s="411"/>
      <c r="E346" s="411"/>
      <c r="F346" s="411"/>
      <c r="G346" s="411"/>
      <c r="H346" s="411"/>
      <c r="I346" s="411"/>
      <c r="J346" s="411"/>
      <c r="K346" s="411"/>
      <c r="L346" s="411"/>
      <c r="M346" s="411"/>
      <c r="N346" s="411"/>
      <c r="O346" s="411"/>
      <c r="P346" s="411"/>
      <c r="Q346" s="411"/>
      <c r="R346" s="411"/>
      <c r="S346" s="411"/>
      <c r="T346" s="411"/>
      <c r="U346" s="411"/>
      <c r="V346" s="408"/>
      <c r="W346" s="446"/>
      <c r="X346" s="416"/>
      <c r="Y346" s="416"/>
    </row>
    <row r="347" spans="1:25" ht="12.75" customHeight="1">
      <c r="A347" s="445"/>
      <c r="B347" s="414"/>
      <c r="C347" s="415"/>
      <c r="D347" s="411"/>
      <c r="E347" s="411"/>
      <c r="F347" s="411"/>
      <c r="G347" s="411"/>
      <c r="H347" s="411"/>
      <c r="I347" s="411"/>
      <c r="J347" s="411"/>
      <c r="K347" s="411"/>
      <c r="L347" s="411"/>
      <c r="M347" s="411"/>
      <c r="N347" s="411"/>
      <c r="O347" s="411"/>
      <c r="P347" s="411"/>
      <c r="Q347" s="411"/>
      <c r="R347" s="411"/>
      <c r="S347" s="411"/>
      <c r="T347" s="411"/>
      <c r="U347" s="411"/>
      <c r="V347" s="408"/>
      <c r="W347" s="446"/>
      <c r="X347" s="416"/>
      <c r="Y347" s="416"/>
    </row>
    <row r="348" spans="1:25" ht="12.75" customHeight="1">
      <c r="A348" s="445"/>
      <c r="B348" s="414"/>
      <c r="C348" s="415"/>
      <c r="D348" s="411"/>
      <c r="E348" s="411"/>
      <c r="F348" s="411"/>
      <c r="G348" s="411"/>
      <c r="H348" s="411"/>
      <c r="I348" s="411"/>
      <c r="J348" s="411"/>
      <c r="K348" s="411"/>
      <c r="L348" s="411"/>
      <c r="M348" s="411"/>
      <c r="N348" s="411"/>
      <c r="O348" s="411"/>
      <c r="P348" s="411"/>
      <c r="Q348" s="411"/>
      <c r="R348" s="411"/>
      <c r="S348" s="411"/>
      <c r="T348" s="411"/>
      <c r="U348" s="411"/>
      <c r="V348" s="408"/>
      <c r="W348" s="446"/>
      <c r="X348" s="416"/>
      <c r="Y348" s="416"/>
    </row>
    <row r="349" spans="1:25" ht="12.75" customHeight="1">
      <c r="A349" s="445"/>
      <c r="B349" s="414"/>
      <c r="C349" s="415"/>
      <c r="D349" s="411"/>
      <c r="E349" s="411"/>
      <c r="F349" s="411"/>
      <c r="G349" s="411"/>
      <c r="H349" s="411"/>
      <c r="I349" s="411"/>
      <c r="J349" s="411"/>
      <c r="K349" s="411"/>
      <c r="L349" s="411"/>
      <c r="M349" s="411"/>
      <c r="N349" s="411"/>
      <c r="O349" s="411"/>
      <c r="P349" s="411"/>
      <c r="Q349" s="411"/>
      <c r="R349" s="411"/>
      <c r="S349" s="411"/>
      <c r="T349" s="411"/>
      <c r="U349" s="411"/>
      <c r="V349" s="408"/>
      <c r="W349" s="446"/>
      <c r="X349" s="416"/>
      <c r="Y349" s="416"/>
    </row>
    <row r="350" spans="1:25" ht="12.75" customHeight="1">
      <c r="A350" s="445"/>
      <c r="B350" s="414"/>
      <c r="C350" s="415"/>
      <c r="D350" s="411"/>
      <c r="E350" s="411"/>
      <c r="F350" s="411"/>
      <c r="G350" s="411"/>
      <c r="H350" s="411"/>
      <c r="I350" s="411"/>
      <c r="J350" s="411"/>
      <c r="K350" s="411"/>
      <c r="L350" s="411"/>
      <c r="M350" s="411"/>
      <c r="N350" s="411"/>
      <c r="O350" s="411"/>
      <c r="P350" s="411"/>
      <c r="Q350" s="411"/>
      <c r="R350" s="411"/>
      <c r="S350" s="411"/>
      <c r="T350" s="411"/>
      <c r="U350" s="411"/>
      <c r="V350" s="408"/>
      <c r="W350" s="446"/>
      <c r="X350" s="416"/>
      <c r="Y350" s="416"/>
    </row>
    <row r="351" spans="1:25" ht="12.75" customHeight="1">
      <c r="A351" s="445"/>
      <c r="B351" s="414"/>
      <c r="C351" s="415"/>
      <c r="D351" s="411"/>
      <c r="E351" s="411"/>
      <c r="F351" s="411"/>
      <c r="G351" s="411"/>
      <c r="H351" s="411"/>
      <c r="I351" s="411"/>
      <c r="J351" s="411"/>
      <c r="K351" s="411"/>
      <c r="L351" s="411"/>
      <c r="M351" s="411"/>
      <c r="N351" s="411"/>
      <c r="O351" s="411"/>
      <c r="P351" s="411"/>
      <c r="Q351" s="411"/>
      <c r="R351" s="411"/>
      <c r="S351" s="411"/>
      <c r="T351" s="411"/>
      <c r="U351" s="411"/>
      <c r="V351" s="408"/>
      <c r="W351" s="446"/>
      <c r="X351" s="416"/>
      <c r="Y351" s="416"/>
    </row>
    <row r="352" spans="1:25" ht="12.75" customHeight="1">
      <c r="A352" s="445"/>
      <c r="B352" s="414"/>
      <c r="C352" s="415"/>
      <c r="D352" s="411"/>
      <c r="E352" s="411"/>
      <c r="F352" s="411"/>
      <c r="G352" s="411"/>
      <c r="H352" s="411"/>
      <c r="I352" s="411"/>
      <c r="J352" s="411"/>
      <c r="K352" s="411"/>
      <c r="L352" s="411"/>
      <c r="M352" s="411"/>
      <c r="N352" s="411"/>
      <c r="O352" s="411"/>
      <c r="P352" s="411"/>
      <c r="Q352" s="411"/>
      <c r="R352" s="411"/>
      <c r="S352" s="411"/>
      <c r="T352" s="411"/>
      <c r="U352" s="411"/>
      <c r="V352" s="408"/>
      <c r="W352" s="446"/>
      <c r="X352" s="416"/>
      <c r="Y352" s="416"/>
    </row>
    <row r="353" spans="1:25" ht="12.75" customHeight="1">
      <c r="A353" s="445"/>
      <c r="B353" s="414"/>
      <c r="C353" s="415"/>
      <c r="D353" s="411"/>
      <c r="E353" s="411"/>
      <c r="F353" s="411"/>
      <c r="G353" s="411"/>
      <c r="H353" s="411"/>
      <c r="I353" s="411"/>
      <c r="J353" s="411"/>
      <c r="K353" s="411"/>
      <c r="L353" s="411"/>
      <c r="M353" s="411"/>
      <c r="N353" s="411"/>
      <c r="O353" s="411"/>
      <c r="P353" s="411"/>
      <c r="Q353" s="411"/>
      <c r="R353" s="411"/>
      <c r="S353" s="411"/>
      <c r="T353" s="411"/>
      <c r="U353" s="411"/>
      <c r="V353" s="408"/>
      <c r="W353" s="446"/>
      <c r="X353" s="416"/>
      <c r="Y353" s="416"/>
    </row>
    <row r="354" spans="1:25" ht="12.75" customHeight="1">
      <c r="A354" s="445"/>
      <c r="B354" s="414"/>
      <c r="C354" s="415"/>
      <c r="D354" s="411"/>
      <c r="E354" s="411"/>
      <c r="F354" s="411"/>
      <c r="G354" s="411"/>
      <c r="H354" s="411"/>
      <c r="I354" s="411"/>
      <c r="J354" s="411"/>
      <c r="K354" s="411"/>
      <c r="L354" s="411"/>
      <c r="M354" s="411"/>
      <c r="N354" s="411"/>
      <c r="O354" s="411"/>
      <c r="P354" s="411"/>
      <c r="Q354" s="411"/>
      <c r="R354" s="411"/>
      <c r="S354" s="411"/>
      <c r="T354" s="411"/>
      <c r="U354" s="411"/>
      <c r="V354" s="408"/>
      <c r="W354" s="446"/>
      <c r="X354" s="416"/>
      <c r="Y354" s="416"/>
    </row>
    <row r="355" spans="1:25" ht="12.75" customHeight="1">
      <c r="A355" s="445"/>
      <c r="B355" s="414"/>
      <c r="C355" s="415"/>
      <c r="D355" s="411"/>
      <c r="E355" s="411"/>
      <c r="F355" s="411"/>
      <c r="G355" s="411"/>
      <c r="H355" s="411"/>
      <c r="I355" s="411"/>
      <c r="J355" s="411"/>
      <c r="K355" s="411"/>
      <c r="L355" s="411"/>
      <c r="M355" s="411"/>
      <c r="N355" s="411"/>
      <c r="O355" s="411"/>
      <c r="P355" s="411"/>
      <c r="Q355" s="411"/>
      <c r="R355" s="411"/>
      <c r="S355" s="411"/>
      <c r="T355" s="411"/>
      <c r="U355" s="411"/>
      <c r="V355" s="408"/>
      <c r="W355" s="446"/>
      <c r="X355" s="416"/>
      <c r="Y355" s="416"/>
    </row>
    <row r="356" spans="1:25" ht="12.75" customHeight="1">
      <c r="A356" s="445"/>
      <c r="B356" s="414"/>
      <c r="C356" s="415"/>
      <c r="D356" s="411"/>
      <c r="E356" s="411"/>
      <c r="F356" s="411"/>
      <c r="G356" s="411"/>
      <c r="H356" s="411"/>
      <c r="I356" s="411"/>
      <c r="J356" s="411"/>
      <c r="K356" s="411"/>
      <c r="L356" s="411"/>
      <c r="M356" s="411"/>
      <c r="N356" s="411"/>
      <c r="O356" s="411"/>
      <c r="P356" s="411"/>
      <c r="Q356" s="411"/>
      <c r="R356" s="411"/>
      <c r="S356" s="411"/>
      <c r="T356" s="411"/>
      <c r="U356" s="411"/>
      <c r="V356" s="408"/>
      <c r="W356" s="446"/>
      <c r="X356" s="416"/>
      <c r="Y356" s="416"/>
    </row>
    <row r="357" spans="1:25" ht="12.75" customHeight="1">
      <c r="A357" s="445"/>
      <c r="B357" s="414"/>
      <c r="C357" s="415"/>
      <c r="D357" s="411"/>
      <c r="E357" s="411"/>
      <c r="F357" s="411"/>
      <c r="G357" s="411"/>
      <c r="H357" s="411"/>
      <c r="I357" s="411"/>
      <c r="J357" s="411"/>
      <c r="K357" s="411"/>
      <c r="L357" s="411"/>
      <c r="M357" s="411"/>
      <c r="N357" s="411"/>
      <c r="O357" s="411"/>
      <c r="P357" s="411"/>
      <c r="Q357" s="411"/>
      <c r="R357" s="411"/>
      <c r="S357" s="411"/>
      <c r="T357" s="411"/>
      <c r="U357" s="411"/>
      <c r="V357" s="408"/>
      <c r="W357" s="446"/>
      <c r="X357" s="416"/>
      <c r="Y357" s="416"/>
    </row>
    <row r="358" spans="1:25" ht="12.75" customHeight="1">
      <c r="A358" s="445"/>
      <c r="B358" s="414"/>
      <c r="C358" s="415"/>
      <c r="D358" s="411"/>
      <c r="E358" s="411"/>
      <c r="F358" s="411"/>
      <c r="G358" s="411"/>
      <c r="H358" s="411"/>
      <c r="I358" s="411"/>
      <c r="J358" s="411"/>
      <c r="K358" s="411"/>
      <c r="L358" s="411"/>
      <c r="M358" s="411"/>
      <c r="N358" s="411"/>
      <c r="O358" s="411"/>
      <c r="P358" s="411"/>
      <c r="Q358" s="411"/>
      <c r="R358" s="411"/>
      <c r="S358" s="411"/>
      <c r="T358" s="411"/>
      <c r="U358" s="411"/>
      <c r="V358" s="408"/>
      <c r="W358" s="446"/>
      <c r="X358" s="416"/>
      <c r="Y358" s="416"/>
    </row>
    <row r="359" spans="1:25" ht="12.75" customHeight="1">
      <c r="A359" s="445"/>
      <c r="B359" s="414"/>
      <c r="C359" s="415"/>
      <c r="D359" s="411"/>
      <c r="E359" s="411"/>
      <c r="F359" s="411"/>
      <c r="G359" s="411"/>
      <c r="H359" s="411"/>
      <c r="I359" s="411"/>
      <c r="J359" s="411"/>
      <c r="K359" s="411"/>
      <c r="L359" s="411"/>
      <c r="M359" s="411"/>
      <c r="N359" s="411"/>
      <c r="O359" s="411"/>
      <c r="P359" s="411"/>
      <c r="Q359" s="411"/>
      <c r="R359" s="411"/>
      <c r="S359" s="411"/>
      <c r="T359" s="411"/>
      <c r="U359" s="411"/>
      <c r="V359" s="408"/>
      <c r="W359" s="446"/>
      <c r="X359" s="416"/>
      <c r="Y359" s="416"/>
    </row>
    <row r="360" spans="1:25" ht="12.75" customHeight="1">
      <c r="A360" s="445"/>
      <c r="B360" s="414"/>
      <c r="C360" s="415"/>
      <c r="D360" s="411"/>
      <c r="E360" s="411"/>
      <c r="F360" s="411"/>
      <c r="G360" s="411"/>
      <c r="H360" s="411"/>
      <c r="I360" s="411"/>
      <c r="J360" s="411"/>
      <c r="K360" s="411"/>
      <c r="L360" s="411"/>
      <c r="M360" s="411"/>
      <c r="N360" s="411"/>
      <c r="O360" s="411"/>
      <c r="P360" s="411"/>
      <c r="Q360" s="411"/>
      <c r="R360" s="411"/>
      <c r="S360" s="411"/>
      <c r="T360" s="411"/>
      <c r="U360" s="411"/>
      <c r="V360" s="408"/>
      <c r="W360" s="446"/>
      <c r="X360" s="416"/>
      <c r="Y360" s="416"/>
    </row>
    <row r="361" spans="1:25" ht="12.75" customHeight="1">
      <c r="A361" s="445"/>
      <c r="B361" s="414"/>
      <c r="C361" s="415"/>
      <c r="D361" s="411"/>
      <c r="E361" s="411"/>
      <c r="F361" s="411"/>
      <c r="G361" s="411"/>
      <c r="H361" s="411"/>
      <c r="I361" s="411"/>
      <c r="J361" s="411"/>
      <c r="K361" s="411"/>
      <c r="L361" s="411"/>
      <c r="M361" s="411"/>
      <c r="N361" s="411"/>
      <c r="O361" s="411"/>
      <c r="P361" s="411"/>
      <c r="Q361" s="411"/>
      <c r="R361" s="411"/>
      <c r="S361" s="411"/>
      <c r="T361" s="411"/>
      <c r="U361" s="411"/>
      <c r="V361" s="408"/>
      <c r="W361" s="446"/>
      <c r="X361" s="416"/>
      <c r="Y361" s="416"/>
    </row>
    <row r="362" spans="1:25" ht="12.75" customHeight="1">
      <c r="A362" s="445"/>
      <c r="B362" s="414"/>
      <c r="C362" s="415"/>
      <c r="D362" s="411"/>
      <c r="E362" s="411"/>
      <c r="F362" s="411"/>
      <c r="G362" s="411"/>
      <c r="H362" s="411"/>
      <c r="I362" s="411"/>
      <c r="J362" s="411"/>
      <c r="K362" s="411"/>
      <c r="L362" s="411"/>
      <c r="M362" s="411"/>
      <c r="N362" s="411"/>
      <c r="O362" s="411"/>
      <c r="P362" s="411"/>
      <c r="Q362" s="411"/>
      <c r="R362" s="411"/>
      <c r="S362" s="411"/>
      <c r="T362" s="411"/>
      <c r="U362" s="411"/>
      <c r="V362" s="408"/>
      <c r="W362" s="446"/>
      <c r="X362" s="416"/>
      <c r="Y362" s="416"/>
    </row>
    <row r="363" spans="1:25" ht="12.75" customHeight="1">
      <c r="A363" s="445"/>
      <c r="B363" s="414"/>
      <c r="C363" s="415"/>
      <c r="D363" s="411"/>
      <c r="E363" s="411"/>
      <c r="F363" s="411"/>
      <c r="G363" s="411"/>
      <c r="H363" s="411"/>
      <c r="I363" s="411"/>
      <c r="J363" s="411"/>
      <c r="K363" s="411"/>
      <c r="L363" s="411"/>
      <c r="M363" s="411"/>
      <c r="N363" s="411"/>
      <c r="O363" s="411"/>
      <c r="P363" s="411"/>
      <c r="Q363" s="411"/>
      <c r="R363" s="411"/>
      <c r="S363" s="411"/>
      <c r="T363" s="411"/>
      <c r="U363" s="411"/>
      <c r="V363" s="408"/>
      <c r="W363" s="446"/>
      <c r="X363" s="416"/>
      <c r="Y363" s="416"/>
    </row>
    <row r="364" spans="1:25" ht="12.75" customHeight="1">
      <c r="A364" s="445"/>
      <c r="B364" s="414"/>
      <c r="C364" s="415"/>
      <c r="D364" s="411"/>
      <c r="E364" s="411"/>
      <c r="F364" s="411"/>
      <c r="G364" s="411"/>
      <c r="H364" s="411"/>
      <c r="I364" s="411"/>
      <c r="J364" s="411"/>
      <c r="K364" s="411"/>
      <c r="L364" s="411"/>
      <c r="M364" s="411"/>
      <c r="N364" s="411"/>
      <c r="O364" s="411"/>
      <c r="P364" s="411"/>
      <c r="Q364" s="411"/>
      <c r="R364" s="411"/>
      <c r="S364" s="411"/>
      <c r="T364" s="411"/>
      <c r="U364" s="411"/>
      <c r="V364" s="408"/>
      <c r="W364" s="446"/>
      <c r="X364" s="416"/>
      <c r="Y364" s="416"/>
    </row>
    <row r="365" spans="1:25" ht="12.75" customHeight="1">
      <c r="A365" s="445"/>
      <c r="B365" s="414"/>
      <c r="C365" s="415"/>
      <c r="D365" s="411"/>
      <c r="E365" s="411"/>
      <c r="F365" s="411"/>
      <c r="G365" s="411"/>
      <c r="H365" s="411"/>
      <c r="I365" s="411"/>
      <c r="J365" s="411"/>
      <c r="K365" s="411"/>
      <c r="L365" s="411"/>
      <c r="M365" s="411"/>
      <c r="N365" s="411"/>
      <c r="O365" s="411"/>
      <c r="P365" s="411"/>
      <c r="Q365" s="411"/>
      <c r="R365" s="411"/>
      <c r="S365" s="411"/>
      <c r="T365" s="411"/>
      <c r="U365" s="411"/>
      <c r="V365" s="408"/>
      <c r="W365" s="446"/>
      <c r="X365" s="416"/>
      <c r="Y365" s="416"/>
    </row>
    <row r="366" spans="1:25" ht="12.75" customHeight="1">
      <c r="A366" s="445"/>
      <c r="B366" s="414"/>
      <c r="C366" s="415"/>
      <c r="D366" s="411"/>
      <c r="E366" s="411"/>
      <c r="F366" s="411"/>
      <c r="G366" s="411"/>
      <c r="H366" s="411"/>
      <c r="I366" s="411"/>
      <c r="J366" s="411"/>
      <c r="K366" s="411"/>
      <c r="L366" s="411"/>
      <c r="M366" s="411"/>
      <c r="N366" s="411"/>
      <c r="O366" s="411"/>
      <c r="P366" s="411"/>
      <c r="Q366" s="411"/>
      <c r="R366" s="411"/>
      <c r="S366" s="411"/>
      <c r="T366" s="411"/>
      <c r="U366" s="411"/>
      <c r="V366" s="408"/>
      <c r="W366" s="446"/>
      <c r="X366" s="416"/>
      <c r="Y366" s="416"/>
    </row>
    <row r="367" spans="1:25" ht="12.75" customHeight="1">
      <c r="A367" s="445"/>
      <c r="B367" s="414"/>
      <c r="C367" s="415"/>
      <c r="D367" s="411"/>
      <c r="E367" s="411"/>
      <c r="F367" s="411"/>
      <c r="G367" s="411"/>
      <c r="H367" s="411"/>
      <c r="I367" s="411"/>
      <c r="J367" s="411"/>
      <c r="K367" s="411"/>
      <c r="L367" s="411"/>
      <c r="M367" s="411"/>
      <c r="N367" s="411"/>
      <c r="O367" s="411"/>
      <c r="P367" s="411"/>
      <c r="Q367" s="411"/>
      <c r="R367" s="411"/>
      <c r="S367" s="411"/>
      <c r="T367" s="411"/>
      <c r="U367" s="411"/>
      <c r="V367" s="408"/>
      <c r="W367" s="446"/>
      <c r="X367" s="416"/>
      <c r="Y367" s="416"/>
    </row>
    <row r="368" spans="1:25" ht="12.75" customHeight="1">
      <c r="A368" s="445"/>
      <c r="B368" s="414"/>
      <c r="C368" s="415"/>
      <c r="D368" s="411"/>
      <c r="E368" s="411"/>
      <c r="F368" s="411"/>
      <c r="G368" s="411"/>
      <c r="H368" s="411"/>
      <c r="I368" s="411"/>
      <c r="J368" s="411"/>
      <c r="K368" s="411"/>
      <c r="L368" s="411"/>
      <c r="M368" s="411"/>
      <c r="N368" s="411"/>
      <c r="O368" s="411"/>
      <c r="P368" s="411"/>
      <c r="Q368" s="411"/>
      <c r="R368" s="411"/>
      <c r="S368" s="411"/>
      <c r="T368" s="411"/>
      <c r="U368" s="411"/>
      <c r="V368" s="408"/>
      <c r="W368" s="446"/>
      <c r="X368" s="416"/>
      <c r="Y368" s="416"/>
    </row>
    <row r="369" spans="1:25" ht="12.75" customHeight="1">
      <c r="A369" s="445"/>
      <c r="B369" s="414"/>
      <c r="C369" s="415"/>
      <c r="D369" s="411"/>
      <c r="E369" s="411"/>
      <c r="F369" s="411"/>
      <c r="G369" s="411"/>
      <c r="H369" s="411"/>
      <c r="I369" s="411"/>
      <c r="J369" s="411"/>
      <c r="K369" s="411"/>
      <c r="L369" s="411"/>
      <c r="M369" s="411"/>
      <c r="N369" s="411"/>
      <c r="O369" s="411"/>
      <c r="P369" s="411"/>
      <c r="Q369" s="411"/>
      <c r="R369" s="411"/>
      <c r="S369" s="411"/>
      <c r="T369" s="411"/>
      <c r="U369" s="411"/>
      <c r="V369" s="408"/>
      <c r="W369" s="446"/>
      <c r="X369" s="416"/>
      <c r="Y369" s="416"/>
    </row>
    <row r="370" spans="1:25" ht="12.75" customHeight="1">
      <c r="A370" s="445"/>
      <c r="B370" s="414"/>
      <c r="C370" s="415"/>
      <c r="D370" s="411"/>
      <c r="E370" s="411"/>
      <c r="F370" s="411"/>
      <c r="G370" s="411"/>
      <c r="H370" s="411"/>
      <c r="I370" s="411"/>
      <c r="J370" s="411"/>
      <c r="K370" s="411"/>
      <c r="L370" s="411"/>
      <c r="M370" s="411"/>
      <c r="N370" s="411"/>
      <c r="O370" s="411"/>
      <c r="P370" s="411"/>
      <c r="Q370" s="411"/>
      <c r="R370" s="411"/>
      <c r="S370" s="411"/>
      <c r="T370" s="411"/>
      <c r="U370" s="411"/>
      <c r="V370" s="408"/>
      <c r="W370" s="446"/>
      <c r="X370" s="416"/>
      <c r="Y370" s="416"/>
    </row>
    <row r="371" spans="1:25" ht="12.75" customHeight="1">
      <c r="A371" s="445"/>
      <c r="B371" s="414"/>
      <c r="C371" s="415"/>
      <c r="D371" s="411"/>
      <c r="E371" s="411"/>
      <c r="F371" s="411"/>
      <c r="G371" s="411"/>
      <c r="H371" s="411"/>
      <c r="I371" s="411"/>
      <c r="J371" s="411"/>
      <c r="K371" s="411"/>
      <c r="L371" s="411"/>
      <c r="M371" s="411"/>
      <c r="N371" s="411"/>
      <c r="O371" s="411"/>
      <c r="P371" s="411"/>
      <c r="Q371" s="411"/>
      <c r="R371" s="411"/>
      <c r="S371" s="411"/>
      <c r="T371" s="411"/>
      <c r="U371" s="411"/>
      <c r="V371" s="408"/>
      <c r="W371" s="446"/>
      <c r="X371" s="416"/>
      <c r="Y371" s="416"/>
    </row>
    <row r="372" spans="1:25" ht="12.75" customHeight="1">
      <c r="A372" s="445"/>
      <c r="B372" s="414"/>
      <c r="C372" s="415"/>
      <c r="D372" s="411"/>
      <c r="E372" s="411"/>
      <c r="F372" s="411"/>
      <c r="G372" s="411"/>
      <c r="H372" s="411"/>
      <c r="I372" s="411"/>
      <c r="J372" s="411"/>
      <c r="K372" s="411"/>
      <c r="L372" s="411"/>
      <c r="M372" s="411"/>
      <c r="N372" s="411"/>
      <c r="O372" s="411"/>
      <c r="P372" s="411"/>
      <c r="Q372" s="411"/>
      <c r="R372" s="411"/>
      <c r="S372" s="411"/>
      <c r="T372" s="411"/>
      <c r="U372" s="411"/>
      <c r="V372" s="408"/>
      <c r="W372" s="446"/>
      <c r="X372" s="416"/>
      <c r="Y372" s="416"/>
    </row>
    <row r="373" spans="1:25" ht="12.75" customHeight="1">
      <c r="A373" s="445"/>
      <c r="B373" s="414"/>
      <c r="C373" s="415"/>
      <c r="D373" s="411"/>
      <c r="E373" s="411"/>
      <c r="F373" s="411"/>
      <c r="G373" s="411"/>
      <c r="H373" s="411"/>
      <c r="I373" s="411"/>
      <c r="J373" s="411"/>
      <c r="K373" s="411"/>
      <c r="L373" s="411"/>
      <c r="M373" s="411"/>
      <c r="N373" s="411"/>
      <c r="O373" s="411"/>
      <c r="P373" s="411"/>
      <c r="Q373" s="411"/>
      <c r="R373" s="411"/>
      <c r="S373" s="411"/>
      <c r="T373" s="411"/>
      <c r="U373" s="411"/>
      <c r="V373" s="408"/>
      <c r="W373" s="446"/>
      <c r="X373" s="416"/>
      <c r="Y373" s="416"/>
    </row>
    <row r="374" spans="1:25" ht="12.75" customHeight="1">
      <c r="A374" s="445"/>
      <c r="B374" s="414"/>
      <c r="C374" s="415"/>
      <c r="D374" s="411"/>
      <c r="E374" s="411"/>
      <c r="F374" s="411"/>
      <c r="G374" s="411"/>
      <c r="H374" s="411"/>
      <c r="I374" s="411"/>
      <c r="J374" s="411"/>
      <c r="K374" s="411"/>
      <c r="L374" s="411"/>
      <c r="M374" s="411"/>
      <c r="N374" s="411"/>
      <c r="O374" s="411"/>
      <c r="P374" s="411"/>
      <c r="Q374" s="411"/>
      <c r="R374" s="411"/>
      <c r="S374" s="411"/>
      <c r="T374" s="411"/>
      <c r="U374" s="411"/>
      <c r="V374" s="408"/>
      <c r="W374" s="446"/>
      <c r="X374" s="416"/>
      <c r="Y374" s="416"/>
    </row>
    <row r="375" spans="1:25" ht="12.75" customHeight="1">
      <c r="A375" s="445"/>
      <c r="B375" s="414"/>
      <c r="C375" s="415"/>
      <c r="D375" s="411"/>
      <c r="E375" s="411"/>
      <c r="F375" s="411"/>
      <c r="G375" s="411"/>
      <c r="H375" s="411"/>
      <c r="I375" s="411"/>
      <c r="J375" s="411"/>
      <c r="K375" s="411"/>
      <c r="L375" s="411"/>
      <c r="M375" s="411"/>
      <c r="N375" s="411"/>
      <c r="O375" s="411"/>
      <c r="P375" s="411"/>
      <c r="Q375" s="411"/>
      <c r="R375" s="411"/>
      <c r="S375" s="411"/>
      <c r="T375" s="411"/>
      <c r="U375" s="411"/>
      <c r="V375" s="408"/>
      <c r="W375" s="446"/>
      <c r="X375" s="416"/>
      <c r="Y375" s="416"/>
    </row>
    <row r="376" spans="1:25" ht="12.75" customHeight="1">
      <c r="A376" s="445"/>
      <c r="B376" s="414"/>
      <c r="C376" s="415"/>
      <c r="D376" s="411"/>
      <c r="E376" s="411"/>
      <c r="F376" s="411"/>
      <c r="G376" s="411"/>
      <c r="H376" s="411"/>
      <c r="I376" s="411"/>
      <c r="J376" s="411"/>
      <c r="K376" s="411"/>
      <c r="L376" s="411"/>
      <c r="M376" s="411"/>
      <c r="N376" s="411"/>
      <c r="O376" s="411"/>
      <c r="P376" s="411"/>
      <c r="Q376" s="411"/>
      <c r="R376" s="411"/>
      <c r="S376" s="411"/>
      <c r="T376" s="411"/>
      <c r="U376" s="411"/>
      <c r="V376" s="408"/>
      <c r="W376" s="446"/>
      <c r="X376" s="416"/>
      <c r="Y376" s="416"/>
    </row>
    <row r="377" spans="1:25" ht="12.75" customHeight="1">
      <c r="A377" s="445"/>
      <c r="B377" s="414"/>
      <c r="C377" s="415"/>
      <c r="D377" s="411"/>
      <c r="E377" s="411"/>
      <c r="F377" s="411"/>
      <c r="G377" s="411"/>
      <c r="H377" s="411"/>
      <c r="I377" s="411"/>
      <c r="J377" s="411"/>
      <c r="K377" s="411"/>
      <c r="L377" s="411"/>
      <c r="M377" s="411"/>
      <c r="N377" s="411"/>
      <c r="O377" s="411"/>
      <c r="P377" s="411"/>
      <c r="Q377" s="411"/>
      <c r="R377" s="411"/>
      <c r="S377" s="411"/>
      <c r="T377" s="411"/>
      <c r="U377" s="411"/>
      <c r="V377" s="408"/>
      <c r="W377" s="446"/>
      <c r="X377" s="416"/>
      <c r="Y377" s="416"/>
    </row>
    <row r="378" spans="1:25" ht="12.75" customHeight="1">
      <c r="A378" s="445"/>
      <c r="B378" s="414"/>
      <c r="C378" s="415"/>
      <c r="D378" s="411"/>
      <c r="E378" s="411"/>
      <c r="F378" s="411"/>
      <c r="G378" s="411"/>
      <c r="H378" s="411"/>
      <c r="I378" s="411"/>
      <c r="J378" s="411"/>
      <c r="K378" s="411"/>
      <c r="L378" s="411"/>
      <c r="M378" s="411"/>
      <c r="N378" s="411"/>
      <c r="O378" s="411"/>
      <c r="P378" s="411"/>
      <c r="Q378" s="411"/>
      <c r="R378" s="411"/>
      <c r="S378" s="411"/>
      <c r="T378" s="411"/>
      <c r="U378" s="411"/>
      <c r="V378" s="408"/>
      <c r="W378" s="446"/>
      <c r="X378" s="416"/>
      <c r="Y378" s="416"/>
    </row>
    <row r="379" spans="1:25" ht="12.75" customHeight="1">
      <c r="A379" s="445"/>
      <c r="B379" s="414"/>
      <c r="C379" s="415"/>
      <c r="D379" s="411"/>
      <c r="E379" s="411"/>
      <c r="F379" s="411"/>
      <c r="G379" s="411"/>
      <c r="H379" s="411"/>
      <c r="I379" s="411"/>
      <c r="J379" s="411"/>
      <c r="K379" s="411"/>
      <c r="L379" s="411"/>
      <c r="M379" s="411"/>
      <c r="N379" s="411"/>
      <c r="O379" s="411"/>
      <c r="P379" s="411"/>
      <c r="Q379" s="411"/>
      <c r="R379" s="411"/>
      <c r="S379" s="411"/>
      <c r="T379" s="411"/>
      <c r="U379" s="411"/>
      <c r="V379" s="408"/>
      <c r="W379" s="446"/>
      <c r="X379" s="416"/>
      <c r="Y379" s="416"/>
    </row>
    <row r="380" spans="1:25" ht="12.75" customHeight="1">
      <c r="A380" s="445"/>
      <c r="B380" s="414"/>
      <c r="C380" s="415"/>
      <c r="D380" s="411"/>
      <c r="E380" s="411"/>
      <c r="F380" s="411"/>
      <c r="G380" s="411"/>
      <c r="H380" s="411"/>
      <c r="I380" s="411"/>
      <c r="J380" s="411"/>
      <c r="K380" s="411"/>
      <c r="L380" s="411"/>
      <c r="M380" s="411"/>
      <c r="N380" s="411"/>
      <c r="O380" s="411"/>
      <c r="P380" s="411"/>
      <c r="Q380" s="411"/>
      <c r="R380" s="411"/>
      <c r="S380" s="411"/>
      <c r="T380" s="411"/>
      <c r="U380" s="411"/>
      <c r="V380" s="408"/>
      <c r="W380" s="446"/>
      <c r="X380" s="416"/>
      <c r="Y380" s="416"/>
    </row>
    <row r="381" spans="1:25" ht="12.75" customHeight="1">
      <c r="A381" s="445"/>
      <c r="B381" s="414"/>
      <c r="C381" s="415"/>
      <c r="D381" s="411"/>
      <c r="E381" s="411"/>
      <c r="F381" s="411"/>
      <c r="G381" s="411"/>
      <c r="H381" s="411"/>
      <c r="I381" s="411"/>
      <c r="J381" s="411"/>
      <c r="K381" s="411"/>
      <c r="L381" s="411"/>
      <c r="M381" s="411"/>
      <c r="N381" s="411"/>
      <c r="O381" s="411"/>
      <c r="P381" s="411"/>
      <c r="Q381" s="411"/>
      <c r="R381" s="411"/>
      <c r="S381" s="411"/>
      <c r="T381" s="411"/>
      <c r="U381" s="411"/>
      <c r="V381" s="408"/>
      <c r="W381" s="446"/>
      <c r="X381" s="416"/>
      <c r="Y381" s="416"/>
    </row>
    <row r="382" spans="1:25" ht="12.75" customHeight="1">
      <c r="A382" s="445"/>
      <c r="B382" s="414"/>
      <c r="C382" s="415"/>
      <c r="D382" s="411"/>
      <c r="E382" s="411"/>
      <c r="F382" s="411"/>
      <c r="G382" s="411"/>
      <c r="H382" s="411"/>
      <c r="I382" s="411"/>
      <c r="J382" s="411"/>
      <c r="K382" s="411"/>
      <c r="L382" s="411"/>
      <c r="M382" s="411"/>
      <c r="N382" s="411"/>
      <c r="O382" s="411"/>
      <c r="P382" s="411"/>
      <c r="Q382" s="411"/>
      <c r="R382" s="411"/>
      <c r="S382" s="411"/>
      <c r="T382" s="411"/>
      <c r="U382" s="411"/>
      <c r="V382" s="408"/>
      <c r="W382" s="446"/>
      <c r="X382" s="416"/>
      <c r="Y382" s="416"/>
    </row>
    <row r="383" spans="1:25" ht="12.75" customHeight="1">
      <c r="A383" s="445"/>
      <c r="B383" s="414"/>
      <c r="C383" s="415"/>
      <c r="D383" s="411"/>
      <c r="E383" s="411"/>
      <c r="F383" s="411"/>
      <c r="G383" s="411"/>
      <c r="H383" s="411"/>
      <c r="I383" s="411"/>
      <c r="J383" s="411"/>
      <c r="K383" s="411"/>
      <c r="L383" s="411"/>
      <c r="M383" s="411"/>
      <c r="N383" s="411"/>
      <c r="O383" s="411"/>
      <c r="P383" s="411"/>
      <c r="Q383" s="411"/>
      <c r="R383" s="411"/>
      <c r="S383" s="411"/>
      <c r="T383" s="411"/>
      <c r="U383" s="411"/>
      <c r="V383" s="408"/>
      <c r="W383" s="446"/>
      <c r="X383" s="416"/>
      <c r="Y383" s="416"/>
    </row>
    <row r="384" spans="1:25" ht="12.75" customHeight="1">
      <c r="A384" s="445"/>
      <c r="B384" s="414"/>
      <c r="C384" s="415"/>
      <c r="D384" s="411"/>
      <c r="E384" s="411"/>
      <c r="F384" s="411"/>
      <c r="G384" s="411"/>
      <c r="H384" s="411"/>
      <c r="I384" s="411"/>
      <c r="J384" s="411"/>
      <c r="K384" s="411"/>
      <c r="L384" s="411"/>
      <c r="M384" s="411"/>
      <c r="N384" s="411"/>
      <c r="O384" s="411"/>
      <c r="P384" s="411"/>
      <c r="Q384" s="411"/>
      <c r="R384" s="411"/>
      <c r="S384" s="411"/>
      <c r="T384" s="411"/>
      <c r="U384" s="411"/>
      <c r="V384" s="408"/>
      <c r="W384" s="446"/>
      <c r="X384" s="416"/>
      <c r="Y384" s="416"/>
    </row>
    <row r="385" spans="1:25" ht="12.75" customHeight="1">
      <c r="A385" s="445"/>
      <c r="B385" s="414"/>
      <c r="C385" s="415"/>
      <c r="D385" s="411"/>
      <c r="E385" s="411"/>
      <c r="F385" s="411"/>
      <c r="G385" s="411"/>
      <c r="H385" s="411"/>
      <c r="I385" s="411"/>
      <c r="J385" s="411"/>
      <c r="K385" s="411"/>
      <c r="L385" s="411"/>
      <c r="M385" s="411"/>
      <c r="N385" s="411"/>
      <c r="O385" s="411"/>
      <c r="P385" s="411"/>
      <c r="Q385" s="411"/>
      <c r="R385" s="411"/>
      <c r="S385" s="411"/>
      <c r="T385" s="411"/>
      <c r="U385" s="411"/>
      <c r="V385" s="408"/>
      <c r="W385" s="446"/>
      <c r="X385" s="416"/>
      <c r="Y385" s="416"/>
    </row>
    <row r="386" spans="1:25" ht="12.75" customHeight="1">
      <c r="A386" s="445"/>
      <c r="B386" s="414"/>
      <c r="C386" s="415"/>
      <c r="D386" s="411"/>
      <c r="E386" s="411"/>
      <c r="F386" s="411"/>
      <c r="G386" s="411"/>
      <c r="H386" s="411"/>
      <c r="I386" s="411"/>
      <c r="J386" s="411"/>
      <c r="K386" s="411"/>
      <c r="L386" s="411"/>
      <c r="M386" s="411"/>
      <c r="N386" s="411"/>
      <c r="O386" s="411"/>
      <c r="P386" s="411"/>
      <c r="Q386" s="411"/>
      <c r="R386" s="411"/>
      <c r="S386" s="411"/>
      <c r="T386" s="411"/>
      <c r="U386" s="411"/>
      <c r="V386" s="408"/>
      <c r="W386" s="446"/>
      <c r="X386" s="416"/>
      <c r="Y386" s="416"/>
    </row>
    <row r="387" spans="1:25" ht="12.75" customHeight="1">
      <c r="A387" s="445"/>
      <c r="B387" s="414"/>
      <c r="C387" s="415"/>
      <c r="D387" s="411"/>
      <c r="E387" s="411"/>
      <c r="F387" s="411"/>
      <c r="G387" s="411"/>
      <c r="H387" s="411"/>
      <c r="I387" s="411"/>
      <c r="J387" s="411"/>
      <c r="K387" s="411"/>
      <c r="L387" s="411"/>
      <c r="M387" s="411"/>
      <c r="N387" s="411"/>
      <c r="O387" s="411"/>
      <c r="P387" s="411"/>
      <c r="Q387" s="411"/>
      <c r="R387" s="411"/>
      <c r="S387" s="411"/>
      <c r="T387" s="411"/>
      <c r="U387" s="411"/>
      <c r="V387" s="408"/>
      <c r="W387" s="446"/>
      <c r="X387" s="416"/>
      <c r="Y387" s="416"/>
    </row>
    <row r="388" spans="1:25" ht="12.75" customHeight="1">
      <c r="A388" s="445"/>
      <c r="B388" s="414"/>
      <c r="C388" s="415"/>
      <c r="D388" s="411"/>
      <c r="E388" s="411"/>
      <c r="F388" s="411"/>
      <c r="G388" s="411"/>
      <c r="H388" s="411"/>
      <c r="I388" s="411"/>
      <c r="J388" s="411"/>
      <c r="K388" s="411"/>
      <c r="L388" s="411"/>
      <c r="M388" s="411"/>
      <c r="N388" s="411"/>
      <c r="O388" s="411"/>
      <c r="P388" s="411"/>
      <c r="Q388" s="411"/>
      <c r="R388" s="411"/>
      <c r="S388" s="411"/>
      <c r="T388" s="411"/>
      <c r="U388" s="411"/>
      <c r="V388" s="408"/>
      <c r="W388" s="446"/>
      <c r="X388" s="416"/>
      <c r="Y388" s="416"/>
    </row>
    <row r="389" spans="1:25" ht="12.75" customHeight="1">
      <c r="A389" s="445"/>
      <c r="B389" s="414"/>
      <c r="C389" s="415"/>
      <c r="D389" s="411"/>
      <c r="E389" s="411"/>
      <c r="F389" s="411"/>
      <c r="G389" s="411"/>
      <c r="H389" s="411"/>
      <c r="I389" s="411"/>
      <c r="J389" s="411"/>
      <c r="K389" s="411"/>
      <c r="L389" s="411"/>
      <c r="M389" s="411"/>
      <c r="N389" s="411"/>
      <c r="O389" s="411"/>
      <c r="P389" s="411"/>
      <c r="Q389" s="411"/>
      <c r="R389" s="411"/>
      <c r="S389" s="411"/>
      <c r="T389" s="411"/>
      <c r="U389" s="411"/>
      <c r="V389" s="408"/>
      <c r="W389" s="446"/>
      <c r="X389" s="416"/>
      <c r="Y389" s="416"/>
    </row>
    <row r="390" spans="1:25" ht="12.75" customHeight="1">
      <c r="A390" s="445"/>
      <c r="B390" s="414"/>
      <c r="C390" s="415"/>
      <c r="D390" s="411"/>
      <c r="E390" s="411"/>
      <c r="F390" s="411"/>
      <c r="G390" s="411"/>
      <c r="H390" s="411"/>
      <c r="I390" s="411"/>
      <c r="J390" s="411"/>
      <c r="K390" s="411"/>
      <c r="L390" s="411"/>
      <c r="M390" s="411"/>
      <c r="N390" s="411"/>
      <c r="O390" s="411"/>
      <c r="P390" s="411"/>
      <c r="Q390" s="411"/>
      <c r="R390" s="411"/>
      <c r="S390" s="411"/>
      <c r="T390" s="411"/>
      <c r="U390" s="411"/>
      <c r="V390" s="408"/>
      <c r="W390" s="446"/>
      <c r="X390" s="416"/>
      <c r="Y390" s="416"/>
    </row>
    <row r="391" spans="1:25" ht="12.75" customHeight="1">
      <c r="A391" s="445"/>
      <c r="B391" s="414"/>
      <c r="C391" s="415"/>
      <c r="D391" s="411"/>
      <c r="E391" s="411"/>
      <c r="F391" s="411"/>
      <c r="G391" s="411"/>
      <c r="H391" s="411"/>
      <c r="I391" s="411"/>
      <c r="J391" s="411"/>
      <c r="K391" s="411"/>
      <c r="L391" s="411"/>
      <c r="M391" s="411"/>
      <c r="N391" s="411"/>
      <c r="O391" s="411"/>
      <c r="P391" s="411"/>
      <c r="Q391" s="411"/>
      <c r="R391" s="411"/>
      <c r="S391" s="411"/>
      <c r="T391" s="411"/>
      <c r="U391" s="411"/>
      <c r="V391" s="408"/>
      <c r="W391" s="446"/>
      <c r="X391" s="416"/>
      <c r="Y391" s="416"/>
    </row>
    <row r="392" spans="1:25" ht="12.75" customHeight="1">
      <c r="A392" s="445"/>
      <c r="B392" s="414"/>
      <c r="C392" s="415"/>
      <c r="D392" s="411"/>
      <c r="E392" s="411"/>
      <c r="F392" s="411"/>
      <c r="G392" s="411"/>
      <c r="H392" s="411"/>
      <c r="I392" s="411"/>
      <c r="J392" s="411"/>
      <c r="K392" s="411"/>
      <c r="L392" s="411"/>
      <c r="M392" s="411"/>
      <c r="N392" s="411"/>
      <c r="O392" s="411"/>
      <c r="P392" s="411"/>
      <c r="Q392" s="411"/>
      <c r="R392" s="411"/>
      <c r="S392" s="411"/>
      <c r="T392" s="411"/>
      <c r="U392" s="411"/>
      <c r="V392" s="408"/>
      <c r="W392" s="446"/>
      <c r="X392" s="416"/>
      <c r="Y392" s="416"/>
    </row>
    <row r="393" spans="1:25" ht="12.75" customHeight="1">
      <c r="A393" s="445"/>
      <c r="B393" s="414"/>
      <c r="C393" s="415"/>
      <c r="D393" s="411"/>
      <c r="E393" s="411"/>
      <c r="F393" s="411"/>
      <c r="G393" s="411"/>
      <c r="H393" s="411"/>
      <c r="I393" s="411"/>
      <c r="J393" s="411"/>
      <c r="K393" s="411"/>
      <c r="L393" s="411"/>
      <c r="M393" s="411"/>
      <c r="N393" s="411"/>
      <c r="O393" s="411"/>
      <c r="P393" s="411"/>
      <c r="Q393" s="411"/>
      <c r="R393" s="411"/>
      <c r="S393" s="411"/>
      <c r="T393" s="411"/>
      <c r="U393" s="411"/>
      <c r="V393" s="408"/>
      <c r="W393" s="446"/>
      <c r="X393" s="416"/>
      <c r="Y393" s="416"/>
    </row>
    <row r="394" spans="1:25" ht="12.75" customHeight="1">
      <c r="A394" s="445"/>
      <c r="B394" s="414"/>
      <c r="C394" s="415"/>
      <c r="D394" s="411"/>
      <c r="E394" s="411"/>
      <c r="F394" s="411"/>
      <c r="G394" s="411"/>
      <c r="H394" s="411"/>
      <c r="I394" s="411"/>
      <c r="J394" s="411"/>
      <c r="K394" s="411"/>
      <c r="L394" s="411"/>
      <c r="M394" s="411"/>
      <c r="N394" s="411"/>
      <c r="O394" s="411"/>
      <c r="P394" s="411"/>
      <c r="Q394" s="411"/>
      <c r="R394" s="411"/>
      <c r="S394" s="411"/>
      <c r="T394" s="411"/>
      <c r="U394" s="411"/>
      <c r="V394" s="408"/>
      <c r="W394" s="446"/>
      <c r="X394" s="416"/>
      <c r="Y394" s="416"/>
    </row>
    <row r="395" spans="1:25" ht="12.75" customHeight="1">
      <c r="A395" s="445"/>
      <c r="B395" s="414"/>
      <c r="C395" s="415"/>
      <c r="D395" s="411"/>
      <c r="E395" s="411"/>
      <c r="F395" s="411"/>
      <c r="G395" s="411"/>
      <c r="H395" s="411"/>
      <c r="I395" s="411"/>
      <c r="J395" s="411"/>
      <c r="K395" s="411"/>
      <c r="L395" s="411"/>
      <c r="M395" s="411"/>
      <c r="N395" s="411"/>
      <c r="O395" s="411"/>
      <c r="P395" s="411"/>
      <c r="Q395" s="411"/>
      <c r="R395" s="411"/>
      <c r="S395" s="411"/>
      <c r="T395" s="411"/>
      <c r="U395" s="411"/>
      <c r="V395" s="408"/>
      <c r="W395" s="446"/>
      <c r="X395" s="416"/>
      <c r="Y395" s="416"/>
    </row>
    <row r="396" spans="1:25" ht="12.75" customHeight="1">
      <c r="A396" s="445"/>
      <c r="B396" s="414"/>
      <c r="C396" s="415"/>
      <c r="D396" s="411"/>
      <c r="E396" s="411"/>
      <c r="F396" s="411"/>
      <c r="G396" s="411"/>
      <c r="H396" s="411"/>
      <c r="I396" s="411"/>
      <c r="J396" s="411"/>
      <c r="K396" s="411"/>
      <c r="L396" s="411"/>
      <c r="M396" s="411"/>
      <c r="N396" s="411"/>
      <c r="O396" s="411"/>
      <c r="P396" s="411"/>
      <c r="Q396" s="411"/>
      <c r="R396" s="411"/>
      <c r="S396" s="411"/>
      <c r="T396" s="411"/>
      <c r="U396" s="411"/>
      <c r="V396" s="408"/>
      <c r="W396" s="446"/>
      <c r="X396" s="416"/>
      <c r="Y396" s="416"/>
    </row>
    <row r="397" spans="1:25" ht="12.75" customHeight="1">
      <c r="A397" s="445"/>
      <c r="B397" s="414"/>
      <c r="C397" s="415"/>
      <c r="D397" s="411"/>
      <c r="E397" s="411"/>
      <c r="F397" s="411"/>
      <c r="G397" s="411"/>
      <c r="H397" s="411"/>
      <c r="I397" s="411"/>
      <c r="J397" s="411"/>
      <c r="K397" s="411"/>
      <c r="L397" s="411"/>
      <c r="M397" s="411"/>
      <c r="N397" s="411"/>
      <c r="O397" s="411"/>
      <c r="P397" s="411"/>
      <c r="Q397" s="411"/>
      <c r="R397" s="411"/>
      <c r="S397" s="411"/>
      <c r="T397" s="411"/>
      <c r="U397" s="411"/>
      <c r="V397" s="408"/>
      <c r="W397" s="446"/>
      <c r="X397" s="416"/>
      <c r="Y397" s="416"/>
    </row>
    <row r="398" spans="1:25" ht="12.75" customHeight="1">
      <c r="A398" s="445"/>
      <c r="B398" s="414"/>
      <c r="C398" s="415"/>
      <c r="D398" s="411"/>
      <c r="E398" s="411"/>
      <c r="F398" s="411"/>
      <c r="G398" s="411"/>
      <c r="H398" s="411"/>
      <c r="I398" s="411"/>
      <c r="J398" s="411"/>
      <c r="K398" s="411"/>
      <c r="L398" s="411"/>
      <c r="M398" s="411"/>
      <c r="N398" s="411"/>
      <c r="O398" s="411"/>
      <c r="P398" s="411"/>
      <c r="Q398" s="411"/>
      <c r="R398" s="411"/>
      <c r="S398" s="411"/>
      <c r="T398" s="411"/>
      <c r="U398" s="411"/>
      <c r="V398" s="408"/>
      <c r="W398" s="446"/>
      <c r="X398" s="416"/>
      <c r="Y398" s="416"/>
    </row>
    <row r="399" spans="1:25" ht="12.75" customHeight="1">
      <c r="A399" s="445"/>
      <c r="B399" s="414"/>
      <c r="C399" s="415"/>
      <c r="D399" s="411"/>
      <c r="E399" s="411"/>
      <c r="F399" s="411"/>
      <c r="G399" s="411"/>
      <c r="H399" s="411"/>
      <c r="I399" s="411"/>
      <c r="J399" s="411"/>
      <c r="K399" s="411"/>
      <c r="L399" s="411"/>
      <c r="M399" s="411"/>
      <c r="N399" s="411"/>
      <c r="O399" s="411"/>
      <c r="P399" s="411"/>
      <c r="Q399" s="411"/>
      <c r="R399" s="411"/>
      <c r="S399" s="411"/>
      <c r="T399" s="411"/>
      <c r="U399" s="411"/>
      <c r="V399" s="408"/>
      <c r="W399" s="446"/>
      <c r="X399" s="416"/>
      <c r="Y399" s="416"/>
    </row>
    <row r="400" spans="1:25" ht="12.75" customHeight="1">
      <c r="A400" s="445"/>
      <c r="B400" s="414"/>
      <c r="C400" s="415"/>
      <c r="D400" s="411"/>
      <c r="E400" s="411"/>
      <c r="F400" s="411"/>
      <c r="G400" s="411"/>
      <c r="H400" s="411"/>
      <c r="I400" s="411"/>
      <c r="J400" s="411"/>
      <c r="K400" s="411"/>
      <c r="L400" s="411"/>
      <c r="M400" s="411"/>
      <c r="N400" s="411"/>
      <c r="O400" s="411"/>
      <c r="P400" s="411"/>
      <c r="Q400" s="411"/>
      <c r="R400" s="411"/>
      <c r="S400" s="411"/>
      <c r="T400" s="411"/>
      <c r="U400" s="411"/>
      <c r="V400" s="408"/>
      <c r="W400" s="446"/>
      <c r="X400" s="416"/>
      <c r="Y400" s="416"/>
    </row>
    <row r="401" spans="1:25" ht="12.75" customHeight="1">
      <c r="A401" s="445"/>
      <c r="B401" s="414"/>
      <c r="C401" s="415"/>
      <c r="D401" s="411"/>
      <c r="E401" s="411"/>
      <c r="F401" s="411"/>
      <c r="G401" s="411"/>
      <c r="H401" s="411"/>
      <c r="I401" s="411"/>
      <c r="J401" s="411"/>
      <c r="K401" s="411"/>
      <c r="L401" s="411"/>
      <c r="M401" s="411"/>
      <c r="N401" s="411"/>
      <c r="O401" s="411"/>
      <c r="P401" s="411"/>
      <c r="Q401" s="411"/>
      <c r="R401" s="411"/>
      <c r="S401" s="411"/>
      <c r="T401" s="411"/>
      <c r="U401" s="411"/>
      <c r="V401" s="408"/>
      <c r="W401" s="446"/>
      <c r="X401" s="416"/>
      <c r="Y401" s="416"/>
    </row>
    <row r="402" spans="1:25" ht="12.75" customHeight="1">
      <c r="A402" s="445"/>
      <c r="B402" s="414"/>
      <c r="C402" s="415"/>
      <c r="D402" s="411"/>
      <c r="E402" s="411"/>
      <c r="F402" s="411"/>
      <c r="G402" s="411"/>
      <c r="H402" s="411"/>
      <c r="I402" s="411"/>
      <c r="J402" s="411"/>
      <c r="K402" s="411"/>
      <c r="L402" s="411"/>
      <c r="M402" s="411"/>
      <c r="N402" s="411"/>
      <c r="O402" s="411"/>
      <c r="P402" s="411"/>
      <c r="Q402" s="411"/>
      <c r="R402" s="411"/>
      <c r="S402" s="411"/>
      <c r="T402" s="411"/>
      <c r="U402" s="411"/>
      <c r="V402" s="408"/>
      <c r="W402" s="446"/>
      <c r="X402" s="416"/>
      <c r="Y402" s="416"/>
    </row>
    <row r="403" spans="1:25" ht="12.75" customHeight="1">
      <c r="A403" s="445"/>
      <c r="B403" s="414"/>
      <c r="C403" s="415"/>
      <c r="D403" s="411"/>
      <c r="E403" s="411"/>
      <c r="F403" s="411"/>
      <c r="G403" s="411"/>
      <c r="H403" s="411"/>
      <c r="I403" s="411"/>
      <c r="J403" s="411"/>
      <c r="K403" s="411"/>
      <c r="L403" s="411"/>
      <c r="M403" s="411"/>
      <c r="N403" s="411"/>
      <c r="O403" s="411"/>
      <c r="P403" s="411"/>
      <c r="Q403" s="411"/>
      <c r="R403" s="411"/>
      <c r="S403" s="411"/>
      <c r="T403" s="411"/>
      <c r="U403" s="411"/>
      <c r="V403" s="408"/>
      <c r="W403" s="446"/>
      <c r="X403" s="416"/>
      <c r="Y403" s="416"/>
    </row>
    <row r="404" spans="1:25" ht="12.75" customHeight="1">
      <c r="A404" s="445"/>
      <c r="B404" s="414"/>
      <c r="C404" s="415"/>
      <c r="D404" s="411"/>
      <c r="E404" s="411"/>
      <c r="F404" s="411"/>
      <c r="G404" s="411"/>
      <c r="H404" s="411"/>
      <c r="I404" s="411"/>
      <c r="J404" s="411"/>
      <c r="K404" s="411"/>
      <c r="L404" s="411"/>
      <c r="M404" s="411"/>
      <c r="N404" s="411"/>
      <c r="O404" s="411"/>
      <c r="P404" s="411"/>
      <c r="Q404" s="411"/>
      <c r="R404" s="411"/>
      <c r="S404" s="411"/>
      <c r="T404" s="411"/>
      <c r="U404" s="411"/>
      <c r="V404" s="408"/>
      <c r="W404" s="446"/>
      <c r="X404" s="416"/>
      <c r="Y404" s="416"/>
    </row>
    <row r="405" spans="1:25" ht="12.75" customHeight="1">
      <c r="A405" s="445"/>
      <c r="B405" s="414"/>
      <c r="C405" s="415"/>
      <c r="D405" s="411"/>
      <c r="E405" s="411"/>
      <c r="F405" s="411"/>
      <c r="G405" s="411"/>
      <c r="H405" s="411"/>
      <c r="I405" s="411"/>
      <c r="J405" s="411"/>
      <c r="K405" s="411"/>
      <c r="L405" s="411"/>
      <c r="M405" s="411"/>
      <c r="N405" s="411"/>
      <c r="O405" s="411"/>
      <c r="P405" s="411"/>
      <c r="Q405" s="411"/>
      <c r="R405" s="411"/>
      <c r="S405" s="411"/>
      <c r="T405" s="411"/>
      <c r="U405" s="411"/>
      <c r="V405" s="408"/>
      <c r="W405" s="446"/>
      <c r="X405" s="416"/>
      <c r="Y405" s="416"/>
    </row>
    <row r="406" spans="1:25" ht="12.75" customHeight="1">
      <c r="A406" s="445"/>
      <c r="B406" s="414"/>
      <c r="C406" s="415"/>
      <c r="D406" s="411"/>
      <c r="E406" s="411"/>
      <c r="F406" s="411"/>
      <c r="G406" s="411"/>
      <c r="H406" s="411"/>
      <c r="I406" s="411"/>
      <c r="J406" s="411"/>
      <c r="K406" s="411"/>
      <c r="L406" s="411"/>
      <c r="M406" s="411"/>
      <c r="N406" s="411"/>
      <c r="O406" s="411"/>
      <c r="P406" s="411"/>
      <c r="Q406" s="411"/>
      <c r="R406" s="411"/>
      <c r="S406" s="411"/>
      <c r="T406" s="411"/>
      <c r="U406" s="411"/>
      <c r="V406" s="408"/>
      <c r="W406" s="446"/>
      <c r="X406" s="416"/>
      <c r="Y406" s="416"/>
    </row>
    <row r="407" spans="1:25" ht="12.75" customHeight="1">
      <c r="A407" s="445"/>
      <c r="B407" s="414"/>
      <c r="C407" s="415"/>
      <c r="D407" s="411"/>
      <c r="E407" s="411"/>
      <c r="F407" s="411"/>
      <c r="G407" s="411"/>
      <c r="H407" s="411"/>
      <c r="I407" s="411"/>
      <c r="J407" s="411"/>
      <c r="K407" s="411"/>
      <c r="L407" s="411"/>
      <c r="M407" s="411"/>
      <c r="N407" s="411"/>
      <c r="O407" s="411"/>
      <c r="P407" s="411"/>
      <c r="Q407" s="411"/>
      <c r="R407" s="411"/>
      <c r="S407" s="411"/>
      <c r="T407" s="411"/>
      <c r="U407" s="411"/>
      <c r="V407" s="408"/>
      <c r="W407" s="446"/>
      <c r="X407" s="416"/>
      <c r="Y407" s="416"/>
    </row>
    <row r="408" spans="1:25" ht="12.75" customHeight="1">
      <c r="A408" s="445"/>
      <c r="B408" s="414"/>
      <c r="C408" s="415"/>
      <c r="D408" s="411"/>
      <c r="E408" s="411"/>
      <c r="F408" s="411"/>
      <c r="G408" s="411"/>
      <c r="H408" s="411"/>
      <c r="I408" s="411"/>
      <c r="J408" s="411"/>
      <c r="K408" s="411"/>
      <c r="L408" s="411"/>
      <c r="M408" s="411"/>
      <c r="N408" s="411"/>
      <c r="O408" s="411"/>
      <c r="P408" s="411"/>
      <c r="Q408" s="411"/>
      <c r="R408" s="411"/>
      <c r="S408" s="411"/>
      <c r="T408" s="411"/>
      <c r="U408" s="411"/>
      <c r="V408" s="408"/>
      <c r="W408" s="446"/>
      <c r="X408" s="416"/>
      <c r="Y408" s="416"/>
    </row>
    <row r="409" spans="1:25" ht="12.75" customHeight="1">
      <c r="A409" s="445"/>
      <c r="B409" s="414"/>
      <c r="C409" s="415"/>
      <c r="D409" s="411"/>
      <c r="E409" s="411"/>
      <c r="F409" s="411"/>
      <c r="G409" s="411"/>
      <c r="H409" s="411"/>
      <c r="I409" s="411"/>
      <c r="J409" s="411"/>
      <c r="K409" s="411"/>
      <c r="L409" s="411"/>
      <c r="M409" s="411"/>
      <c r="N409" s="411"/>
      <c r="O409" s="411"/>
      <c r="P409" s="411"/>
      <c r="Q409" s="411"/>
      <c r="R409" s="411"/>
      <c r="S409" s="411"/>
      <c r="T409" s="411"/>
      <c r="U409" s="411"/>
      <c r="V409" s="408"/>
      <c r="W409" s="446"/>
      <c r="X409" s="416"/>
      <c r="Y409" s="416"/>
    </row>
    <row r="410" spans="1:25" ht="12.75" customHeight="1">
      <c r="A410" s="445"/>
      <c r="B410" s="414"/>
      <c r="C410" s="415"/>
      <c r="D410" s="411"/>
      <c r="E410" s="411"/>
      <c r="F410" s="411"/>
      <c r="G410" s="411"/>
      <c r="H410" s="411"/>
      <c r="I410" s="411"/>
      <c r="J410" s="411"/>
      <c r="K410" s="411"/>
      <c r="L410" s="411"/>
      <c r="M410" s="411"/>
      <c r="N410" s="411"/>
      <c r="O410" s="411"/>
      <c r="P410" s="411"/>
      <c r="Q410" s="411"/>
      <c r="R410" s="411"/>
      <c r="S410" s="411"/>
      <c r="T410" s="411"/>
      <c r="U410" s="411"/>
      <c r="V410" s="408"/>
      <c r="W410" s="446"/>
      <c r="X410" s="416"/>
      <c r="Y410" s="416"/>
    </row>
    <row r="411" spans="1:25" ht="12.75" customHeight="1">
      <c r="A411" s="445"/>
      <c r="B411" s="414"/>
      <c r="C411" s="415"/>
      <c r="D411" s="411"/>
      <c r="E411" s="411"/>
      <c r="F411" s="411"/>
      <c r="G411" s="411"/>
      <c r="H411" s="411"/>
      <c r="I411" s="411"/>
      <c r="J411" s="411"/>
      <c r="K411" s="411"/>
      <c r="L411" s="411"/>
      <c r="M411" s="411"/>
      <c r="N411" s="411"/>
      <c r="O411" s="411"/>
      <c r="P411" s="411"/>
      <c r="Q411" s="411"/>
      <c r="R411" s="411"/>
      <c r="S411" s="411"/>
      <c r="T411" s="411"/>
      <c r="U411" s="411"/>
      <c r="V411" s="408"/>
      <c r="W411" s="446"/>
      <c r="X411" s="416"/>
      <c r="Y411" s="416"/>
    </row>
    <row r="412" spans="1:25" ht="12.75" customHeight="1">
      <c r="A412" s="445"/>
      <c r="B412" s="414"/>
      <c r="C412" s="415"/>
      <c r="D412" s="411"/>
      <c r="E412" s="411"/>
      <c r="F412" s="411"/>
      <c r="G412" s="411"/>
      <c r="H412" s="411"/>
      <c r="I412" s="411"/>
      <c r="J412" s="411"/>
      <c r="K412" s="411"/>
      <c r="L412" s="411"/>
      <c r="M412" s="411"/>
      <c r="N412" s="411"/>
      <c r="O412" s="411"/>
      <c r="P412" s="411"/>
      <c r="Q412" s="411"/>
      <c r="R412" s="411"/>
      <c r="S412" s="411"/>
      <c r="T412" s="411"/>
      <c r="U412" s="411"/>
      <c r="V412" s="408"/>
      <c r="W412" s="446"/>
      <c r="X412" s="416"/>
      <c r="Y412" s="416"/>
    </row>
    <row r="413" spans="1:25" ht="12.75" customHeight="1">
      <c r="A413" s="445"/>
      <c r="B413" s="414"/>
      <c r="C413" s="415"/>
      <c r="D413" s="411"/>
      <c r="E413" s="411"/>
      <c r="F413" s="411"/>
      <c r="G413" s="411"/>
      <c r="H413" s="411"/>
      <c r="I413" s="411"/>
      <c r="J413" s="411"/>
      <c r="K413" s="411"/>
      <c r="L413" s="411"/>
      <c r="M413" s="411"/>
      <c r="N413" s="411"/>
      <c r="O413" s="411"/>
      <c r="P413" s="411"/>
      <c r="Q413" s="411"/>
      <c r="R413" s="411"/>
      <c r="S413" s="411"/>
      <c r="T413" s="411"/>
      <c r="U413" s="411"/>
      <c r="V413" s="408"/>
      <c r="W413" s="446"/>
      <c r="X413" s="416"/>
      <c r="Y413" s="416"/>
    </row>
    <row r="414" spans="1:25" ht="12.75" customHeight="1">
      <c r="A414" s="445"/>
      <c r="B414" s="414"/>
      <c r="C414" s="415"/>
      <c r="D414" s="411"/>
      <c r="E414" s="411"/>
      <c r="F414" s="411"/>
      <c r="G414" s="411"/>
      <c r="H414" s="411"/>
      <c r="I414" s="411"/>
      <c r="J414" s="411"/>
      <c r="K414" s="411"/>
      <c r="L414" s="411"/>
      <c r="M414" s="411"/>
      <c r="N414" s="411"/>
      <c r="O414" s="411"/>
      <c r="P414" s="411"/>
      <c r="Q414" s="411"/>
      <c r="R414" s="411"/>
      <c r="S414" s="411"/>
      <c r="T414" s="411"/>
      <c r="U414" s="411"/>
      <c r="V414" s="408"/>
      <c r="W414" s="446"/>
      <c r="X414" s="416"/>
      <c r="Y414" s="416"/>
    </row>
    <row r="415" spans="1:25" ht="12.75" customHeight="1">
      <c r="A415" s="445"/>
      <c r="B415" s="414"/>
      <c r="C415" s="415"/>
      <c r="D415" s="411"/>
      <c r="E415" s="411"/>
      <c r="F415" s="411"/>
      <c r="G415" s="411"/>
      <c r="H415" s="411"/>
      <c r="I415" s="411"/>
      <c r="J415" s="411"/>
      <c r="K415" s="411"/>
      <c r="L415" s="411"/>
      <c r="M415" s="411"/>
      <c r="N415" s="411"/>
      <c r="O415" s="411"/>
      <c r="P415" s="411"/>
      <c r="Q415" s="411"/>
      <c r="R415" s="411"/>
      <c r="S415" s="411"/>
      <c r="T415" s="411"/>
      <c r="U415" s="411"/>
      <c r="V415" s="408"/>
      <c r="W415" s="446"/>
      <c r="X415" s="416"/>
      <c r="Y415" s="416"/>
    </row>
    <row r="416" spans="1:25" ht="12.75" customHeight="1">
      <c r="A416" s="445"/>
      <c r="B416" s="414"/>
      <c r="C416" s="415"/>
      <c r="D416" s="411"/>
      <c r="E416" s="411"/>
      <c r="F416" s="411"/>
      <c r="G416" s="411"/>
      <c r="H416" s="411"/>
      <c r="I416" s="411"/>
      <c r="J416" s="411"/>
      <c r="K416" s="411"/>
      <c r="L416" s="411"/>
      <c r="M416" s="411"/>
      <c r="N416" s="411"/>
      <c r="O416" s="411"/>
      <c r="P416" s="411"/>
      <c r="Q416" s="411"/>
      <c r="R416" s="411"/>
      <c r="S416" s="411"/>
      <c r="T416" s="411"/>
      <c r="U416" s="411"/>
      <c r="V416" s="408"/>
      <c r="W416" s="446"/>
      <c r="X416" s="416"/>
      <c r="Y416" s="416"/>
    </row>
    <row r="417" spans="1:25" ht="12.75" customHeight="1">
      <c r="A417" s="445"/>
      <c r="B417" s="414"/>
      <c r="C417" s="415"/>
      <c r="D417" s="411"/>
      <c r="E417" s="411"/>
      <c r="F417" s="411"/>
      <c r="G417" s="411"/>
      <c r="H417" s="411"/>
      <c r="I417" s="411"/>
      <c r="J417" s="411"/>
      <c r="K417" s="411"/>
      <c r="L417" s="411"/>
      <c r="M417" s="411"/>
      <c r="N417" s="411"/>
      <c r="O417" s="411"/>
      <c r="P417" s="411"/>
      <c r="Q417" s="411"/>
      <c r="R417" s="411"/>
      <c r="S417" s="411"/>
      <c r="T417" s="411"/>
      <c r="U417" s="411"/>
      <c r="V417" s="408"/>
      <c r="W417" s="446"/>
      <c r="X417" s="416"/>
      <c r="Y417" s="416"/>
    </row>
    <row r="418" spans="1:25" ht="12.75" customHeight="1">
      <c r="A418" s="445"/>
      <c r="B418" s="414"/>
      <c r="C418" s="415"/>
      <c r="D418" s="411"/>
      <c r="E418" s="411"/>
      <c r="F418" s="411"/>
      <c r="G418" s="411"/>
      <c r="H418" s="411"/>
      <c r="I418" s="411"/>
      <c r="J418" s="411"/>
      <c r="K418" s="411"/>
      <c r="L418" s="411"/>
      <c r="M418" s="411"/>
      <c r="N418" s="411"/>
      <c r="O418" s="411"/>
      <c r="P418" s="411"/>
      <c r="Q418" s="411"/>
      <c r="R418" s="411"/>
      <c r="S418" s="411"/>
      <c r="T418" s="411"/>
      <c r="U418" s="411"/>
      <c r="V418" s="408"/>
      <c r="W418" s="446"/>
      <c r="X418" s="416"/>
      <c r="Y418" s="416"/>
    </row>
    <row r="419" spans="1:25" ht="12.75" customHeight="1">
      <c r="A419" s="445"/>
      <c r="B419" s="414"/>
      <c r="C419" s="415"/>
      <c r="D419" s="411"/>
      <c r="E419" s="411"/>
      <c r="F419" s="411"/>
      <c r="G419" s="411"/>
      <c r="H419" s="411"/>
      <c r="I419" s="411"/>
      <c r="J419" s="411"/>
      <c r="K419" s="411"/>
      <c r="L419" s="411"/>
      <c r="M419" s="411"/>
      <c r="N419" s="411"/>
      <c r="O419" s="411"/>
      <c r="P419" s="411"/>
      <c r="Q419" s="411"/>
      <c r="R419" s="411"/>
      <c r="S419" s="411"/>
      <c r="T419" s="411"/>
      <c r="U419" s="411"/>
      <c r="V419" s="408"/>
      <c r="W419" s="446"/>
      <c r="X419" s="416"/>
      <c r="Y419" s="416"/>
    </row>
    <row r="420" spans="1:25" ht="12.75" customHeight="1">
      <c r="A420" s="445"/>
      <c r="B420" s="414"/>
      <c r="C420" s="415"/>
      <c r="D420" s="411"/>
      <c r="E420" s="411"/>
      <c r="F420" s="411"/>
      <c r="G420" s="411"/>
      <c r="H420" s="411"/>
      <c r="I420" s="411"/>
      <c r="J420" s="411"/>
      <c r="K420" s="411"/>
      <c r="L420" s="411"/>
      <c r="M420" s="411"/>
      <c r="N420" s="411"/>
      <c r="O420" s="411"/>
      <c r="P420" s="411"/>
      <c r="Q420" s="411"/>
      <c r="R420" s="411"/>
      <c r="S420" s="411"/>
      <c r="T420" s="411"/>
      <c r="U420" s="411"/>
      <c r="V420" s="408"/>
      <c r="W420" s="446"/>
      <c r="X420" s="416"/>
      <c r="Y420" s="416"/>
    </row>
    <row r="421" spans="1:25" ht="12.75" customHeight="1">
      <c r="A421" s="445"/>
      <c r="B421" s="414"/>
      <c r="C421" s="415"/>
      <c r="D421" s="411"/>
      <c r="E421" s="411"/>
      <c r="F421" s="411"/>
      <c r="G421" s="411"/>
      <c r="H421" s="411"/>
      <c r="I421" s="411"/>
      <c r="J421" s="411"/>
      <c r="K421" s="411"/>
      <c r="L421" s="411"/>
      <c r="M421" s="411"/>
      <c r="N421" s="411"/>
      <c r="O421" s="411"/>
      <c r="P421" s="411"/>
      <c r="Q421" s="411"/>
      <c r="R421" s="411"/>
      <c r="S421" s="411"/>
      <c r="T421" s="411"/>
      <c r="U421" s="411"/>
      <c r="V421" s="408"/>
      <c r="W421" s="446"/>
      <c r="X421" s="416"/>
      <c r="Y421" s="416"/>
    </row>
    <row r="422" spans="1:25" ht="12.75" customHeight="1">
      <c r="A422" s="445"/>
      <c r="B422" s="414"/>
      <c r="C422" s="415"/>
      <c r="D422" s="411"/>
      <c r="E422" s="411"/>
      <c r="F422" s="411"/>
      <c r="G422" s="411"/>
      <c r="H422" s="411"/>
      <c r="I422" s="411"/>
      <c r="J422" s="411"/>
      <c r="K422" s="411"/>
      <c r="L422" s="411"/>
      <c r="M422" s="411"/>
      <c r="N422" s="411"/>
      <c r="O422" s="411"/>
      <c r="P422" s="411"/>
      <c r="Q422" s="411"/>
      <c r="R422" s="411"/>
      <c r="S422" s="411"/>
      <c r="T422" s="411"/>
      <c r="U422" s="411"/>
      <c r="V422" s="408"/>
      <c r="W422" s="446"/>
      <c r="X422" s="416"/>
      <c r="Y422" s="416"/>
    </row>
    <row r="423" spans="1:25" ht="12.75" customHeight="1">
      <c r="A423" s="445"/>
      <c r="B423" s="414"/>
      <c r="C423" s="415"/>
      <c r="D423" s="411"/>
      <c r="E423" s="411"/>
      <c r="F423" s="411"/>
      <c r="G423" s="411"/>
      <c r="H423" s="411"/>
      <c r="I423" s="411"/>
      <c r="J423" s="411"/>
      <c r="K423" s="411"/>
      <c r="L423" s="411"/>
      <c r="M423" s="411"/>
      <c r="N423" s="411"/>
      <c r="O423" s="411"/>
      <c r="P423" s="411"/>
      <c r="Q423" s="411"/>
      <c r="R423" s="411"/>
      <c r="S423" s="411"/>
      <c r="T423" s="411"/>
      <c r="U423" s="411"/>
      <c r="V423" s="408"/>
      <c r="W423" s="446"/>
      <c r="X423" s="416"/>
      <c r="Y423" s="416"/>
    </row>
    <row r="424" spans="1:25" ht="12.75" customHeight="1">
      <c r="A424" s="445"/>
      <c r="B424" s="414"/>
      <c r="C424" s="415"/>
      <c r="D424" s="411"/>
      <c r="E424" s="411"/>
      <c r="F424" s="411"/>
      <c r="G424" s="411"/>
      <c r="H424" s="411"/>
      <c r="I424" s="411"/>
      <c r="J424" s="411"/>
      <c r="K424" s="411"/>
      <c r="L424" s="411"/>
      <c r="M424" s="411"/>
      <c r="N424" s="411"/>
      <c r="O424" s="411"/>
      <c r="P424" s="411"/>
      <c r="Q424" s="411"/>
      <c r="R424" s="411"/>
      <c r="S424" s="411"/>
      <c r="T424" s="411"/>
      <c r="U424" s="411"/>
      <c r="V424" s="408"/>
      <c r="W424" s="446"/>
      <c r="X424" s="416"/>
      <c r="Y424" s="416"/>
    </row>
    <row r="425" spans="1:25" ht="12.75" customHeight="1">
      <c r="A425" s="445"/>
      <c r="B425" s="414"/>
      <c r="C425" s="415"/>
      <c r="D425" s="411"/>
      <c r="E425" s="411"/>
      <c r="F425" s="411"/>
      <c r="G425" s="411"/>
      <c r="H425" s="411"/>
      <c r="I425" s="411"/>
      <c r="J425" s="411"/>
      <c r="K425" s="411"/>
      <c r="L425" s="411"/>
      <c r="M425" s="411"/>
      <c r="N425" s="411"/>
      <c r="O425" s="411"/>
      <c r="P425" s="411"/>
      <c r="Q425" s="411"/>
      <c r="R425" s="411"/>
      <c r="S425" s="411"/>
      <c r="T425" s="411"/>
      <c r="U425" s="411"/>
      <c r="V425" s="408"/>
      <c r="W425" s="446"/>
      <c r="X425" s="416"/>
      <c r="Y425" s="416"/>
    </row>
    <row r="426" spans="1:25" ht="12.75" customHeight="1">
      <c r="A426" s="445"/>
      <c r="B426" s="414"/>
      <c r="C426" s="415"/>
      <c r="D426" s="411"/>
      <c r="E426" s="411"/>
      <c r="F426" s="411"/>
      <c r="G426" s="411"/>
      <c r="H426" s="411"/>
      <c r="I426" s="411"/>
      <c r="J426" s="411"/>
      <c r="K426" s="411"/>
      <c r="L426" s="411"/>
      <c r="M426" s="411"/>
      <c r="N426" s="411"/>
      <c r="O426" s="411"/>
      <c r="P426" s="411"/>
      <c r="Q426" s="411"/>
      <c r="R426" s="411"/>
      <c r="S426" s="411"/>
      <c r="T426" s="411"/>
      <c r="U426" s="411"/>
      <c r="V426" s="408"/>
      <c r="W426" s="446"/>
      <c r="X426" s="416"/>
      <c r="Y426" s="416"/>
    </row>
    <row r="427" spans="1:25" ht="12.75" customHeight="1">
      <c r="A427" s="445"/>
      <c r="B427" s="414"/>
      <c r="C427" s="415"/>
      <c r="D427" s="411"/>
      <c r="E427" s="411"/>
      <c r="F427" s="411"/>
      <c r="G427" s="411"/>
      <c r="H427" s="411"/>
      <c r="I427" s="411"/>
      <c r="J427" s="411"/>
      <c r="K427" s="411"/>
      <c r="L427" s="411"/>
      <c r="M427" s="411"/>
      <c r="N427" s="411"/>
      <c r="O427" s="411"/>
      <c r="P427" s="411"/>
      <c r="Q427" s="411"/>
      <c r="R427" s="411"/>
      <c r="S427" s="411"/>
      <c r="T427" s="411"/>
      <c r="U427" s="411"/>
      <c r="V427" s="408"/>
      <c r="W427" s="446"/>
      <c r="X427" s="416"/>
      <c r="Y427" s="416"/>
    </row>
    <row r="428" spans="1:25" ht="12.75" customHeight="1">
      <c r="A428" s="445"/>
      <c r="B428" s="414"/>
      <c r="C428" s="415"/>
      <c r="D428" s="411"/>
      <c r="E428" s="411"/>
      <c r="F428" s="411"/>
      <c r="G428" s="411"/>
      <c r="H428" s="411"/>
      <c r="I428" s="411"/>
      <c r="J428" s="411"/>
      <c r="K428" s="411"/>
      <c r="L428" s="411"/>
      <c r="M428" s="411"/>
      <c r="N428" s="411"/>
      <c r="O428" s="411"/>
      <c r="P428" s="411"/>
      <c r="Q428" s="411"/>
      <c r="R428" s="411"/>
      <c r="S428" s="411"/>
      <c r="T428" s="411"/>
      <c r="U428" s="411"/>
      <c r="V428" s="408"/>
      <c r="W428" s="446"/>
      <c r="X428" s="416"/>
      <c r="Y428" s="416"/>
    </row>
    <row r="429" spans="1:25" ht="12.75" customHeight="1">
      <c r="A429" s="445"/>
      <c r="B429" s="414"/>
      <c r="C429" s="415"/>
      <c r="D429" s="411"/>
      <c r="E429" s="411"/>
      <c r="F429" s="411"/>
      <c r="G429" s="411"/>
      <c r="H429" s="411"/>
      <c r="I429" s="411"/>
      <c r="J429" s="411"/>
      <c r="K429" s="411"/>
      <c r="L429" s="411"/>
      <c r="M429" s="411"/>
      <c r="N429" s="411"/>
      <c r="O429" s="411"/>
      <c r="P429" s="411"/>
      <c r="Q429" s="411"/>
      <c r="R429" s="411"/>
      <c r="S429" s="411"/>
      <c r="T429" s="411"/>
      <c r="U429" s="411"/>
      <c r="V429" s="408"/>
      <c r="W429" s="446"/>
      <c r="X429" s="416"/>
      <c r="Y429" s="416"/>
    </row>
    <row r="430" spans="1:25" ht="12.75" customHeight="1">
      <c r="A430" s="445"/>
      <c r="B430" s="414"/>
      <c r="C430" s="415"/>
      <c r="D430" s="411"/>
      <c r="E430" s="411"/>
      <c r="F430" s="411"/>
      <c r="G430" s="411"/>
      <c r="H430" s="411"/>
      <c r="I430" s="411"/>
      <c r="J430" s="411"/>
      <c r="K430" s="411"/>
      <c r="L430" s="411"/>
      <c r="M430" s="411"/>
      <c r="N430" s="411"/>
      <c r="O430" s="411"/>
      <c r="P430" s="411"/>
      <c r="Q430" s="411"/>
      <c r="R430" s="411"/>
      <c r="S430" s="411"/>
      <c r="T430" s="411"/>
      <c r="U430" s="411"/>
      <c r="V430" s="408"/>
      <c r="W430" s="446"/>
      <c r="X430" s="416"/>
      <c r="Y430" s="416"/>
    </row>
    <row r="431" spans="1:25" ht="12.75" customHeight="1">
      <c r="A431" s="445"/>
      <c r="B431" s="414"/>
      <c r="C431" s="415"/>
      <c r="D431" s="411"/>
      <c r="E431" s="411"/>
      <c r="F431" s="411"/>
      <c r="G431" s="411"/>
      <c r="H431" s="411"/>
      <c r="I431" s="411"/>
      <c r="J431" s="411"/>
      <c r="K431" s="411"/>
      <c r="L431" s="411"/>
      <c r="M431" s="411"/>
      <c r="N431" s="411"/>
      <c r="O431" s="411"/>
      <c r="P431" s="411"/>
      <c r="Q431" s="411"/>
      <c r="R431" s="411"/>
      <c r="S431" s="411"/>
      <c r="T431" s="411"/>
      <c r="U431" s="411"/>
      <c r="V431" s="408"/>
      <c r="W431" s="446"/>
      <c r="X431" s="416"/>
      <c r="Y431" s="416"/>
    </row>
    <row r="432" spans="1:25" ht="12.75" customHeight="1">
      <c r="A432" s="445"/>
      <c r="B432" s="414"/>
      <c r="C432" s="415"/>
      <c r="D432" s="411"/>
      <c r="E432" s="411"/>
      <c r="F432" s="411"/>
      <c r="G432" s="411"/>
      <c r="H432" s="411"/>
      <c r="I432" s="411"/>
      <c r="J432" s="411"/>
      <c r="K432" s="411"/>
      <c r="L432" s="411"/>
      <c r="M432" s="411"/>
      <c r="N432" s="411"/>
      <c r="O432" s="411"/>
      <c r="P432" s="411"/>
      <c r="Q432" s="411"/>
      <c r="R432" s="411"/>
      <c r="S432" s="411"/>
      <c r="T432" s="411"/>
      <c r="U432" s="411"/>
      <c r="V432" s="408"/>
      <c r="W432" s="446"/>
      <c r="X432" s="416"/>
      <c r="Y432" s="416"/>
    </row>
    <row r="433" spans="1:25" ht="12.75" customHeight="1">
      <c r="A433" s="445"/>
      <c r="B433" s="414"/>
      <c r="C433" s="415"/>
      <c r="D433" s="411"/>
      <c r="E433" s="411"/>
      <c r="F433" s="411"/>
      <c r="G433" s="411"/>
      <c r="H433" s="411"/>
      <c r="I433" s="411"/>
      <c r="J433" s="411"/>
      <c r="K433" s="411"/>
      <c r="L433" s="411"/>
      <c r="M433" s="411"/>
      <c r="N433" s="411"/>
      <c r="O433" s="411"/>
      <c r="P433" s="411"/>
      <c r="Q433" s="411"/>
      <c r="R433" s="411"/>
      <c r="S433" s="411"/>
      <c r="T433" s="411"/>
      <c r="U433" s="411"/>
      <c r="V433" s="408"/>
      <c r="W433" s="446"/>
      <c r="X433" s="416"/>
      <c r="Y433" s="416"/>
    </row>
    <row r="434" spans="1:25" ht="12.75" customHeight="1">
      <c r="A434" s="445"/>
      <c r="B434" s="414"/>
      <c r="C434" s="415"/>
      <c r="D434" s="411"/>
      <c r="E434" s="411"/>
      <c r="F434" s="411"/>
      <c r="G434" s="411"/>
      <c r="H434" s="411"/>
      <c r="I434" s="411"/>
      <c r="J434" s="411"/>
      <c r="K434" s="411"/>
      <c r="L434" s="411"/>
      <c r="M434" s="411"/>
      <c r="N434" s="411"/>
      <c r="O434" s="411"/>
      <c r="P434" s="411"/>
      <c r="Q434" s="411"/>
      <c r="R434" s="411"/>
      <c r="S434" s="411"/>
      <c r="T434" s="411"/>
      <c r="U434" s="411"/>
      <c r="V434" s="408"/>
      <c r="W434" s="446"/>
      <c r="X434" s="416"/>
      <c r="Y434" s="416"/>
    </row>
    <row r="435" spans="1:25" ht="12.75" customHeight="1">
      <c r="A435" s="445"/>
      <c r="B435" s="414"/>
      <c r="C435" s="415"/>
      <c r="D435" s="411"/>
      <c r="E435" s="411"/>
      <c r="F435" s="411"/>
      <c r="G435" s="411"/>
      <c r="H435" s="411"/>
      <c r="I435" s="411"/>
      <c r="J435" s="411"/>
      <c r="K435" s="411"/>
      <c r="L435" s="411"/>
      <c r="M435" s="411"/>
      <c r="N435" s="411"/>
      <c r="O435" s="411"/>
      <c r="P435" s="411"/>
      <c r="Q435" s="411"/>
      <c r="R435" s="411"/>
      <c r="S435" s="411"/>
      <c r="T435" s="411"/>
      <c r="U435" s="411"/>
      <c r="V435" s="408"/>
      <c r="W435" s="446"/>
      <c r="X435" s="416"/>
      <c r="Y435" s="416"/>
    </row>
    <row r="436" spans="1:25" ht="12.75" customHeight="1">
      <c r="A436" s="445"/>
      <c r="B436" s="414"/>
      <c r="C436" s="415"/>
      <c r="D436" s="411"/>
      <c r="E436" s="411"/>
      <c r="F436" s="411"/>
      <c r="G436" s="411"/>
      <c r="H436" s="411"/>
      <c r="I436" s="411"/>
      <c r="J436" s="411"/>
      <c r="K436" s="411"/>
      <c r="L436" s="411"/>
      <c r="M436" s="411"/>
      <c r="N436" s="411"/>
      <c r="O436" s="411"/>
      <c r="P436" s="411"/>
      <c r="Q436" s="411"/>
      <c r="R436" s="411"/>
      <c r="S436" s="411"/>
      <c r="T436" s="411"/>
      <c r="U436" s="411"/>
      <c r="V436" s="408"/>
      <c r="W436" s="446"/>
      <c r="X436" s="416"/>
      <c r="Y436" s="416"/>
    </row>
    <row r="437" spans="1:25" ht="12.75" customHeight="1">
      <c r="A437" s="445"/>
      <c r="B437" s="414"/>
      <c r="C437" s="415"/>
      <c r="D437" s="411"/>
      <c r="E437" s="411"/>
      <c r="F437" s="411"/>
      <c r="G437" s="411"/>
      <c r="H437" s="411"/>
      <c r="I437" s="411"/>
      <c r="J437" s="411"/>
      <c r="K437" s="411"/>
      <c r="L437" s="411"/>
      <c r="M437" s="411"/>
      <c r="N437" s="411"/>
      <c r="O437" s="411"/>
      <c r="P437" s="411"/>
      <c r="Q437" s="411"/>
      <c r="R437" s="411"/>
      <c r="S437" s="411"/>
      <c r="T437" s="411"/>
      <c r="U437" s="411"/>
      <c r="V437" s="408"/>
      <c r="W437" s="446"/>
      <c r="X437" s="416"/>
      <c r="Y437" s="416"/>
    </row>
    <row r="438" spans="1:25" ht="12.75" customHeight="1">
      <c r="A438" s="445"/>
      <c r="B438" s="414"/>
      <c r="C438" s="415"/>
      <c r="D438" s="411"/>
      <c r="E438" s="411"/>
      <c r="F438" s="411"/>
      <c r="G438" s="411"/>
      <c r="H438" s="411"/>
      <c r="I438" s="411"/>
      <c r="J438" s="411"/>
      <c r="K438" s="411"/>
      <c r="L438" s="411"/>
      <c r="M438" s="411"/>
      <c r="N438" s="411"/>
      <c r="O438" s="411"/>
      <c r="P438" s="411"/>
      <c r="Q438" s="411"/>
      <c r="R438" s="411"/>
      <c r="S438" s="411"/>
      <c r="T438" s="411"/>
      <c r="U438" s="411"/>
      <c r="V438" s="408"/>
      <c r="W438" s="446"/>
      <c r="X438" s="416"/>
      <c r="Y438" s="416"/>
    </row>
    <row r="439" spans="1:25" ht="12.75" customHeight="1">
      <c r="A439" s="445"/>
      <c r="B439" s="414"/>
      <c r="C439" s="415"/>
      <c r="D439" s="411"/>
      <c r="E439" s="411"/>
      <c r="F439" s="411"/>
      <c r="G439" s="411"/>
      <c r="H439" s="411"/>
      <c r="I439" s="411"/>
      <c r="J439" s="411"/>
      <c r="K439" s="411"/>
      <c r="L439" s="411"/>
      <c r="M439" s="411"/>
      <c r="N439" s="411"/>
      <c r="O439" s="411"/>
      <c r="P439" s="411"/>
      <c r="Q439" s="411"/>
      <c r="R439" s="411"/>
      <c r="S439" s="411"/>
      <c r="T439" s="411"/>
      <c r="U439" s="411"/>
      <c r="V439" s="408"/>
      <c r="W439" s="446"/>
      <c r="X439" s="416"/>
      <c r="Y439" s="416"/>
    </row>
    <row r="440" spans="1:25" ht="12.75" customHeight="1">
      <c r="A440" s="445"/>
      <c r="B440" s="414"/>
      <c r="C440" s="415"/>
      <c r="D440" s="411"/>
      <c r="E440" s="411"/>
      <c r="F440" s="411"/>
      <c r="G440" s="411"/>
      <c r="H440" s="411"/>
      <c r="I440" s="411"/>
      <c r="J440" s="411"/>
      <c r="K440" s="411"/>
      <c r="L440" s="411"/>
      <c r="M440" s="411"/>
      <c r="N440" s="411"/>
      <c r="O440" s="411"/>
      <c r="P440" s="411"/>
      <c r="Q440" s="411"/>
      <c r="R440" s="411"/>
      <c r="S440" s="411"/>
      <c r="T440" s="411"/>
      <c r="U440" s="411"/>
      <c r="V440" s="408"/>
      <c r="W440" s="446"/>
      <c r="X440" s="416"/>
      <c r="Y440" s="416"/>
    </row>
    <row r="441" spans="1:25" ht="12.75" customHeight="1">
      <c r="A441" s="445"/>
      <c r="B441" s="414"/>
      <c r="C441" s="415"/>
      <c r="D441" s="411"/>
      <c r="E441" s="411"/>
      <c r="F441" s="411"/>
      <c r="G441" s="411"/>
      <c r="H441" s="411"/>
      <c r="I441" s="411"/>
      <c r="J441" s="411"/>
      <c r="K441" s="411"/>
      <c r="L441" s="411"/>
      <c r="M441" s="411"/>
      <c r="N441" s="411"/>
      <c r="O441" s="411"/>
      <c r="P441" s="411"/>
      <c r="Q441" s="411"/>
      <c r="R441" s="411"/>
      <c r="S441" s="411"/>
      <c r="T441" s="411"/>
      <c r="U441" s="411"/>
      <c r="V441" s="408"/>
      <c r="W441" s="446"/>
      <c r="X441" s="416"/>
      <c r="Y441" s="416"/>
    </row>
    <row r="442" spans="1:25" ht="12.75" customHeight="1">
      <c r="A442" s="445"/>
      <c r="B442" s="414"/>
      <c r="C442" s="415"/>
      <c r="D442" s="411"/>
      <c r="E442" s="411"/>
      <c r="F442" s="411"/>
      <c r="G442" s="411"/>
      <c r="H442" s="411"/>
      <c r="I442" s="411"/>
      <c r="J442" s="411"/>
      <c r="K442" s="411"/>
      <c r="L442" s="411"/>
      <c r="M442" s="411"/>
      <c r="N442" s="411"/>
      <c r="O442" s="411"/>
      <c r="P442" s="411"/>
      <c r="Q442" s="411"/>
      <c r="R442" s="411"/>
      <c r="S442" s="411"/>
      <c r="T442" s="411"/>
      <c r="U442" s="411"/>
      <c r="V442" s="408"/>
      <c r="W442" s="446"/>
      <c r="X442" s="416"/>
      <c r="Y442" s="416"/>
    </row>
    <row r="443" spans="1:25" ht="12.75" customHeight="1">
      <c r="A443" s="445"/>
      <c r="B443" s="414"/>
      <c r="C443" s="415"/>
      <c r="D443" s="411"/>
      <c r="E443" s="411"/>
      <c r="F443" s="411"/>
      <c r="G443" s="411"/>
      <c r="H443" s="411"/>
      <c r="I443" s="411"/>
      <c r="J443" s="411"/>
      <c r="K443" s="411"/>
      <c r="L443" s="411"/>
      <c r="M443" s="411"/>
      <c r="N443" s="411"/>
      <c r="O443" s="411"/>
      <c r="P443" s="411"/>
      <c r="Q443" s="411"/>
      <c r="R443" s="411"/>
      <c r="S443" s="411"/>
      <c r="T443" s="411"/>
      <c r="U443" s="411"/>
      <c r="V443" s="408"/>
      <c r="W443" s="446"/>
      <c r="X443" s="416"/>
      <c r="Y443" s="416"/>
    </row>
    <row r="444" spans="1:25" ht="12.75" customHeight="1">
      <c r="A444" s="445"/>
      <c r="B444" s="414"/>
      <c r="C444" s="415"/>
      <c r="D444" s="411"/>
      <c r="E444" s="411"/>
      <c r="F444" s="411"/>
      <c r="G444" s="411"/>
      <c r="H444" s="411"/>
      <c r="I444" s="411"/>
      <c r="J444" s="411"/>
      <c r="K444" s="411"/>
      <c r="L444" s="411"/>
      <c r="M444" s="411"/>
      <c r="N444" s="411"/>
      <c r="O444" s="411"/>
      <c r="P444" s="411"/>
      <c r="Q444" s="411"/>
      <c r="R444" s="411"/>
      <c r="S444" s="411"/>
      <c r="T444" s="411"/>
      <c r="U444" s="411"/>
      <c r="V444" s="408"/>
      <c r="W444" s="446"/>
      <c r="X444" s="416"/>
      <c r="Y444" s="416"/>
    </row>
    <row r="445" spans="1:25" ht="12.75" customHeight="1">
      <c r="A445" s="445"/>
      <c r="B445" s="414"/>
      <c r="C445" s="415"/>
      <c r="D445" s="411"/>
      <c r="E445" s="411"/>
      <c r="F445" s="411"/>
      <c r="G445" s="411"/>
      <c r="H445" s="411"/>
      <c r="I445" s="411"/>
      <c r="J445" s="411"/>
      <c r="K445" s="411"/>
      <c r="L445" s="411"/>
      <c r="M445" s="411"/>
      <c r="N445" s="411"/>
      <c r="O445" s="411"/>
      <c r="P445" s="411"/>
      <c r="Q445" s="411"/>
      <c r="R445" s="411"/>
      <c r="S445" s="411"/>
      <c r="T445" s="411"/>
      <c r="U445" s="411"/>
      <c r="V445" s="408"/>
      <c r="W445" s="446"/>
      <c r="X445" s="416"/>
      <c r="Y445" s="416"/>
    </row>
    <row r="446" spans="1:25" ht="12.75" customHeight="1">
      <c r="A446" s="445"/>
      <c r="B446" s="414"/>
      <c r="C446" s="415"/>
      <c r="D446" s="411"/>
      <c r="E446" s="411"/>
      <c r="F446" s="411"/>
      <c r="G446" s="411"/>
      <c r="H446" s="411"/>
      <c r="I446" s="411"/>
      <c r="J446" s="411"/>
      <c r="K446" s="411"/>
      <c r="L446" s="411"/>
      <c r="M446" s="411"/>
      <c r="N446" s="411"/>
      <c r="O446" s="411"/>
      <c r="P446" s="411"/>
      <c r="Q446" s="411"/>
      <c r="R446" s="411"/>
      <c r="S446" s="411"/>
      <c r="T446" s="411"/>
      <c r="U446" s="411"/>
      <c r="V446" s="408"/>
      <c r="W446" s="446"/>
      <c r="X446" s="416"/>
      <c r="Y446" s="416"/>
    </row>
    <row r="447" spans="1:25" ht="12.75" customHeight="1">
      <c r="A447" s="445"/>
      <c r="B447" s="414"/>
      <c r="C447" s="415"/>
      <c r="D447" s="411"/>
      <c r="E447" s="411"/>
      <c r="F447" s="411"/>
      <c r="G447" s="411"/>
      <c r="H447" s="411"/>
      <c r="I447" s="411"/>
      <c r="J447" s="411"/>
      <c r="K447" s="411"/>
      <c r="L447" s="411"/>
      <c r="M447" s="411"/>
      <c r="N447" s="411"/>
      <c r="O447" s="411"/>
      <c r="P447" s="411"/>
      <c r="Q447" s="411"/>
      <c r="R447" s="411"/>
      <c r="S447" s="411"/>
      <c r="T447" s="411"/>
      <c r="U447" s="411"/>
      <c r="V447" s="408"/>
      <c r="W447" s="446"/>
      <c r="X447" s="416"/>
      <c r="Y447" s="416"/>
    </row>
    <row r="448" spans="1:25" ht="12.75" customHeight="1">
      <c r="A448" s="445"/>
      <c r="B448" s="414"/>
      <c r="C448" s="415"/>
      <c r="D448" s="411"/>
      <c r="E448" s="411"/>
      <c r="F448" s="411"/>
      <c r="G448" s="411"/>
      <c r="H448" s="411"/>
      <c r="I448" s="411"/>
      <c r="J448" s="411"/>
      <c r="K448" s="411"/>
      <c r="L448" s="411"/>
      <c r="M448" s="411"/>
      <c r="N448" s="411"/>
      <c r="O448" s="411"/>
      <c r="P448" s="411"/>
      <c r="Q448" s="411"/>
      <c r="R448" s="411"/>
      <c r="S448" s="411"/>
      <c r="T448" s="411"/>
      <c r="U448" s="411"/>
      <c r="V448" s="408"/>
      <c r="W448" s="446"/>
      <c r="X448" s="416"/>
      <c r="Y448" s="416"/>
    </row>
    <row r="449" spans="1:25" ht="12.75" customHeight="1">
      <c r="A449" s="445"/>
      <c r="B449" s="414"/>
      <c r="C449" s="415"/>
      <c r="D449" s="411"/>
      <c r="E449" s="411"/>
      <c r="F449" s="411"/>
      <c r="G449" s="411"/>
      <c r="H449" s="411"/>
      <c r="I449" s="411"/>
      <c r="J449" s="411"/>
      <c r="K449" s="411"/>
      <c r="L449" s="411"/>
      <c r="M449" s="411"/>
      <c r="N449" s="411"/>
      <c r="O449" s="411"/>
      <c r="P449" s="411"/>
      <c r="Q449" s="411"/>
      <c r="R449" s="411"/>
      <c r="S449" s="411"/>
      <c r="T449" s="411"/>
      <c r="U449" s="411"/>
      <c r="V449" s="408"/>
      <c r="W449" s="446"/>
      <c r="X449" s="416"/>
      <c r="Y449" s="416"/>
    </row>
    <row r="450" spans="1:25" ht="12.75" customHeight="1">
      <c r="A450" s="445"/>
      <c r="B450" s="414"/>
      <c r="C450" s="415"/>
      <c r="D450" s="411"/>
      <c r="E450" s="411"/>
      <c r="F450" s="411"/>
      <c r="G450" s="411"/>
      <c r="H450" s="411"/>
      <c r="I450" s="411"/>
      <c r="J450" s="411"/>
      <c r="K450" s="411"/>
      <c r="L450" s="411"/>
      <c r="M450" s="411"/>
      <c r="N450" s="411"/>
      <c r="O450" s="411"/>
      <c r="P450" s="411"/>
      <c r="Q450" s="411"/>
      <c r="R450" s="411"/>
      <c r="S450" s="411"/>
      <c r="T450" s="411"/>
      <c r="U450" s="411"/>
      <c r="V450" s="408"/>
      <c r="W450" s="446"/>
      <c r="X450" s="416"/>
      <c r="Y450" s="416"/>
    </row>
    <row r="451" spans="1:25" ht="12.75" customHeight="1">
      <c r="A451" s="445"/>
      <c r="B451" s="414"/>
      <c r="C451" s="415"/>
      <c r="D451" s="411"/>
      <c r="E451" s="411"/>
      <c r="F451" s="411"/>
      <c r="G451" s="411"/>
      <c r="H451" s="411"/>
      <c r="I451" s="411"/>
      <c r="J451" s="411"/>
      <c r="K451" s="411"/>
      <c r="L451" s="411"/>
      <c r="M451" s="411"/>
      <c r="N451" s="411"/>
      <c r="O451" s="411"/>
      <c r="P451" s="411"/>
      <c r="Q451" s="411"/>
      <c r="R451" s="411"/>
      <c r="S451" s="411"/>
      <c r="T451" s="411"/>
      <c r="U451" s="411"/>
      <c r="V451" s="408"/>
      <c r="W451" s="446"/>
      <c r="X451" s="416"/>
      <c r="Y451" s="416"/>
    </row>
    <row r="452" spans="1:25" ht="12.75" customHeight="1">
      <c r="A452" s="445"/>
      <c r="B452" s="414"/>
      <c r="C452" s="415"/>
      <c r="D452" s="411"/>
      <c r="E452" s="411"/>
      <c r="F452" s="411"/>
      <c r="G452" s="411"/>
      <c r="H452" s="411"/>
      <c r="I452" s="411"/>
      <c r="J452" s="411"/>
      <c r="K452" s="411"/>
      <c r="L452" s="411"/>
      <c r="M452" s="411"/>
      <c r="N452" s="411"/>
      <c r="O452" s="411"/>
      <c r="P452" s="411"/>
      <c r="Q452" s="411"/>
      <c r="R452" s="411"/>
      <c r="S452" s="411"/>
      <c r="T452" s="411"/>
      <c r="U452" s="411"/>
      <c r="V452" s="408"/>
      <c r="W452" s="446"/>
      <c r="X452" s="416"/>
      <c r="Y452" s="416"/>
    </row>
    <row r="453" spans="1:25" ht="12.75" customHeight="1">
      <c r="A453" s="445"/>
      <c r="B453" s="414"/>
      <c r="C453" s="415"/>
      <c r="D453" s="411"/>
      <c r="E453" s="411"/>
      <c r="F453" s="411"/>
      <c r="G453" s="411"/>
      <c r="H453" s="411"/>
      <c r="I453" s="411"/>
      <c r="J453" s="411"/>
      <c r="K453" s="411"/>
      <c r="L453" s="411"/>
      <c r="M453" s="411"/>
      <c r="N453" s="411"/>
      <c r="O453" s="411"/>
      <c r="P453" s="411"/>
      <c r="Q453" s="411"/>
      <c r="R453" s="411"/>
      <c r="S453" s="411"/>
      <c r="T453" s="411"/>
      <c r="U453" s="411"/>
      <c r="V453" s="408"/>
      <c r="W453" s="446"/>
      <c r="X453" s="416"/>
      <c r="Y453" s="416"/>
    </row>
    <row r="454" spans="1:25" ht="12.75" customHeight="1">
      <c r="A454" s="445"/>
      <c r="B454" s="414"/>
      <c r="C454" s="415"/>
      <c r="D454" s="411"/>
      <c r="E454" s="411"/>
      <c r="F454" s="411"/>
      <c r="G454" s="411"/>
      <c r="H454" s="411"/>
      <c r="I454" s="411"/>
      <c r="J454" s="411"/>
      <c r="K454" s="411"/>
      <c r="L454" s="411"/>
      <c r="M454" s="411"/>
      <c r="N454" s="411"/>
      <c r="O454" s="411"/>
      <c r="P454" s="411"/>
      <c r="Q454" s="411"/>
      <c r="R454" s="411"/>
      <c r="S454" s="411"/>
      <c r="T454" s="411"/>
      <c r="U454" s="411"/>
      <c r="V454" s="408"/>
      <c r="W454" s="446"/>
      <c r="X454" s="416"/>
      <c r="Y454" s="416"/>
    </row>
    <row r="455" spans="1:25" ht="12.75" customHeight="1">
      <c r="A455" s="445"/>
      <c r="B455" s="414"/>
      <c r="C455" s="415"/>
      <c r="D455" s="411"/>
      <c r="E455" s="411"/>
      <c r="F455" s="411"/>
      <c r="G455" s="411"/>
      <c r="H455" s="411"/>
      <c r="I455" s="411"/>
      <c r="J455" s="411"/>
      <c r="K455" s="411"/>
      <c r="L455" s="411"/>
      <c r="M455" s="411"/>
      <c r="N455" s="411"/>
      <c r="O455" s="411"/>
      <c r="P455" s="411"/>
      <c r="Q455" s="411"/>
      <c r="R455" s="411"/>
      <c r="S455" s="411"/>
      <c r="T455" s="411"/>
      <c r="U455" s="411"/>
      <c r="V455" s="408"/>
      <c r="W455" s="446"/>
      <c r="X455" s="416"/>
      <c r="Y455" s="416"/>
    </row>
    <row r="456" spans="1:25" ht="12.75" customHeight="1">
      <c r="A456" s="445"/>
      <c r="B456" s="414"/>
      <c r="C456" s="415"/>
      <c r="D456" s="411"/>
      <c r="E456" s="411"/>
      <c r="F456" s="411"/>
      <c r="G456" s="411"/>
      <c r="H456" s="411"/>
      <c r="I456" s="411"/>
      <c r="J456" s="411"/>
      <c r="K456" s="411"/>
      <c r="L456" s="411"/>
      <c r="M456" s="411"/>
      <c r="N456" s="411"/>
      <c r="O456" s="411"/>
      <c r="P456" s="411"/>
      <c r="Q456" s="411"/>
      <c r="R456" s="411"/>
      <c r="S456" s="411"/>
      <c r="T456" s="411"/>
      <c r="U456" s="411"/>
      <c r="V456" s="408"/>
      <c r="W456" s="446"/>
      <c r="X456" s="416"/>
      <c r="Y456" s="416"/>
    </row>
    <row r="457" spans="1:25" ht="12.75" customHeight="1">
      <c r="A457" s="445"/>
      <c r="B457" s="414"/>
      <c r="C457" s="415"/>
      <c r="D457" s="411"/>
      <c r="E457" s="411"/>
      <c r="F457" s="411"/>
      <c r="G457" s="411"/>
      <c r="H457" s="411"/>
      <c r="I457" s="411"/>
      <c r="J457" s="411"/>
      <c r="K457" s="411"/>
      <c r="L457" s="411"/>
      <c r="M457" s="411"/>
      <c r="N457" s="411"/>
      <c r="O457" s="411"/>
      <c r="P457" s="411"/>
      <c r="Q457" s="411"/>
      <c r="R457" s="411"/>
      <c r="S457" s="411"/>
      <c r="T457" s="411"/>
      <c r="U457" s="411"/>
      <c r="V457" s="408"/>
      <c r="W457" s="446"/>
      <c r="X457" s="416"/>
      <c r="Y457" s="416"/>
    </row>
    <row r="458" spans="1:25" ht="12.75" customHeight="1">
      <c r="A458" s="445"/>
      <c r="B458" s="414"/>
      <c r="C458" s="415"/>
      <c r="D458" s="411"/>
      <c r="E458" s="411"/>
      <c r="F458" s="411"/>
      <c r="G458" s="411"/>
      <c r="H458" s="411"/>
      <c r="I458" s="411"/>
      <c r="J458" s="411"/>
      <c r="K458" s="411"/>
      <c r="L458" s="411"/>
      <c r="M458" s="411"/>
      <c r="N458" s="411"/>
      <c r="O458" s="411"/>
      <c r="P458" s="411"/>
      <c r="Q458" s="411"/>
      <c r="R458" s="411"/>
      <c r="S458" s="411"/>
      <c r="T458" s="411"/>
      <c r="U458" s="411"/>
      <c r="V458" s="408"/>
      <c r="W458" s="446"/>
      <c r="X458" s="416"/>
      <c r="Y458" s="416"/>
    </row>
  </sheetData>
  <mergeCells count="8">
    <mergeCell ref="A1:W1"/>
    <mergeCell ref="B7:F8"/>
    <mergeCell ref="G7:J7"/>
    <mergeCell ref="K7:L7"/>
    <mergeCell ref="M7:U7"/>
    <mergeCell ref="V7:V9"/>
    <mergeCell ref="W7:W8"/>
    <mergeCell ref="G8:U8"/>
  </mergeCells>
  <pageMargins left="0.70866141732283472" right="0.70866141732283472" top="0.74803149606299213" bottom="0.74803149606299213" header="0" footer="0"/>
  <pageSetup paperSize="5" scale="65"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
  <sheetViews>
    <sheetView workbookViewId="0"/>
  </sheetViews>
  <sheetFormatPr baseColWidth="10" defaultColWidth="14.42578125" defaultRowHeight="15" customHeight="1"/>
  <cols>
    <col min="1" max="1" width="17.140625" customWidth="1"/>
    <col min="2" max="2" width="10" customWidth="1"/>
    <col min="3" max="3" width="17.140625" customWidth="1"/>
    <col min="4" max="4" width="10" customWidth="1"/>
    <col min="5" max="5" width="17.140625" customWidth="1"/>
    <col min="6" max="6" width="10" customWidth="1"/>
    <col min="7" max="7" width="17.140625" customWidth="1"/>
    <col min="8" max="8" width="9.85546875" customWidth="1"/>
    <col min="9" max="11" width="10.7109375" customWidth="1"/>
  </cols>
  <sheetData>
    <row r="1" spans="1:8" ht="30" customHeight="1">
      <c r="A1" s="712" t="s">
        <v>1405</v>
      </c>
      <c r="B1" s="633"/>
      <c r="C1" s="719" t="s">
        <v>1406</v>
      </c>
      <c r="D1" s="633"/>
      <c r="E1" s="720" t="s">
        <v>1407</v>
      </c>
      <c r="F1" s="633"/>
      <c r="G1" s="721" t="s">
        <v>1369</v>
      </c>
      <c r="H1" s="633"/>
    </row>
    <row r="2" spans="1:8" ht="33.75">
      <c r="A2" s="447" t="s">
        <v>1426</v>
      </c>
      <c r="B2" s="448">
        <v>1</v>
      </c>
      <c r="C2" s="449" t="s">
        <v>1427</v>
      </c>
      <c r="D2" s="450">
        <v>1</v>
      </c>
      <c r="E2" s="451" t="s">
        <v>1428</v>
      </c>
      <c r="F2" s="452">
        <v>0.87</v>
      </c>
      <c r="G2" s="453" t="s">
        <v>1429</v>
      </c>
      <c r="H2" s="454" t="s">
        <v>1430</v>
      </c>
    </row>
    <row r="3" spans="1:8" ht="22.5">
      <c r="A3" s="455" t="s">
        <v>1431</v>
      </c>
      <c r="B3" s="456">
        <v>0</v>
      </c>
      <c r="C3" s="457" t="s">
        <v>1413</v>
      </c>
      <c r="D3" s="458">
        <v>0.87</v>
      </c>
      <c r="E3" s="459" t="s">
        <v>1432</v>
      </c>
      <c r="F3" s="460">
        <v>0</v>
      </c>
      <c r="G3" s="461" t="s">
        <v>1433</v>
      </c>
      <c r="H3" s="462">
        <v>0</v>
      </c>
    </row>
    <row r="4" spans="1:8" ht="22.5">
      <c r="A4" s="455" t="s">
        <v>1409</v>
      </c>
      <c r="B4" s="456">
        <v>0.87</v>
      </c>
      <c r="C4" s="45"/>
      <c r="D4" s="45"/>
      <c r="E4" s="459" t="s">
        <v>1415</v>
      </c>
      <c r="F4" s="460">
        <v>0.87</v>
      </c>
      <c r="G4" s="461" t="s">
        <v>1434</v>
      </c>
      <c r="H4" s="462">
        <v>0</v>
      </c>
    </row>
    <row r="5" spans="1:8" ht="22.5" customHeight="1">
      <c r="A5" s="455" t="s">
        <v>1410</v>
      </c>
      <c r="B5" s="456">
        <v>0</v>
      </c>
      <c r="C5" s="45"/>
      <c r="D5" s="45"/>
      <c r="E5" s="459" t="s">
        <v>1416</v>
      </c>
      <c r="F5" s="460">
        <v>0.87</v>
      </c>
      <c r="G5" s="461" t="s">
        <v>1435</v>
      </c>
      <c r="H5" s="462">
        <v>0.129</v>
      </c>
    </row>
    <row r="6" spans="1:8" ht="22.5">
      <c r="A6" s="463" t="s">
        <v>1436</v>
      </c>
      <c r="B6" s="464">
        <v>0.10879999999999999</v>
      </c>
      <c r="C6" s="45"/>
      <c r="D6" s="45"/>
      <c r="E6" s="459" t="s">
        <v>1417</v>
      </c>
      <c r="F6" s="460">
        <v>1</v>
      </c>
      <c r="G6" s="461" t="s">
        <v>1437</v>
      </c>
      <c r="H6" s="462">
        <v>0.503</v>
      </c>
    </row>
    <row r="7" spans="1:8" ht="22.5" customHeight="1">
      <c r="A7" s="45"/>
      <c r="B7" s="45"/>
      <c r="C7" s="45"/>
      <c r="D7" s="45"/>
      <c r="E7" s="459" t="s">
        <v>1418</v>
      </c>
      <c r="F7" s="460">
        <v>0.87</v>
      </c>
      <c r="G7" s="465" t="s">
        <v>1083</v>
      </c>
      <c r="H7" s="466">
        <v>0</v>
      </c>
    </row>
    <row r="8" spans="1:8" ht="22.5" customHeight="1">
      <c r="A8" s="45"/>
      <c r="B8" s="45"/>
      <c r="C8" s="45"/>
      <c r="D8" s="45"/>
      <c r="E8" s="459" t="s">
        <v>1419</v>
      </c>
      <c r="F8" s="460">
        <v>1</v>
      </c>
    </row>
    <row r="9" spans="1:8" ht="22.5" customHeight="1">
      <c r="A9" s="45"/>
      <c r="B9" s="45"/>
      <c r="C9" s="45"/>
      <c r="D9" s="45"/>
      <c r="E9" s="459" t="s">
        <v>1420</v>
      </c>
      <c r="F9" s="460">
        <v>0.87</v>
      </c>
    </row>
    <row r="10" spans="1:8" ht="22.5" customHeight="1">
      <c r="A10" s="45"/>
      <c r="B10" s="45"/>
      <c r="C10" s="45"/>
      <c r="D10" s="45"/>
      <c r="E10" s="459" t="s">
        <v>1421</v>
      </c>
      <c r="F10" s="460">
        <v>0.87</v>
      </c>
    </row>
    <row r="11" spans="1:8" ht="22.5">
      <c r="A11" s="45"/>
      <c r="B11" s="45"/>
      <c r="C11" s="45"/>
      <c r="D11" s="45"/>
      <c r="E11" s="467" t="s">
        <v>1422</v>
      </c>
      <c r="F11" s="468">
        <v>0</v>
      </c>
    </row>
    <row r="13" spans="1:8" ht="30" customHeight="1">
      <c r="A13" s="712" t="s">
        <v>1358</v>
      </c>
      <c r="B13" s="633"/>
      <c r="C13" s="719" t="s">
        <v>1359</v>
      </c>
      <c r="D13" s="633"/>
      <c r="E13" s="720" t="s">
        <v>1360</v>
      </c>
      <c r="F13" s="633"/>
      <c r="G13" s="721" t="s">
        <v>1361</v>
      </c>
      <c r="H13" s="633"/>
    </row>
    <row r="14" spans="1:8" ht="22.5">
      <c r="A14" s="455" t="s">
        <v>1371</v>
      </c>
      <c r="B14" s="456">
        <v>1</v>
      </c>
      <c r="C14" s="449" t="s">
        <v>1381</v>
      </c>
      <c r="D14" s="469">
        <v>0</v>
      </c>
      <c r="E14" s="451" t="s">
        <v>1385</v>
      </c>
      <c r="F14" s="452">
        <v>0.50339999999999996</v>
      </c>
      <c r="G14" s="461" t="s">
        <v>1389</v>
      </c>
      <c r="H14" s="462">
        <v>0.61219999999999997</v>
      </c>
    </row>
    <row r="15" spans="1:8" ht="22.5" customHeight="1">
      <c r="A15" s="455" t="s">
        <v>1372</v>
      </c>
      <c r="B15" s="456">
        <v>0</v>
      </c>
      <c r="C15" s="470" t="s">
        <v>1382</v>
      </c>
      <c r="D15" s="471">
        <v>0</v>
      </c>
      <c r="E15" s="459" t="s">
        <v>1438</v>
      </c>
      <c r="F15" s="460">
        <v>0</v>
      </c>
      <c r="G15" s="472" t="s">
        <v>1390</v>
      </c>
      <c r="H15" s="473">
        <v>1</v>
      </c>
    </row>
    <row r="16" spans="1:8" ht="22.5" customHeight="1">
      <c r="A16" s="455" t="s">
        <v>1373</v>
      </c>
      <c r="B16" s="456">
        <v>0</v>
      </c>
      <c r="C16" s="470" t="s">
        <v>958</v>
      </c>
      <c r="D16" s="471">
        <v>0</v>
      </c>
      <c r="E16" s="459" t="s">
        <v>1387</v>
      </c>
      <c r="F16" s="460">
        <v>6.1199999999999997E-2</v>
      </c>
      <c r="G16" s="474" t="s">
        <v>1391</v>
      </c>
      <c r="H16" s="475">
        <v>0</v>
      </c>
    </row>
    <row r="17" spans="1:8" ht="22.5">
      <c r="A17" s="455" t="s">
        <v>1374</v>
      </c>
      <c r="B17" s="456">
        <v>0</v>
      </c>
      <c r="C17" s="470" t="s">
        <v>1439</v>
      </c>
      <c r="D17" s="471">
        <v>8.1600000000000006E-2</v>
      </c>
      <c r="E17" s="467" t="s">
        <v>1388</v>
      </c>
      <c r="F17" s="468">
        <v>0.93869999999999998</v>
      </c>
      <c r="G17" s="45"/>
      <c r="H17" s="45"/>
    </row>
    <row r="18" spans="1:8" ht="22.5">
      <c r="A18" s="455" t="s">
        <v>1375</v>
      </c>
      <c r="B18" s="456">
        <v>0</v>
      </c>
      <c r="C18" s="457" t="s">
        <v>1384</v>
      </c>
      <c r="D18" s="476">
        <v>0</v>
      </c>
      <c r="E18" s="45"/>
      <c r="F18" s="45"/>
      <c r="G18" s="45"/>
      <c r="H18" s="45"/>
    </row>
    <row r="19" spans="1:8" ht="22.5" customHeight="1">
      <c r="A19" s="455" t="s">
        <v>1440</v>
      </c>
      <c r="B19" s="456">
        <v>0.5</v>
      </c>
      <c r="C19" s="45"/>
      <c r="D19" s="45"/>
      <c r="E19" s="45"/>
      <c r="F19" s="45"/>
      <c r="G19" s="45"/>
      <c r="H19" s="45"/>
    </row>
    <row r="20" spans="1:8" ht="22.5" customHeight="1">
      <c r="A20" s="455" t="s">
        <v>1377</v>
      </c>
      <c r="B20" s="456">
        <v>0</v>
      </c>
      <c r="C20" s="45"/>
      <c r="D20" s="45"/>
      <c r="E20" s="45"/>
      <c r="F20" s="45"/>
      <c r="G20" s="45"/>
      <c r="H20" s="45"/>
    </row>
    <row r="21" spans="1:8" ht="15.75" customHeight="1">
      <c r="A21" s="455" t="s">
        <v>1441</v>
      </c>
      <c r="B21" s="456">
        <v>0</v>
      </c>
      <c r="C21" s="45"/>
      <c r="D21" s="45"/>
      <c r="E21" s="45"/>
      <c r="F21" s="45"/>
      <c r="G21" s="45"/>
      <c r="H21" s="45"/>
    </row>
    <row r="22" spans="1:8" ht="15.75" customHeight="1">
      <c r="A22" s="455" t="s">
        <v>1379</v>
      </c>
      <c r="B22" s="456">
        <v>0</v>
      </c>
      <c r="C22" s="45"/>
      <c r="D22" s="45"/>
      <c r="E22" s="45"/>
      <c r="F22" s="45"/>
      <c r="G22" s="45"/>
      <c r="H22" s="45"/>
    </row>
    <row r="23" spans="1:8" ht="15.75" customHeight="1">
      <c r="A23" s="463" t="s">
        <v>1442</v>
      </c>
      <c r="B23" s="464">
        <v>0</v>
      </c>
      <c r="C23" s="45"/>
      <c r="D23" s="45"/>
      <c r="E23" s="45"/>
      <c r="F23" s="45"/>
      <c r="G23" s="45"/>
      <c r="H23" s="45"/>
    </row>
    <row r="24" spans="1:8" ht="15.75" customHeight="1">
      <c r="C24" s="45"/>
      <c r="D24" s="45"/>
      <c r="E24" s="45"/>
      <c r="F24" s="45"/>
      <c r="G24" s="45"/>
      <c r="H24" s="45"/>
    </row>
    <row r="25" spans="1:8" ht="15.75" customHeight="1">
      <c r="C25" s="45"/>
      <c r="D25" s="45"/>
      <c r="E25" s="45"/>
      <c r="F25" s="45"/>
      <c r="G25" s="45"/>
      <c r="H25" s="45"/>
    </row>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8">
    <mergeCell ref="A1:B1"/>
    <mergeCell ref="C1:D1"/>
    <mergeCell ref="E1:F1"/>
    <mergeCell ref="G1:H1"/>
    <mergeCell ref="A13:B13"/>
    <mergeCell ref="C13:D13"/>
    <mergeCell ref="E13:F13"/>
    <mergeCell ref="G13:H13"/>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11"/>
  <sheetViews>
    <sheetView workbookViewId="0"/>
  </sheetViews>
  <sheetFormatPr baseColWidth="10" defaultColWidth="14.42578125" defaultRowHeight="15" customHeight="1"/>
  <cols>
    <col min="1" max="15" width="10.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sheetData>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4.42578125" defaultRowHeight="15" customHeight="1"/>
  <cols>
    <col min="1" max="1" width="25.5703125" customWidth="1"/>
    <col min="2" max="5" width="43.5703125" customWidth="1"/>
    <col min="6" max="11" width="10.7109375" customWidth="1"/>
  </cols>
  <sheetData>
    <row r="1" spans="1:11">
      <c r="A1" s="733" t="s">
        <v>1443</v>
      </c>
      <c r="B1" s="512"/>
      <c r="C1" s="512"/>
      <c r="D1" s="512"/>
      <c r="E1" s="510"/>
      <c r="F1" s="477"/>
      <c r="G1" s="477"/>
      <c r="H1" s="478"/>
      <c r="I1" s="478"/>
      <c r="J1" s="478"/>
      <c r="K1" s="478"/>
    </row>
    <row r="2" spans="1:11">
      <c r="A2" s="479" t="s">
        <v>1444</v>
      </c>
      <c r="B2" s="479" t="s">
        <v>1445</v>
      </c>
      <c r="C2" s="479" t="s">
        <v>1446</v>
      </c>
      <c r="D2" s="479" t="s">
        <v>1447</v>
      </c>
      <c r="E2" s="479" t="s">
        <v>1448</v>
      </c>
      <c r="F2" s="477"/>
      <c r="G2" s="477"/>
      <c r="H2" s="478"/>
      <c r="I2" s="478"/>
      <c r="J2" s="478"/>
      <c r="K2" s="478"/>
    </row>
    <row r="3" spans="1:11" ht="171">
      <c r="A3" s="734" t="s">
        <v>1449</v>
      </c>
      <c r="B3" s="480" t="s">
        <v>1450</v>
      </c>
      <c r="C3" s="480" t="s">
        <v>1451</v>
      </c>
      <c r="D3" s="480" t="s">
        <v>1452</v>
      </c>
      <c r="E3" s="480" t="s">
        <v>1453</v>
      </c>
      <c r="F3" s="477"/>
      <c r="G3" s="477"/>
      <c r="H3" s="478"/>
      <c r="I3" s="478"/>
      <c r="J3" s="478"/>
      <c r="K3" s="478"/>
    </row>
    <row r="4" spans="1:11" ht="164.25" customHeight="1">
      <c r="A4" s="524"/>
      <c r="B4" s="481" t="s">
        <v>1454</v>
      </c>
      <c r="C4" s="481" t="s">
        <v>1455</v>
      </c>
      <c r="D4" s="481" t="s">
        <v>1456</v>
      </c>
      <c r="E4" s="481" t="s">
        <v>1457</v>
      </c>
      <c r="F4" s="477"/>
      <c r="G4" s="477"/>
      <c r="H4" s="478"/>
      <c r="I4" s="478"/>
      <c r="J4" s="478"/>
      <c r="K4" s="478"/>
    </row>
    <row r="5" spans="1:11" ht="313.5">
      <c r="A5" s="524"/>
      <c r="B5" s="481" t="s">
        <v>1458</v>
      </c>
      <c r="C5" s="481" t="s">
        <v>1459</v>
      </c>
      <c r="D5" s="481" t="s">
        <v>1460</v>
      </c>
      <c r="E5" s="481" t="s">
        <v>1461</v>
      </c>
      <c r="F5" s="477"/>
      <c r="G5" s="477"/>
      <c r="H5" s="478"/>
      <c r="I5" s="478"/>
      <c r="J5" s="478"/>
      <c r="K5" s="478"/>
    </row>
    <row r="6" spans="1:11" ht="156.75">
      <c r="A6" s="524"/>
      <c r="B6" s="481" t="s">
        <v>1462</v>
      </c>
      <c r="C6" s="481" t="s">
        <v>1463</v>
      </c>
      <c r="D6" s="481" t="s">
        <v>1464</v>
      </c>
      <c r="E6" s="481" t="s">
        <v>1465</v>
      </c>
      <c r="F6" s="477"/>
      <c r="G6" s="477"/>
      <c r="H6" s="478"/>
      <c r="I6" s="478"/>
      <c r="J6" s="478"/>
      <c r="K6" s="478"/>
    </row>
    <row r="7" spans="1:11" ht="261.75" customHeight="1">
      <c r="A7" s="524"/>
      <c r="B7" s="481" t="s">
        <v>1466</v>
      </c>
      <c r="C7" s="481" t="s">
        <v>1467</v>
      </c>
      <c r="D7" s="481" t="s">
        <v>1468</v>
      </c>
      <c r="E7" s="481" t="s">
        <v>1469</v>
      </c>
      <c r="F7" s="477"/>
      <c r="G7" s="477"/>
      <c r="H7" s="478"/>
      <c r="I7" s="478"/>
      <c r="J7" s="478"/>
      <c r="K7" s="478"/>
    </row>
    <row r="8" spans="1:11" ht="114">
      <c r="A8" s="524"/>
      <c r="B8" s="481" t="s">
        <v>1470</v>
      </c>
      <c r="C8" s="481" t="s">
        <v>1471</v>
      </c>
      <c r="D8" s="481" t="s">
        <v>1472</v>
      </c>
      <c r="E8" s="481" t="s">
        <v>1473</v>
      </c>
      <c r="F8" s="477"/>
      <c r="G8" s="477"/>
      <c r="H8" s="478"/>
      <c r="I8" s="478"/>
      <c r="J8" s="478"/>
      <c r="K8" s="478"/>
    </row>
    <row r="9" spans="1:11" ht="126" customHeight="1">
      <c r="A9" s="524"/>
      <c r="B9" s="482" t="s">
        <v>1474</v>
      </c>
      <c r="C9" s="481" t="s">
        <v>1475</v>
      </c>
      <c r="D9" s="481" t="s">
        <v>1476</v>
      </c>
      <c r="E9" s="481" t="s">
        <v>1477</v>
      </c>
      <c r="F9" s="477"/>
      <c r="G9" s="477"/>
      <c r="H9" s="478"/>
      <c r="I9" s="478"/>
      <c r="J9" s="478"/>
      <c r="K9" s="478"/>
    </row>
    <row r="10" spans="1:11" ht="85.5">
      <c r="A10" s="581"/>
      <c r="B10" s="482" t="s">
        <v>1478</v>
      </c>
      <c r="C10" s="481" t="s">
        <v>1479</v>
      </c>
      <c r="D10" s="481" t="s">
        <v>1480</v>
      </c>
      <c r="E10" s="481" t="s">
        <v>1477</v>
      </c>
      <c r="F10" s="477"/>
      <c r="G10" s="477"/>
      <c r="H10" s="478"/>
      <c r="I10" s="478"/>
      <c r="J10" s="478"/>
      <c r="K10" s="478"/>
    </row>
    <row r="11" spans="1:11" ht="193.5" customHeight="1">
      <c r="A11" s="735" t="s">
        <v>1481</v>
      </c>
      <c r="B11" s="736" t="s">
        <v>1482</v>
      </c>
      <c r="C11" s="737" t="s">
        <v>1483</v>
      </c>
      <c r="D11" s="483" t="s">
        <v>1484</v>
      </c>
      <c r="E11" s="736" t="s">
        <v>1485</v>
      </c>
      <c r="F11" s="484"/>
      <c r="G11" s="484"/>
      <c r="H11" s="484"/>
      <c r="I11" s="484"/>
      <c r="J11" s="484"/>
      <c r="K11" s="484"/>
    </row>
    <row r="12" spans="1:11" ht="409.5" customHeight="1">
      <c r="A12" s="695"/>
      <c r="B12" s="525"/>
      <c r="C12" s="525"/>
      <c r="D12" s="483" t="s">
        <v>1486</v>
      </c>
      <c r="E12" s="525"/>
      <c r="F12" s="484"/>
      <c r="G12" s="484"/>
      <c r="H12" s="484"/>
      <c r="I12" s="484"/>
      <c r="J12" s="484"/>
      <c r="K12" s="484"/>
    </row>
    <row r="13" spans="1:11" ht="72" customHeight="1">
      <c r="A13" s="731" t="s">
        <v>1487</v>
      </c>
      <c r="B13" s="485" t="s">
        <v>1488</v>
      </c>
      <c r="C13" s="486" t="s">
        <v>1489</v>
      </c>
      <c r="D13" s="481" t="s">
        <v>1490</v>
      </c>
      <c r="E13" s="481" t="s">
        <v>1491</v>
      </c>
      <c r="F13" s="477"/>
      <c r="G13" s="477"/>
      <c r="H13" s="478"/>
      <c r="I13" s="478"/>
      <c r="J13" s="478"/>
      <c r="K13" s="478"/>
    </row>
    <row r="14" spans="1:11" ht="47.25" customHeight="1">
      <c r="A14" s="525"/>
      <c r="B14" s="481" t="s">
        <v>1492</v>
      </c>
      <c r="C14" s="486"/>
      <c r="D14" s="481"/>
      <c r="E14" s="487"/>
      <c r="F14" s="478"/>
      <c r="G14" s="478"/>
      <c r="H14" s="478"/>
      <c r="I14" s="478"/>
      <c r="J14" s="478"/>
      <c r="K14" s="478"/>
    </row>
    <row r="15" spans="1:11" ht="67.5" customHeight="1">
      <c r="A15" s="732" t="s">
        <v>1493</v>
      </c>
      <c r="B15" s="488" t="s">
        <v>1494</v>
      </c>
      <c r="C15" s="489" t="s">
        <v>1495</v>
      </c>
      <c r="D15" s="489" t="s">
        <v>1496</v>
      </c>
      <c r="E15" s="489" t="s">
        <v>1497</v>
      </c>
      <c r="F15" s="478"/>
      <c r="G15" s="478"/>
      <c r="H15" s="478"/>
      <c r="I15" s="478"/>
      <c r="J15" s="478"/>
      <c r="K15" s="478"/>
    </row>
    <row r="16" spans="1:11" ht="250.5" customHeight="1">
      <c r="A16" s="524"/>
      <c r="B16" s="489" t="s">
        <v>1498</v>
      </c>
      <c r="C16" s="490" t="s">
        <v>1499</v>
      </c>
      <c r="D16" s="489" t="s">
        <v>1500</v>
      </c>
      <c r="E16" s="489" t="s">
        <v>1501</v>
      </c>
      <c r="F16" s="478"/>
      <c r="G16" s="478"/>
      <c r="H16" s="478"/>
      <c r="I16" s="478"/>
      <c r="J16" s="478"/>
      <c r="K16" s="478"/>
    </row>
    <row r="17" spans="1:11" ht="41.25" customHeight="1">
      <c r="A17" s="524"/>
      <c r="B17" s="489" t="s">
        <v>1502</v>
      </c>
      <c r="C17" s="489" t="s">
        <v>1503</v>
      </c>
      <c r="D17" s="489" t="s">
        <v>1500</v>
      </c>
      <c r="E17" s="489" t="s">
        <v>1504</v>
      </c>
      <c r="F17" s="478"/>
      <c r="G17" s="478"/>
      <c r="H17" s="478"/>
      <c r="I17" s="478"/>
      <c r="J17" s="478"/>
      <c r="K17" s="478"/>
    </row>
    <row r="18" spans="1:11" ht="117.75" customHeight="1">
      <c r="A18" s="524"/>
      <c r="B18" s="489" t="s">
        <v>1505</v>
      </c>
      <c r="C18" s="489" t="s">
        <v>1506</v>
      </c>
      <c r="D18" s="489" t="s">
        <v>1507</v>
      </c>
      <c r="E18" s="489" t="s">
        <v>1508</v>
      </c>
      <c r="F18" s="478"/>
      <c r="G18" s="478"/>
      <c r="H18" s="478"/>
      <c r="I18" s="478"/>
      <c r="J18" s="478"/>
      <c r="K18" s="478"/>
    </row>
    <row r="19" spans="1:11" ht="150" customHeight="1">
      <c r="A19" s="525"/>
      <c r="B19" s="489" t="s">
        <v>1509</v>
      </c>
      <c r="C19" s="489" t="s">
        <v>1510</v>
      </c>
      <c r="D19" s="489" t="s">
        <v>1507</v>
      </c>
      <c r="E19" s="489" t="s">
        <v>1511</v>
      </c>
      <c r="F19" s="478"/>
      <c r="G19" s="478"/>
      <c r="H19" s="478"/>
      <c r="I19" s="478"/>
      <c r="J19" s="478"/>
      <c r="K19" s="478"/>
    </row>
    <row r="20" spans="1:11">
      <c r="A20" s="491"/>
    </row>
    <row r="21" spans="1:11" ht="15.75" customHeight="1">
      <c r="A21" s="491"/>
    </row>
    <row r="22" spans="1:11" ht="15.75" customHeight="1">
      <c r="A22" s="491"/>
    </row>
    <row r="23" spans="1:11" ht="15.75" customHeight="1">
      <c r="A23" s="491"/>
    </row>
    <row r="24" spans="1:11" ht="15.75" customHeight="1">
      <c r="A24" s="491"/>
    </row>
    <row r="25" spans="1:11" ht="15.75" customHeight="1">
      <c r="A25" s="491"/>
    </row>
    <row r="26" spans="1:11" ht="15.75" customHeight="1">
      <c r="A26" s="491"/>
    </row>
    <row r="27" spans="1:11" ht="15.75" customHeight="1">
      <c r="A27" s="491"/>
    </row>
    <row r="28" spans="1:11" ht="15.75" customHeight="1">
      <c r="A28" s="491"/>
    </row>
    <row r="29" spans="1:11" ht="15.75" customHeight="1">
      <c r="A29" s="491"/>
    </row>
    <row r="30" spans="1:11" ht="15.75" customHeight="1">
      <c r="A30" s="491"/>
    </row>
    <row r="31" spans="1:11" ht="15.75" customHeight="1">
      <c r="A31" s="491"/>
    </row>
    <row r="32" spans="1:11" ht="15.75" customHeight="1">
      <c r="A32" s="491"/>
    </row>
    <row r="33" spans="1:1" ht="15.75" customHeight="1">
      <c r="A33" s="491"/>
    </row>
    <row r="34" spans="1:1" ht="15.75" customHeight="1">
      <c r="A34" s="491"/>
    </row>
    <row r="35" spans="1:1" ht="15.75" customHeight="1">
      <c r="A35" s="491"/>
    </row>
    <row r="36" spans="1:1" ht="15.75" customHeight="1">
      <c r="A36" s="491"/>
    </row>
    <row r="37" spans="1:1" ht="15.75" customHeight="1">
      <c r="A37" s="491"/>
    </row>
    <row r="38" spans="1:1" ht="15.75" customHeight="1">
      <c r="A38" s="491"/>
    </row>
    <row r="39" spans="1:1" ht="15.75" customHeight="1">
      <c r="A39" s="491"/>
    </row>
    <row r="40" spans="1:1" ht="15.75" customHeight="1">
      <c r="A40" s="491"/>
    </row>
    <row r="41" spans="1:1" ht="15.75" customHeight="1">
      <c r="A41" s="491"/>
    </row>
    <row r="42" spans="1:1" ht="15.75" customHeight="1">
      <c r="A42" s="491"/>
    </row>
    <row r="43" spans="1:1" ht="15.75" customHeight="1">
      <c r="A43" s="491"/>
    </row>
    <row r="44" spans="1:1" ht="15.75" customHeight="1">
      <c r="A44" s="491"/>
    </row>
    <row r="45" spans="1:1" ht="15.75" customHeight="1">
      <c r="A45" s="491"/>
    </row>
    <row r="46" spans="1:1" ht="15.75" customHeight="1">
      <c r="A46" s="491"/>
    </row>
    <row r="47" spans="1:1" ht="15.75" customHeight="1">
      <c r="A47" s="491"/>
    </row>
    <row r="48" spans="1:1" ht="15.75" customHeight="1">
      <c r="A48" s="491"/>
    </row>
    <row r="49" spans="1:1" ht="15.75" customHeight="1">
      <c r="A49" s="491"/>
    </row>
    <row r="50" spans="1:1" ht="15.75" customHeight="1">
      <c r="A50" s="491"/>
    </row>
    <row r="51" spans="1:1" ht="15.75" customHeight="1">
      <c r="A51" s="491"/>
    </row>
    <row r="52" spans="1:1" ht="15.75" customHeight="1">
      <c r="A52" s="491"/>
    </row>
    <row r="53" spans="1:1" ht="15.75" customHeight="1">
      <c r="A53" s="491"/>
    </row>
    <row r="54" spans="1:1" ht="15.75" customHeight="1">
      <c r="A54" s="491"/>
    </row>
    <row r="55" spans="1:1" ht="15.75" customHeight="1">
      <c r="A55" s="491"/>
    </row>
    <row r="56" spans="1:1" ht="15.75" customHeight="1">
      <c r="A56" s="491"/>
    </row>
    <row r="57" spans="1:1" ht="15.75" customHeight="1">
      <c r="A57" s="491"/>
    </row>
    <row r="58" spans="1:1" ht="15.75" customHeight="1">
      <c r="A58" s="491"/>
    </row>
    <row r="59" spans="1:1" ht="15.75" customHeight="1">
      <c r="A59" s="491"/>
    </row>
    <row r="60" spans="1:1" ht="15.75" customHeight="1">
      <c r="A60" s="491"/>
    </row>
    <row r="61" spans="1:1" ht="15.75" customHeight="1">
      <c r="A61" s="491"/>
    </row>
    <row r="62" spans="1:1" ht="15.75" customHeight="1">
      <c r="A62" s="491"/>
    </row>
    <row r="63" spans="1:1" ht="15.75" customHeight="1">
      <c r="A63" s="491"/>
    </row>
    <row r="64" spans="1:1" ht="15.75" customHeight="1">
      <c r="A64" s="491"/>
    </row>
    <row r="65" spans="1:1" ht="15.75" customHeight="1">
      <c r="A65" s="491"/>
    </row>
    <row r="66" spans="1:1" ht="15.75" customHeight="1">
      <c r="A66" s="491"/>
    </row>
    <row r="67" spans="1:1" ht="15.75" customHeight="1">
      <c r="A67" s="491"/>
    </row>
    <row r="68" spans="1:1" ht="15.75" customHeight="1">
      <c r="A68" s="491"/>
    </row>
    <row r="69" spans="1:1" ht="15.75" customHeight="1">
      <c r="A69" s="491"/>
    </row>
    <row r="70" spans="1:1" ht="15.75" customHeight="1">
      <c r="A70" s="491"/>
    </row>
    <row r="71" spans="1:1" ht="15.75" customHeight="1">
      <c r="A71" s="491"/>
    </row>
    <row r="72" spans="1:1" ht="15.75" customHeight="1">
      <c r="A72" s="491"/>
    </row>
    <row r="73" spans="1:1" ht="15.75" customHeight="1">
      <c r="A73" s="491"/>
    </row>
    <row r="74" spans="1:1" ht="15.75" customHeight="1">
      <c r="A74" s="491"/>
    </row>
    <row r="75" spans="1:1" ht="15.75" customHeight="1">
      <c r="A75" s="491"/>
    </row>
    <row r="76" spans="1:1" ht="15.75" customHeight="1">
      <c r="A76" s="491"/>
    </row>
    <row r="77" spans="1:1" ht="15.75" customHeight="1">
      <c r="A77" s="491"/>
    </row>
    <row r="78" spans="1:1" ht="15.75" customHeight="1">
      <c r="A78" s="491"/>
    </row>
    <row r="79" spans="1:1" ht="15.75" customHeight="1">
      <c r="A79" s="491"/>
    </row>
    <row r="80" spans="1:1" ht="15.75" customHeight="1">
      <c r="A80" s="491"/>
    </row>
    <row r="81" spans="1:1" ht="15.75" customHeight="1">
      <c r="A81" s="491"/>
    </row>
    <row r="82" spans="1:1" ht="15.75" customHeight="1">
      <c r="A82" s="491"/>
    </row>
    <row r="83" spans="1:1" ht="15.75" customHeight="1">
      <c r="A83" s="491"/>
    </row>
    <row r="84" spans="1:1" ht="15.75" customHeight="1">
      <c r="A84" s="491"/>
    </row>
    <row r="85" spans="1:1" ht="15.75" customHeight="1">
      <c r="A85" s="491"/>
    </row>
    <row r="86" spans="1:1" ht="15.75" customHeight="1">
      <c r="A86" s="491"/>
    </row>
    <row r="87" spans="1:1" ht="15.75" customHeight="1">
      <c r="A87" s="491"/>
    </row>
    <row r="88" spans="1:1" ht="15.75" customHeight="1">
      <c r="A88" s="491"/>
    </row>
    <row r="89" spans="1:1" ht="15.75" customHeight="1">
      <c r="A89" s="491"/>
    </row>
    <row r="90" spans="1:1" ht="15.75" customHeight="1">
      <c r="A90" s="491"/>
    </row>
    <row r="91" spans="1:1" ht="15.75" customHeight="1">
      <c r="A91" s="491"/>
    </row>
    <row r="92" spans="1:1" ht="15.75" customHeight="1">
      <c r="A92" s="491"/>
    </row>
    <row r="93" spans="1:1" ht="15.75" customHeight="1">
      <c r="A93" s="491"/>
    </row>
    <row r="94" spans="1:1" ht="15.75" customHeight="1">
      <c r="A94" s="491"/>
    </row>
    <row r="95" spans="1:1" ht="15.75" customHeight="1">
      <c r="A95" s="491"/>
    </row>
    <row r="96" spans="1:1" ht="15.75" customHeight="1">
      <c r="A96" s="491"/>
    </row>
    <row r="97" spans="1:1" ht="15.75" customHeight="1">
      <c r="A97" s="491"/>
    </row>
    <row r="98" spans="1:1" ht="15.75" customHeight="1">
      <c r="A98" s="491"/>
    </row>
    <row r="99" spans="1:1" ht="15.75" customHeight="1">
      <c r="A99" s="491"/>
    </row>
    <row r="100" spans="1:1" ht="15.75" customHeight="1">
      <c r="A100" s="491"/>
    </row>
  </sheetData>
  <mergeCells count="8">
    <mergeCell ref="A13:A14"/>
    <mergeCell ref="A15:A19"/>
    <mergeCell ref="A1:E1"/>
    <mergeCell ref="A3:A10"/>
    <mergeCell ref="A11:A12"/>
    <mergeCell ref="B11:B12"/>
    <mergeCell ref="C11:C12"/>
    <mergeCell ref="E11:E12"/>
  </mergeCells>
  <pageMargins left="0.25" right="0.25" top="0.75" bottom="0.75" header="0" footer="0"/>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
  <sheetViews>
    <sheetView showGridLines="0" workbookViewId="0">
      <pane ySplit="1" topLeftCell="A2" activePane="bottomLeft" state="frozen"/>
      <selection pane="bottomLeft" activeCell="B3" sqref="B3"/>
    </sheetView>
  </sheetViews>
  <sheetFormatPr baseColWidth="10" defaultColWidth="14.42578125" defaultRowHeight="15" customHeight="1"/>
  <cols>
    <col min="1" max="6" width="43.5703125" customWidth="1"/>
    <col min="7" max="26" width="11.5703125" customWidth="1"/>
  </cols>
  <sheetData>
    <row r="1" spans="1:26" ht="12.75" customHeight="1">
      <c r="A1" s="492" t="s">
        <v>1512</v>
      </c>
      <c r="B1" s="493" t="s">
        <v>1513</v>
      </c>
      <c r="C1" s="493" t="s">
        <v>1514</v>
      </c>
      <c r="D1" s="493" t="s">
        <v>1515</v>
      </c>
      <c r="E1" s="493" t="s">
        <v>1516</v>
      </c>
      <c r="F1" s="494" t="s">
        <v>1517</v>
      </c>
      <c r="G1" s="495"/>
      <c r="H1" s="495"/>
      <c r="I1" s="495"/>
      <c r="J1" s="495"/>
      <c r="K1" s="495"/>
      <c r="L1" s="495"/>
      <c r="M1" s="495"/>
      <c r="N1" s="495"/>
      <c r="O1" s="495"/>
      <c r="P1" s="495"/>
      <c r="Q1" s="495"/>
      <c r="R1" s="495"/>
      <c r="S1" s="495"/>
      <c r="T1" s="495"/>
      <c r="U1" s="495"/>
      <c r="V1" s="495"/>
      <c r="W1" s="495"/>
      <c r="X1" s="495"/>
      <c r="Y1" s="495"/>
      <c r="Z1" s="495"/>
    </row>
    <row r="2" spans="1:26" ht="213" customHeight="1">
      <c r="A2" s="496" t="s">
        <v>1518</v>
      </c>
      <c r="B2" s="497" t="s">
        <v>1519</v>
      </c>
      <c r="C2" s="496" t="s">
        <v>1520</v>
      </c>
      <c r="D2" s="496" t="s">
        <v>1521</v>
      </c>
      <c r="E2" s="496" t="s">
        <v>1522</v>
      </c>
      <c r="F2" s="498" t="s">
        <v>1523</v>
      </c>
      <c r="G2" s="495"/>
      <c r="H2" s="495"/>
      <c r="I2" s="495"/>
      <c r="J2" s="495"/>
      <c r="K2" s="495"/>
      <c r="L2" s="495"/>
      <c r="M2" s="495"/>
      <c r="N2" s="495"/>
      <c r="O2" s="495"/>
      <c r="P2" s="495"/>
      <c r="Q2" s="495"/>
      <c r="R2" s="495"/>
      <c r="S2" s="495"/>
      <c r="T2" s="495"/>
      <c r="U2" s="495"/>
      <c r="V2" s="495"/>
      <c r="W2" s="495"/>
      <c r="X2" s="495"/>
      <c r="Y2" s="495"/>
      <c r="Z2" s="495"/>
    </row>
    <row r="3" spans="1:26" ht="12.75" customHeight="1">
      <c r="A3" s="496" t="s">
        <v>1454</v>
      </c>
      <c r="B3" s="496" t="s">
        <v>1524</v>
      </c>
      <c r="C3" s="496" t="s">
        <v>1525</v>
      </c>
      <c r="D3" s="496" t="s">
        <v>1526</v>
      </c>
      <c r="E3" s="496" t="s">
        <v>1527</v>
      </c>
      <c r="F3" s="496" t="s">
        <v>1528</v>
      </c>
      <c r="G3" s="495"/>
      <c r="H3" s="495"/>
      <c r="I3" s="495"/>
      <c r="J3" s="495"/>
      <c r="K3" s="495"/>
      <c r="L3" s="495"/>
      <c r="M3" s="495"/>
      <c r="N3" s="495"/>
      <c r="O3" s="495"/>
      <c r="P3" s="495"/>
      <c r="Q3" s="495"/>
      <c r="R3" s="495"/>
      <c r="S3" s="495"/>
      <c r="T3" s="495"/>
      <c r="U3" s="495"/>
      <c r="V3" s="495"/>
      <c r="W3" s="495"/>
      <c r="X3" s="495"/>
      <c r="Y3" s="495"/>
      <c r="Z3" s="495"/>
    </row>
    <row r="4" spans="1:26" ht="125.25" customHeight="1">
      <c r="A4" s="496" t="s">
        <v>1529</v>
      </c>
      <c r="B4" s="496" t="s">
        <v>1530</v>
      </c>
      <c r="C4" s="496" t="s">
        <v>1531</v>
      </c>
      <c r="D4" s="496" t="s">
        <v>1532</v>
      </c>
      <c r="E4" s="496" t="s">
        <v>1533</v>
      </c>
      <c r="F4" s="496" t="s">
        <v>1534</v>
      </c>
      <c r="G4" s="495"/>
      <c r="H4" s="495"/>
      <c r="I4" s="495"/>
      <c r="J4" s="495"/>
      <c r="K4" s="495"/>
      <c r="L4" s="495"/>
      <c r="M4" s="495"/>
      <c r="N4" s="495"/>
      <c r="O4" s="495"/>
      <c r="P4" s="495"/>
      <c r="Q4" s="495"/>
      <c r="R4" s="495"/>
      <c r="S4" s="495"/>
      <c r="T4" s="495"/>
      <c r="U4" s="495"/>
      <c r="V4" s="495"/>
      <c r="W4" s="495"/>
      <c r="X4" s="495"/>
      <c r="Y4" s="495"/>
      <c r="Z4" s="495"/>
    </row>
    <row r="5" spans="1:26" ht="109.5" customHeight="1">
      <c r="A5" s="499" t="s">
        <v>1462</v>
      </c>
      <c r="B5" s="499" t="s">
        <v>1535</v>
      </c>
      <c r="C5" s="499" t="s">
        <v>1536</v>
      </c>
      <c r="D5" s="499" t="s">
        <v>1537</v>
      </c>
      <c r="E5" s="499" t="s">
        <v>1538</v>
      </c>
      <c r="F5" s="499" t="s">
        <v>1539</v>
      </c>
      <c r="G5" s="495"/>
      <c r="H5" s="495"/>
      <c r="I5" s="495"/>
      <c r="J5" s="495"/>
      <c r="K5" s="495"/>
      <c r="L5" s="495"/>
      <c r="M5" s="495"/>
      <c r="N5" s="495"/>
      <c r="O5" s="495"/>
      <c r="P5" s="495"/>
      <c r="Q5" s="495"/>
      <c r="R5" s="495"/>
      <c r="S5" s="495"/>
      <c r="T5" s="495"/>
      <c r="U5" s="495"/>
      <c r="V5" s="495"/>
      <c r="W5" s="495"/>
      <c r="X5" s="495"/>
      <c r="Y5" s="495"/>
      <c r="Z5" s="495"/>
    </row>
    <row r="6" spans="1:26" ht="75" customHeight="1">
      <c r="A6" s="500" t="s">
        <v>1466</v>
      </c>
      <c r="B6" s="500" t="s">
        <v>1540</v>
      </c>
      <c r="C6" s="500" t="s">
        <v>1541</v>
      </c>
      <c r="D6" s="500" t="s">
        <v>1542</v>
      </c>
      <c r="E6" s="500" t="s">
        <v>1543</v>
      </c>
      <c r="F6" s="500" t="s">
        <v>1544</v>
      </c>
      <c r="G6" s="495"/>
      <c r="H6" s="495"/>
      <c r="I6" s="495"/>
      <c r="J6" s="495"/>
      <c r="K6" s="495"/>
      <c r="L6" s="495"/>
      <c r="M6" s="495"/>
      <c r="N6" s="495"/>
      <c r="O6" s="495"/>
      <c r="P6" s="495"/>
      <c r="Q6" s="495"/>
      <c r="R6" s="495"/>
      <c r="S6" s="495"/>
      <c r="T6" s="495"/>
      <c r="U6" s="495"/>
      <c r="V6" s="495"/>
      <c r="W6" s="495"/>
      <c r="X6" s="495"/>
      <c r="Y6" s="495"/>
      <c r="Z6" s="495"/>
    </row>
    <row r="7" spans="1:26" ht="12.75" customHeight="1">
      <c r="A7" s="496" t="s">
        <v>1470</v>
      </c>
      <c r="B7" s="496" t="s">
        <v>1545</v>
      </c>
      <c r="C7" s="496" t="s">
        <v>1546</v>
      </c>
      <c r="D7" s="496" t="s">
        <v>1547</v>
      </c>
      <c r="E7" s="496" t="s">
        <v>1548</v>
      </c>
      <c r="F7" s="496" t="s">
        <v>1549</v>
      </c>
      <c r="G7" s="495"/>
      <c r="H7" s="495"/>
      <c r="I7" s="495"/>
      <c r="J7" s="495"/>
      <c r="K7" s="495"/>
      <c r="L7" s="495"/>
      <c r="M7" s="495"/>
      <c r="N7" s="495"/>
      <c r="O7" s="495"/>
      <c r="P7" s="495"/>
      <c r="Q7" s="495"/>
      <c r="R7" s="495"/>
      <c r="S7" s="495"/>
      <c r="T7" s="495"/>
      <c r="U7" s="495"/>
      <c r="V7" s="495"/>
      <c r="W7" s="495"/>
      <c r="X7" s="495"/>
      <c r="Y7" s="495"/>
      <c r="Z7" s="495"/>
    </row>
    <row r="8" spans="1:26" ht="96.75" customHeight="1">
      <c r="A8" s="499" t="s">
        <v>1474</v>
      </c>
      <c r="B8" s="499" t="s">
        <v>1550</v>
      </c>
      <c r="C8" s="499" t="s">
        <v>1551</v>
      </c>
      <c r="D8" s="499" t="s">
        <v>1552</v>
      </c>
      <c r="E8" s="499" t="s">
        <v>1553</v>
      </c>
      <c r="F8" s="499" t="s">
        <v>1554</v>
      </c>
      <c r="G8" s="495"/>
      <c r="H8" s="495"/>
      <c r="I8" s="495"/>
      <c r="J8" s="495"/>
      <c r="K8" s="495"/>
      <c r="L8" s="495"/>
      <c r="M8" s="495"/>
      <c r="N8" s="495"/>
      <c r="O8" s="495"/>
      <c r="P8" s="495"/>
      <c r="Q8" s="495"/>
      <c r="R8" s="495"/>
      <c r="S8" s="495"/>
      <c r="T8" s="495"/>
      <c r="U8" s="495"/>
      <c r="V8" s="495"/>
      <c r="W8" s="495"/>
      <c r="X8" s="495"/>
      <c r="Y8" s="495"/>
      <c r="Z8" s="495"/>
    </row>
    <row r="9" spans="1:26" ht="12.75" customHeight="1">
      <c r="A9" s="496" t="s">
        <v>1478</v>
      </c>
      <c r="B9" s="496" t="s">
        <v>1555</v>
      </c>
      <c r="C9" s="496" t="s">
        <v>1556</v>
      </c>
      <c r="D9" s="496" t="s">
        <v>1557</v>
      </c>
      <c r="E9" s="496" t="s">
        <v>1558</v>
      </c>
      <c r="F9" s="496" t="s">
        <v>1559</v>
      </c>
      <c r="G9" s="495"/>
      <c r="H9" s="495"/>
      <c r="I9" s="495"/>
      <c r="J9" s="495"/>
      <c r="K9" s="495"/>
      <c r="L9" s="495"/>
      <c r="M9" s="495"/>
      <c r="N9" s="495"/>
      <c r="O9" s="495"/>
      <c r="P9" s="495"/>
      <c r="Q9" s="495"/>
      <c r="R9" s="495"/>
      <c r="S9" s="495"/>
      <c r="T9" s="495"/>
      <c r="U9" s="495"/>
      <c r="V9" s="495"/>
      <c r="W9" s="495"/>
      <c r="X9" s="495"/>
      <c r="Y9" s="495"/>
      <c r="Z9" s="495"/>
    </row>
    <row r="10" spans="1:26" ht="12.75" customHeight="1">
      <c r="A10" s="739" t="s">
        <v>1560</v>
      </c>
      <c r="B10" s="501" t="s">
        <v>1561</v>
      </c>
      <c r="C10" s="501" t="s">
        <v>1562</v>
      </c>
      <c r="D10" s="501" t="s">
        <v>1563</v>
      </c>
      <c r="E10" s="501" t="s">
        <v>1564</v>
      </c>
      <c r="F10" s="501" t="s">
        <v>1565</v>
      </c>
      <c r="G10" s="502"/>
      <c r="H10" s="502"/>
      <c r="I10" s="502"/>
      <c r="J10" s="502"/>
      <c r="K10" s="502"/>
      <c r="L10" s="502"/>
      <c r="M10" s="502"/>
      <c r="N10" s="502"/>
      <c r="O10" s="502"/>
      <c r="P10" s="502"/>
      <c r="Q10" s="502"/>
      <c r="R10" s="502"/>
      <c r="S10" s="502"/>
      <c r="T10" s="502"/>
      <c r="U10" s="502"/>
      <c r="V10" s="502"/>
      <c r="W10" s="502"/>
      <c r="X10" s="502"/>
      <c r="Y10" s="502"/>
      <c r="Z10" s="502"/>
    </row>
    <row r="11" spans="1:26" ht="12.75" customHeight="1">
      <c r="A11" s="524"/>
      <c r="B11" s="501" t="s">
        <v>1566</v>
      </c>
      <c r="C11" s="738" t="s">
        <v>1567</v>
      </c>
      <c r="D11" s="738" t="s">
        <v>1568</v>
      </c>
      <c r="E11" s="738" t="s">
        <v>1569</v>
      </c>
      <c r="F11" s="144" t="s">
        <v>1570</v>
      </c>
      <c r="G11" s="502"/>
      <c r="H11" s="502"/>
      <c r="I11" s="502"/>
      <c r="J11" s="502"/>
      <c r="K11" s="502"/>
      <c r="L11" s="502"/>
      <c r="M11" s="502"/>
      <c r="N11" s="502"/>
      <c r="O11" s="502"/>
      <c r="P11" s="502"/>
      <c r="Q11" s="502"/>
      <c r="R11" s="502"/>
      <c r="S11" s="502"/>
      <c r="T11" s="502"/>
      <c r="U11" s="502"/>
      <c r="V11" s="502"/>
      <c r="W11" s="502"/>
      <c r="X11" s="502"/>
      <c r="Y11" s="502"/>
      <c r="Z11" s="502"/>
    </row>
    <row r="12" spans="1:26" ht="82.5" customHeight="1">
      <c r="A12" s="524"/>
      <c r="B12" s="501" t="s">
        <v>1571</v>
      </c>
      <c r="C12" s="524"/>
      <c r="D12" s="524"/>
      <c r="E12" s="524"/>
      <c r="F12" s="144" t="s">
        <v>1572</v>
      </c>
      <c r="G12" s="495"/>
      <c r="H12" s="495"/>
      <c r="I12" s="495"/>
      <c r="J12" s="495"/>
      <c r="K12" s="495"/>
      <c r="L12" s="495"/>
      <c r="M12" s="495"/>
      <c r="N12" s="495"/>
      <c r="O12" s="495"/>
      <c r="P12" s="495"/>
      <c r="Q12" s="495"/>
      <c r="R12" s="495"/>
      <c r="S12" s="495"/>
      <c r="T12" s="495"/>
      <c r="U12" s="495"/>
      <c r="V12" s="495"/>
      <c r="W12" s="495"/>
      <c r="X12" s="495"/>
      <c r="Y12" s="495"/>
      <c r="Z12" s="495"/>
    </row>
    <row r="13" spans="1:26" ht="12.75" customHeight="1">
      <c r="A13" s="524"/>
      <c r="B13" s="501" t="s">
        <v>1573</v>
      </c>
      <c r="C13" s="524"/>
      <c r="D13" s="524"/>
      <c r="E13" s="524"/>
      <c r="F13" s="144" t="s">
        <v>1574</v>
      </c>
      <c r="G13" s="495"/>
      <c r="H13" s="495"/>
      <c r="I13" s="495"/>
      <c r="J13" s="495"/>
      <c r="K13" s="495"/>
      <c r="L13" s="495"/>
      <c r="M13" s="495"/>
      <c r="N13" s="495"/>
      <c r="O13" s="495"/>
      <c r="P13" s="495"/>
      <c r="Q13" s="495"/>
      <c r="R13" s="495"/>
      <c r="S13" s="495"/>
      <c r="T13" s="495"/>
      <c r="U13" s="495"/>
      <c r="V13" s="495"/>
      <c r="W13" s="495"/>
      <c r="X13" s="495"/>
      <c r="Y13" s="495"/>
      <c r="Z13" s="495"/>
    </row>
    <row r="14" spans="1:26" ht="51.75" customHeight="1">
      <c r="A14" s="524"/>
      <c r="B14" s="501" t="s">
        <v>1575</v>
      </c>
      <c r="C14" s="524"/>
      <c r="D14" s="524"/>
      <c r="E14" s="524"/>
      <c r="F14" s="144" t="s">
        <v>1576</v>
      </c>
      <c r="G14" s="495"/>
      <c r="H14" s="495"/>
      <c r="I14" s="495"/>
      <c r="J14" s="495"/>
      <c r="K14" s="495"/>
      <c r="L14" s="495"/>
      <c r="M14" s="495"/>
      <c r="N14" s="495"/>
      <c r="O14" s="495"/>
      <c r="P14" s="495"/>
      <c r="Q14" s="495"/>
      <c r="R14" s="495"/>
      <c r="S14" s="495"/>
      <c r="T14" s="495"/>
      <c r="U14" s="495"/>
      <c r="V14" s="495"/>
      <c r="W14" s="495"/>
      <c r="X14" s="495"/>
      <c r="Y14" s="495"/>
      <c r="Z14" s="495"/>
    </row>
    <row r="15" spans="1:26" ht="12.75" customHeight="1">
      <c r="A15" s="524"/>
      <c r="B15" s="501" t="s">
        <v>1577</v>
      </c>
      <c r="C15" s="524"/>
      <c r="D15" s="524"/>
      <c r="E15" s="524"/>
      <c r="F15" s="144" t="s">
        <v>1578</v>
      </c>
      <c r="G15" s="495"/>
      <c r="H15" s="495"/>
      <c r="I15" s="495"/>
      <c r="J15" s="495"/>
      <c r="K15" s="495"/>
      <c r="L15" s="495"/>
      <c r="M15" s="495"/>
      <c r="N15" s="495"/>
      <c r="O15" s="495"/>
      <c r="P15" s="495"/>
      <c r="Q15" s="495"/>
      <c r="R15" s="495"/>
      <c r="S15" s="495"/>
      <c r="T15" s="495"/>
      <c r="U15" s="495"/>
      <c r="V15" s="495"/>
      <c r="W15" s="495"/>
      <c r="X15" s="495"/>
      <c r="Y15" s="495"/>
      <c r="Z15" s="495"/>
    </row>
    <row r="16" spans="1:26" ht="61.5" customHeight="1">
      <c r="A16" s="524"/>
      <c r="B16" s="144" t="s">
        <v>1579</v>
      </c>
      <c r="C16" s="525"/>
      <c r="D16" s="525"/>
      <c r="E16" s="524"/>
      <c r="F16" s="144" t="s">
        <v>1580</v>
      </c>
      <c r="G16" s="495"/>
      <c r="H16" s="495"/>
      <c r="I16" s="495"/>
      <c r="J16" s="495"/>
      <c r="K16" s="495"/>
      <c r="L16" s="495"/>
      <c r="M16" s="495"/>
      <c r="N16" s="495"/>
      <c r="O16" s="495"/>
      <c r="P16" s="495"/>
      <c r="Q16" s="495"/>
      <c r="R16" s="495"/>
      <c r="S16" s="495"/>
      <c r="T16" s="495"/>
      <c r="U16" s="495"/>
      <c r="V16" s="495"/>
      <c r="W16" s="495"/>
      <c r="X16" s="495"/>
      <c r="Y16" s="495"/>
      <c r="Z16" s="495"/>
    </row>
    <row r="17" spans="1:26" ht="76.5" customHeight="1">
      <c r="A17" s="524"/>
      <c r="B17" s="501" t="s">
        <v>1581</v>
      </c>
      <c r="C17" s="144" t="s">
        <v>1582</v>
      </c>
      <c r="D17" s="503" t="s">
        <v>1583</v>
      </c>
      <c r="E17" s="525"/>
      <c r="F17" s="501" t="s">
        <v>1584</v>
      </c>
      <c r="G17" s="495"/>
      <c r="H17" s="495"/>
      <c r="I17" s="495"/>
      <c r="J17" s="495"/>
      <c r="K17" s="495"/>
      <c r="L17" s="495"/>
      <c r="M17" s="495"/>
      <c r="N17" s="495"/>
      <c r="O17" s="495"/>
      <c r="P17" s="495"/>
      <c r="Q17" s="495"/>
      <c r="R17" s="495"/>
      <c r="S17" s="495"/>
      <c r="T17" s="495"/>
      <c r="U17" s="495"/>
      <c r="V17" s="495"/>
      <c r="W17" s="495"/>
      <c r="X17" s="495"/>
      <c r="Y17" s="495"/>
      <c r="Z17" s="495"/>
    </row>
    <row r="18" spans="1:26" ht="61.5" customHeight="1">
      <c r="A18" s="524"/>
      <c r="B18" s="501" t="s">
        <v>1585</v>
      </c>
      <c r="C18" s="738" t="s">
        <v>1586</v>
      </c>
      <c r="D18" s="738" t="s">
        <v>1587</v>
      </c>
      <c r="E18" s="738" t="s">
        <v>1588</v>
      </c>
      <c r="F18" s="738" t="s">
        <v>1589</v>
      </c>
      <c r="G18" s="495"/>
      <c r="H18" s="495"/>
      <c r="I18" s="495"/>
      <c r="J18" s="495"/>
      <c r="K18" s="495"/>
      <c r="L18" s="495"/>
      <c r="M18" s="495"/>
      <c r="N18" s="495"/>
      <c r="O18" s="495"/>
      <c r="P18" s="495"/>
      <c r="Q18" s="495"/>
      <c r="R18" s="495"/>
      <c r="S18" s="495"/>
      <c r="T18" s="495"/>
      <c r="U18" s="495"/>
      <c r="V18" s="495"/>
      <c r="W18" s="495"/>
      <c r="X18" s="495"/>
      <c r="Y18" s="495"/>
      <c r="Z18" s="495"/>
    </row>
    <row r="19" spans="1:26" ht="81" customHeight="1">
      <c r="A19" s="524"/>
      <c r="B19" s="501" t="s">
        <v>1590</v>
      </c>
      <c r="C19" s="525"/>
      <c r="D19" s="525"/>
      <c r="E19" s="525"/>
      <c r="F19" s="525"/>
      <c r="G19" s="495"/>
      <c r="H19" s="495"/>
      <c r="I19" s="495"/>
      <c r="J19" s="495"/>
      <c r="K19" s="495"/>
      <c r="L19" s="495"/>
      <c r="M19" s="495"/>
      <c r="N19" s="495"/>
      <c r="O19" s="495"/>
      <c r="P19" s="495"/>
      <c r="Q19" s="495"/>
      <c r="R19" s="495"/>
      <c r="S19" s="495"/>
      <c r="T19" s="495"/>
      <c r="U19" s="495"/>
      <c r="V19" s="495"/>
      <c r="W19" s="495"/>
      <c r="X19" s="495"/>
      <c r="Y19" s="495"/>
      <c r="Z19" s="495"/>
    </row>
    <row r="20" spans="1:26" ht="12.75" customHeight="1">
      <c r="A20" s="525"/>
      <c r="B20" s="501" t="s">
        <v>1591</v>
      </c>
      <c r="C20" s="144" t="s">
        <v>1592</v>
      </c>
      <c r="D20" s="501" t="s">
        <v>1593</v>
      </c>
      <c r="E20" s="503"/>
      <c r="F20" s="501" t="s">
        <v>1594</v>
      </c>
      <c r="G20" s="495"/>
      <c r="H20" s="495"/>
      <c r="I20" s="495"/>
      <c r="J20" s="495"/>
      <c r="K20" s="495"/>
      <c r="L20" s="495"/>
      <c r="M20" s="495"/>
      <c r="N20" s="495"/>
      <c r="O20" s="495"/>
      <c r="P20" s="495"/>
      <c r="Q20" s="495"/>
      <c r="R20" s="495"/>
      <c r="S20" s="495"/>
      <c r="T20" s="495"/>
      <c r="U20" s="495"/>
      <c r="V20" s="495"/>
      <c r="W20" s="495"/>
      <c r="X20" s="495"/>
      <c r="Y20" s="495"/>
      <c r="Z20" s="495"/>
    </row>
    <row r="21" spans="1:26" ht="12.75" customHeight="1">
      <c r="A21" s="504" t="s">
        <v>1595</v>
      </c>
      <c r="B21" s="504" t="s">
        <v>1596</v>
      </c>
      <c r="C21" s="504" t="s">
        <v>1597</v>
      </c>
      <c r="D21" s="504" t="s">
        <v>1598</v>
      </c>
      <c r="E21" s="504" t="s">
        <v>1599</v>
      </c>
      <c r="F21" s="504" t="s">
        <v>1600</v>
      </c>
      <c r="G21" s="495"/>
      <c r="H21" s="495"/>
      <c r="I21" s="495"/>
      <c r="J21" s="495"/>
      <c r="K21" s="495"/>
      <c r="L21" s="495"/>
      <c r="M21" s="495"/>
      <c r="N21" s="495"/>
      <c r="O21" s="495"/>
      <c r="P21" s="495"/>
      <c r="Q21" s="495"/>
      <c r="R21" s="495"/>
      <c r="S21" s="495"/>
      <c r="T21" s="495"/>
      <c r="U21" s="495"/>
      <c r="V21" s="495"/>
      <c r="W21" s="495"/>
      <c r="X21" s="495"/>
      <c r="Y21" s="495"/>
      <c r="Z21" s="495"/>
    </row>
    <row r="22" spans="1:26" ht="12.75" customHeight="1">
      <c r="A22" s="504" t="s">
        <v>1601</v>
      </c>
      <c r="B22" s="504" t="s">
        <v>1602</v>
      </c>
      <c r="C22" s="504" t="s">
        <v>1603</v>
      </c>
      <c r="D22" s="504" t="s">
        <v>1604</v>
      </c>
      <c r="E22" s="504" t="s">
        <v>1605</v>
      </c>
      <c r="F22" s="504" t="s">
        <v>1606</v>
      </c>
      <c r="G22" s="495"/>
      <c r="H22" s="495"/>
      <c r="I22" s="495"/>
      <c r="J22" s="495"/>
      <c r="K22" s="495"/>
      <c r="L22" s="495"/>
      <c r="M22" s="495"/>
      <c r="N22" s="495"/>
      <c r="O22" s="495"/>
      <c r="P22" s="495"/>
      <c r="Q22" s="495"/>
      <c r="R22" s="495"/>
      <c r="S22" s="495"/>
      <c r="T22" s="495"/>
      <c r="U22" s="495"/>
      <c r="V22" s="495"/>
      <c r="W22" s="495"/>
      <c r="X22" s="495"/>
      <c r="Y22" s="495"/>
      <c r="Z22" s="495"/>
    </row>
    <row r="23" spans="1:26" ht="57.75" customHeight="1">
      <c r="A23" s="504" t="s">
        <v>1502</v>
      </c>
      <c r="B23" s="504" t="s">
        <v>1607</v>
      </c>
      <c r="C23" s="504" t="s">
        <v>1608</v>
      </c>
      <c r="D23" s="504" t="s">
        <v>1609</v>
      </c>
      <c r="E23" s="504" t="s">
        <v>1610</v>
      </c>
      <c r="F23" s="504" t="s">
        <v>1611</v>
      </c>
      <c r="G23" s="495"/>
      <c r="H23" s="495"/>
      <c r="I23" s="495"/>
      <c r="J23" s="495"/>
      <c r="K23" s="495"/>
      <c r="L23" s="495"/>
      <c r="M23" s="495"/>
      <c r="N23" s="495"/>
      <c r="O23" s="495"/>
      <c r="P23" s="495"/>
      <c r="Q23" s="495"/>
      <c r="R23" s="495"/>
      <c r="S23" s="495"/>
      <c r="T23" s="495"/>
      <c r="U23" s="495"/>
      <c r="V23" s="495"/>
      <c r="W23" s="495"/>
      <c r="X23" s="495"/>
      <c r="Y23" s="495"/>
      <c r="Z23" s="495"/>
    </row>
    <row r="24" spans="1:26" ht="12.75" customHeight="1">
      <c r="A24" s="504" t="s">
        <v>1612</v>
      </c>
      <c r="B24" s="505" t="s">
        <v>1613</v>
      </c>
      <c r="C24" s="505" t="s">
        <v>1614</v>
      </c>
      <c r="D24" s="505" t="s">
        <v>1615</v>
      </c>
      <c r="E24" s="505" t="s">
        <v>1616</v>
      </c>
      <c r="F24" s="505" t="s">
        <v>1617</v>
      </c>
      <c r="G24" s="495"/>
      <c r="H24" s="495"/>
      <c r="I24" s="495"/>
      <c r="J24" s="495"/>
      <c r="K24" s="495"/>
      <c r="L24" s="495"/>
      <c r="M24" s="495"/>
      <c r="N24" s="495"/>
      <c r="O24" s="495"/>
      <c r="P24" s="495"/>
      <c r="Q24" s="495"/>
      <c r="R24" s="495"/>
      <c r="S24" s="495"/>
      <c r="T24" s="495"/>
      <c r="U24" s="495"/>
      <c r="V24" s="495"/>
      <c r="W24" s="495"/>
      <c r="X24" s="495"/>
      <c r="Y24" s="495"/>
      <c r="Z24" s="495"/>
    </row>
    <row r="25" spans="1:26" ht="12.75" customHeight="1">
      <c r="A25" s="502"/>
      <c r="B25" s="495"/>
      <c r="C25" s="495"/>
      <c r="D25" s="495"/>
      <c r="E25" s="495"/>
      <c r="F25" s="495"/>
      <c r="G25" s="495"/>
      <c r="H25" s="495"/>
      <c r="I25" s="495"/>
      <c r="J25" s="495"/>
      <c r="K25" s="495"/>
      <c r="L25" s="495"/>
      <c r="M25" s="495"/>
      <c r="N25" s="495"/>
      <c r="O25" s="495"/>
      <c r="P25" s="495"/>
      <c r="Q25" s="495"/>
      <c r="R25" s="495"/>
      <c r="S25" s="495"/>
      <c r="T25" s="495"/>
      <c r="U25" s="495"/>
      <c r="V25" s="495"/>
      <c r="W25" s="495"/>
      <c r="X25" s="495"/>
      <c r="Y25" s="495"/>
      <c r="Z25" s="495"/>
    </row>
    <row r="26" spans="1:26" ht="12.75" customHeight="1">
      <c r="A26" s="502"/>
      <c r="B26" s="495"/>
      <c r="C26" s="495"/>
      <c r="D26" s="495"/>
      <c r="E26" s="495"/>
      <c r="F26" s="495"/>
      <c r="G26" s="495"/>
      <c r="H26" s="495"/>
      <c r="I26" s="495"/>
      <c r="J26" s="495"/>
      <c r="K26" s="495"/>
      <c r="L26" s="495"/>
      <c r="M26" s="495"/>
      <c r="N26" s="495"/>
      <c r="O26" s="495"/>
      <c r="P26" s="495"/>
      <c r="Q26" s="495"/>
      <c r="R26" s="495"/>
      <c r="S26" s="495"/>
      <c r="T26" s="495"/>
      <c r="U26" s="495"/>
      <c r="V26" s="495"/>
      <c r="W26" s="495"/>
      <c r="X26" s="495"/>
      <c r="Y26" s="495"/>
      <c r="Z26" s="495"/>
    </row>
    <row r="27" spans="1:26" ht="12.75" customHeight="1">
      <c r="A27" s="502"/>
      <c r="B27" s="495"/>
      <c r="C27" s="495"/>
      <c r="D27" s="495"/>
      <c r="E27" s="495"/>
      <c r="F27" s="495"/>
      <c r="G27" s="495"/>
      <c r="H27" s="495"/>
      <c r="I27" s="495"/>
      <c r="J27" s="495"/>
      <c r="K27" s="495"/>
      <c r="L27" s="495"/>
      <c r="M27" s="495"/>
      <c r="N27" s="495"/>
      <c r="O27" s="495"/>
      <c r="P27" s="495"/>
      <c r="Q27" s="495"/>
      <c r="R27" s="495"/>
      <c r="S27" s="495"/>
      <c r="T27" s="495"/>
      <c r="U27" s="495"/>
      <c r="V27" s="495"/>
      <c r="W27" s="495"/>
      <c r="X27" s="495"/>
      <c r="Y27" s="495"/>
      <c r="Z27" s="495"/>
    </row>
    <row r="28" spans="1:26" ht="12.75" customHeight="1">
      <c r="A28" s="502"/>
      <c r="B28" s="495"/>
      <c r="C28" s="495"/>
      <c r="D28" s="495"/>
      <c r="E28" s="495"/>
      <c r="F28" s="495"/>
      <c r="G28" s="495"/>
      <c r="H28" s="495"/>
      <c r="I28" s="495"/>
      <c r="J28" s="495"/>
      <c r="K28" s="495"/>
      <c r="L28" s="495"/>
      <c r="M28" s="495"/>
      <c r="N28" s="495"/>
      <c r="O28" s="495"/>
      <c r="P28" s="495"/>
      <c r="Q28" s="495"/>
      <c r="R28" s="495"/>
      <c r="S28" s="495"/>
      <c r="T28" s="495"/>
      <c r="U28" s="495"/>
      <c r="V28" s="495"/>
      <c r="W28" s="495"/>
      <c r="X28" s="495"/>
      <c r="Y28" s="495"/>
      <c r="Z28" s="495"/>
    </row>
    <row r="29" spans="1:26" ht="12.75" customHeight="1">
      <c r="A29" s="502"/>
      <c r="B29" s="495"/>
      <c r="C29" s="495"/>
      <c r="D29" s="495"/>
      <c r="E29" s="495"/>
      <c r="F29" s="495"/>
      <c r="G29" s="495"/>
      <c r="H29" s="495"/>
      <c r="I29" s="495"/>
      <c r="J29" s="495"/>
      <c r="K29" s="495"/>
      <c r="L29" s="495"/>
      <c r="M29" s="495"/>
      <c r="N29" s="495"/>
      <c r="O29" s="495"/>
      <c r="P29" s="495"/>
      <c r="Q29" s="495"/>
      <c r="R29" s="495"/>
      <c r="S29" s="495"/>
      <c r="T29" s="495"/>
      <c r="U29" s="495"/>
      <c r="V29" s="495"/>
      <c r="W29" s="495"/>
      <c r="X29" s="495"/>
      <c r="Y29" s="495"/>
      <c r="Z29" s="495"/>
    </row>
    <row r="30" spans="1:26" ht="12.75" customHeight="1">
      <c r="A30" s="502"/>
      <c r="B30" s="495"/>
      <c r="C30" s="495"/>
      <c r="D30" s="495"/>
      <c r="E30" s="495"/>
      <c r="F30" s="495"/>
      <c r="G30" s="495"/>
      <c r="H30" s="495"/>
      <c r="I30" s="495"/>
      <c r="J30" s="495"/>
      <c r="K30" s="495"/>
      <c r="L30" s="495"/>
      <c r="M30" s="495"/>
      <c r="N30" s="495"/>
      <c r="O30" s="495"/>
      <c r="P30" s="495"/>
      <c r="Q30" s="495"/>
      <c r="R30" s="495"/>
      <c r="S30" s="495"/>
      <c r="T30" s="495"/>
      <c r="U30" s="495"/>
      <c r="V30" s="495"/>
      <c r="W30" s="495"/>
      <c r="X30" s="495"/>
      <c r="Y30" s="495"/>
      <c r="Z30" s="495"/>
    </row>
    <row r="31" spans="1:26" ht="12.75" customHeight="1">
      <c r="A31" s="502"/>
      <c r="B31" s="495"/>
      <c r="C31" s="495"/>
      <c r="D31" s="495"/>
      <c r="E31" s="495"/>
      <c r="F31" s="495"/>
      <c r="G31" s="495"/>
      <c r="H31" s="495"/>
      <c r="I31" s="495"/>
      <c r="J31" s="495"/>
      <c r="K31" s="495"/>
      <c r="L31" s="495"/>
      <c r="M31" s="495"/>
      <c r="N31" s="495"/>
      <c r="O31" s="495"/>
      <c r="P31" s="495"/>
      <c r="Q31" s="495"/>
      <c r="R31" s="495"/>
      <c r="S31" s="495"/>
      <c r="T31" s="495"/>
      <c r="U31" s="495"/>
      <c r="V31" s="495"/>
      <c r="W31" s="495"/>
      <c r="X31" s="495"/>
      <c r="Y31" s="495"/>
      <c r="Z31" s="495"/>
    </row>
    <row r="32" spans="1:26" ht="12.75" customHeight="1">
      <c r="A32" s="502"/>
      <c r="B32" s="495"/>
      <c r="C32" s="495"/>
      <c r="D32" s="495"/>
      <c r="E32" s="495"/>
      <c r="F32" s="495"/>
      <c r="G32" s="495"/>
      <c r="H32" s="495"/>
      <c r="I32" s="495"/>
      <c r="J32" s="495"/>
      <c r="K32" s="495"/>
      <c r="L32" s="495"/>
      <c r="M32" s="495"/>
      <c r="N32" s="495"/>
      <c r="O32" s="495"/>
      <c r="P32" s="495"/>
      <c r="Q32" s="495"/>
      <c r="R32" s="495"/>
      <c r="S32" s="495"/>
      <c r="T32" s="495"/>
      <c r="U32" s="495"/>
      <c r="V32" s="495"/>
      <c r="W32" s="495"/>
      <c r="X32" s="495"/>
      <c r="Y32" s="495"/>
      <c r="Z32" s="495"/>
    </row>
    <row r="33" spans="1:26" ht="12.75" customHeight="1">
      <c r="A33" s="502"/>
      <c r="B33" s="495"/>
      <c r="C33" s="495"/>
      <c r="D33" s="495"/>
      <c r="E33" s="495"/>
      <c r="F33" s="495"/>
      <c r="G33" s="495"/>
      <c r="H33" s="495"/>
      <c r="I33" s="495"/>
      <c r="J33" s="495"/>
      <c r="K33" s="495"/>
      <c r="L33" s="495"/>
      <c r="M33" s="495"/>
      <c r="N33" s="495"/>
      <c r="O33" s="495"/>
      <c r="P33" s="495"/>
      <c r="Q33" s="495"/>
      <c r="R33" s="495"/>
      <c r="S33" s="495"/>
      <c r="T33" s="495"/>
      <c r="U33" s="495"/>
      <c r="V33" s="495"/>
      <c r="W33" s="495"/>
      <c r="X33" s="495"/>
      <c r="Y33" s="495"/>
      <c r="Z33" s="495"/>
    </row>
    <row r="34" spans="1:26" ht="12.75" customHeight="1">
      <c r="A34" s="502"/>
      <c r="B34" s="495"/>
      <c r="C34" s="495"/>
      <c r="D34" s="495"/>
      <c r="E34" s="495"/>
      <c r="F34" s="495"/>
      <c r="G34" s="495"/>
      <c r="H34" s="495"/>
      <c r="I34" s="495"/>
      <c r="J34" s="495"/>
      <c r="K34" s="495"/>
      <c r="L34" s="495"/>
      <c r="M34" s="495"/>
      <c r="N34" s="495"/>
      <c r="O34" s="495"/>
      <c r="P34" s="495"/>
      <c r="Q34" s="495"/>
      <c r="R34" s="495"/>
      <c r="S34" s="495"/>
      <c r="T34" s="495"/>
      <c r="U34" s="495"/>
      <c r="V34" s="495"/>
      <c r="W34" s="495"/>
      <c r="X34" s="495"/>
      <c r="Y34" s="495"/>
      <c r="Z34" s="495"/>
    </row>
    <row r="35" spans="1:26" ht="12.75" customHeight="1">
      <c r="A35" s="502"/>
      <c r="B35" s="495"/>
      <c r="C35" s="495"/>
      <c r="D35" s="495"/>
      <c r="E35" s="495"/>
      <c r="F35" s="495"/>
      <c r="G35" s="495"/>
      <c r="H35" s="495"/>
      <c r="I35" s="495"/>
      <c r="J35" s="495"/>
      <c r="K35" s="495"/>
      <c r="L35" s="495"/>
      <c r="M35" s="495"/>
      <c r="N35" s="495"/>
      <c r="O35" s="495"/>
      <c r="P35" s="495"/>
      <c r="Q35" s="495"/>
      <c r="R35" s="495"/>
      <c r="S35" s="495"/>
      <c r="T35" s="495"/>
      <c r="U35" s="495"/>
      <c r="V35" s="495"/>
      <c r="W35" s="495"/>
      <c r="X35" s="495"/>
      <c r="Y35" s="495"/>
      <c r="Z35" s="495"/>
    </row>
    <row r="36" spans="1:26" ht="12.75" customHeight="1">
      <c r="A36" s="502"/>
      <c r="B36" s="495"/>
      <c r="C36" s="495"/>
      <c r="D36" s="495"/>
      <c r="E36" s="495"/>
      <c r="F36" s="495"/>
      <c r="G36" s="495"/>
      <c r="H36" s="495"/>
      <c r="I36" s="495"/>
      <c r="J36" s="495"/>
      <c r="K36" s="495"/>
      <c r="L36" s="495"/>
      <c r="M36" s="495"/>
      <c r="N36" s="495"/>
      <c r="O36" s="495"/>
      <c r="P36" s="495"/>
      <c r="Q36" s="495"/>
      <c r="R36" s="495"/>
      <c r="S36" s="495"/>
      <c r="T36" s="495"/>
      <c r="U36" s="495"/>
      <c r="V36" s="495"/>
      <c r="W36" s="495"/>
      <c r="X36" s="495"/>
      <c r="Y36" s="495"/>
      <c r="Z36" s="495"/>
    </row>
    <row r="37" spans="1:26" ht="12.75" customHeight="1">
      <c r="A37" s="502"/>
      <c r="B37" s="495"/>
      <c r="C37" s="495"/>
      <c r="D37" s="495"/>
      <c r="E37" s="495"/>
      <c r="F37" s="495"/>
      <c r="G37" s="495"/>
      <c r="H37" s="495"/>
      <c r="I37" s="495"/>
      <c r="J37" s="495"/>
      <c r="K37" s="495"/>
      <c r="L37" s="495"/>
      <c r="M37" s="495"/>
      <c r="N37" s="495"/>
      <c r="O37" s="495"/>
      <c r="P37" s="495"/>
      <c r="Q37" s="495"/>
      <c r="R37" s="495"/>
      <c r="S37" s="495"/>
      <c r="T37" s="495"/>
      <c r="U37" s="495"/>
      <c r="V37" s="495"/>
      <c r="W37" s="495"/>
      <c r="X37" s="495"/>
      <c r="Y37" s="495"/>
      <c r="Z37" s="495"/>
    </row>
    <row r="38" spans="1:26" ht="12.75" customHeight="1">
      <c r="A38" s="502"/>
      <c r="B38" s="495"/>
      <c r="C38" s="495"/>
      <c r="D38" s="495"/>
      <c r="E38" s="495"/>
      <c r="F38" s="495"/>
      <c r="G38" s="495"/>
      <c r="H38" s="495"/>
      <c r="I38" s="495"/>
      <c r="J38" s="495"/>
      <c r="K38" s="495"/>
      <c r="L38" s="495"/>
      <c r="M38" s="495"/>
      <c r="N38" s="495"/>
      <c r="O38" s="495"/>
      <c r="P38" s="495"/>
      <c r="Q38" s="495"/>
      <c r="R38" s="495"/>
      <c r="S38" s="495"/>
      <c r="T38" s="495"/>
      <c r="U38" s="495"/>
      <c r="V38" s="495"/>
      <c r="W38" s="495"/>
      <c r="X38" s="495"/>
      <c r="Y38" s="495"/>
      <c r="Z38" s="495"/>
    </row>
    <row r="39" spans="1:26" ht="12.75" customHeight="1">
      <c r="A39" s="502"/>
      <c r="B39" s="495"/>
      <c r="C39" s="495"/>
      <c r="D39" s="495"/>
      <c r="E39" s="495"/>
      <c r="F39" s="495"/>
      <c r="G39" s="495"/>
      <c r="H39" s="495"/>
      <c r="I39" s="495"/>
      <c r="J39" s="495"/>
      <c r="K39" s="495"/>
      <c r="L39" s="495"/>
      <c r="M39" s="495"/>
      <c r="N39" s="495"/>
      <c r="O39" s="495"/>
      <c r="P39" s="495"/>
      <c r="Q39" s="495"/>
      <c r="R39" s="495"/>
      <c r="S39" s="495"/>
      <c r="T39" s="495"/>
      <c r="U39" s="495"/>
      <c r="V39" s="495"/>
      <c r="W39" s="495"/>
      <c r="X39" s="495"/>
      <c r="Y39" s="495"/>
      <c r="Z39" s="495"/>
    </row>
    <row r="40" spans="1:26" ht="12.75" customHeight="1">
      <c r="A40" s="502"/>
      <c r="B40" s="495"/>
      <c r="C40" s="495"/>
      <c r="D40" s="495"/>
      <c r="E40" s="495"/>
      <c r="F40" s="495"/>
      <c r="G40" s="495"/>
      <c r="H40" s="495"/>
      <c r="I40" s="495"/>
      <c r="J40" s="495"/>
      <c r="K40" s="495"/>
      <c r="L40" s="495"/>
      <c r="M40" s="495"/>
      <c r="N40" s="495"/>
      <c r="O40" s="495"/>
      <c r="P40" s="495"/>
      <c r="Q40" s="495"/>
      <c r="R40" s="495"/>
      <c r="S40" s="495"/>
      <c r="T40" s="495"/>
      <c r="U40" s="495"/>
      <c r="V40" s="495"/>
      <c r="W40" s="495"/>
      <c r="X40" s="495"/>
      <c r="Y40" s="495"/>
      <c r="Z40" s="495"/>
    </row>
    <row r="41" spans="1:26" ht="12.75" customHeight="1">
      <c r="A41" s="502"/>
      <c r="B41" s="495"/>
      <c r="C41" s="495"/>
      <c r="D41" s="495"/>
      <c r="E41" s="495"/>
      <c r="F41" s="495"/>
      <c r="G41" s="495"/>
      <c r="H41" s="495"/>
      <c r="I41" s="495"/>
      <c r="J41" s="495"/>
      <c r="K41" s="495"/>
      <c r="L41" s="495"/>
      <c r="M41" s="495"/>
      <c r="N41" s="495"/>
      <c r="O41" s="495"/>
      <c r="P41" s="495"/>
      <c r="Q41" s="495"/>
      <c r="R41" s="495"/>
      <c r="S41" s="495"/>
      <c r="T41" s="495"/>
      <c r="U41" s="495"/>
      <c r="V41" s="495"/>
      <c r="W41" s="495"/>
      <c r="X41" s="495"/>
      <c r="Y41" s="495"/>
      <c r="Z41" s="495"/>
    </row>
    <row r="42" spans="1:26" ht="12.75" customHeight="1">
      <c r="A42" s="502"/>
      <c r="B42" s="495"/>
      <c r="C42" s="495"/>
      <c r="D42" s="495"/>
      <c r="E42" s="495"/>
      <c r="F42" s="495"/>
      <c r="G42" s="495"/>
      <c r="H42" s="495"/>
      <c r="I42" s="495"/>
      <c r="J42" s="495"/>
      <c r="K42" s="495"/>
      <c r="L42" s="495"/>
      <c r="M42" s="495"/>
      <c r="N42" s="495"/>
      <c r="O42" s="495"/>
      <c r="P42" s="495"/>
      <c r="Q42" s="495"/>
      <c r="R42" s="495"/>
      <c r="S42" s="495"/>
      <c r="T42" s="495"/>
      <c r="U42" s="495"/>
      <c r="V42" s="495"/>
      <c r="W42" s="495"/>
      <c r="X42" s="495"/>
      <c r="Y42" s="495"/>
      <c r="Z42" s="495"/>
    </row>
    <row r="43" spans="1:26" ht="12.75" customHeight="1">
      <c r="A43" s="502"/>
      <c r="B43" s="495"/>
      <c r="C43" s="495"/>
      <c r="D43" s="495"/>
      <c r="E43" s="495"/>
      <c r="F43" s="495"/>
      <c r="G43" s="495"/>
      <c r="H43" s="495"/>
      <c r="I43" s="495"/>
      <c r="J43" s="495"/>
      <c r="K43" s="495"/>
      <c r="L43" s="495"/>
      <c r="M43" s="495"/>
      <c r="N43" s="495"/>
      <c r="O43" s="495"/>
      <c r="P43" s="495"/>
      <c r="Q43" s="495"/>
      <c r="R43" s="495"/>
      <c r="S43" s="495"/>
      <c r="T43" s="495"/>
      <c r="U43" s="495"/>
      <c r="V43" s="495"/>
      <c r="W43" s="495"/>
      <c r="X43" s="495"/>
      <c r="Y43" s="495"/>
      <c r="Z43" s="495"/>
    </row>
    <row r="44" spans="1:26" ht="12.75" customHeight="1">
      <c r="A44" s="502"/>
      <c r="B44" s="495"/>
      <c r="C44" s="495"/>
      <c r="D44" s="495"/>
      <c r="E44" s="495"/>
      <c r="F44" s="495"/>
      <c r="G44" s="495"/>
      <c r="H44" s="495"/>
      <c r="I44" s="495"/>
      <c r="J44" s="495"/>
      <c r="K44" s="495"/>
      <c r="L44" s="495"/>
      <c r="M44" s="495"/>
      <c r="N44" s="495"/>
      <c r="O44" s="495"/>
      <c r="P44" s="495"/>
      <c r="Q44" s="495"/>
      <c r="R44" s="495"/>
      <c r="S44" s="495"/>
      <c r="T44" s="495"/>
      <c r="U44" s="495"/>
      <c r="V44" s="495"/>
      <c r="W44" s="495"/>
      <c r="X44" s="495"/>
      <c r="Y44" s="495"/>
      <c r="Z44" s="495"/>
    </row>
    <row r="45" spans="1:26" ht="12.75" customHeight="1">
      <c r="A45" s="502"/>
      <c r="B45" s="495"/>
      <c r="C45" s="495"/>
      <c r="D45" s="495"/>
      <c r="E45" s="495"/>
      <c r="F45" s="495"/>
      <c r="G45" s="495"/>
      <c r="H45" s="495"/>
      <c r="I45" s="495"/>
      <c r="J45" s="495"/>
      <c r="K45" s="495"/>
      <c r="L45" s="495"/>
      <c r="M45" s="495"/>
      <c r="N45" s="495"/>
      <c r="O45" s="495"/>
      <c r="P45" s="495"/>
      <c r="Q45" s="495"/>
      <c r="R45" s="495"/>
      <c r="S45" s="495"/>
      <c r="T45" s="495"/>
      <c r="U45" s="495"/>
      <c r="V45" s="495"/>
      <c r="W45" s="495"/>
      <c r="X45" s="495"/>
      <c r="Y45" s="495"/>
      <c r="Z45" s="495"/>
    </row>
    <row r="46" spans="1:26" ht="12.75" customHeight="1">
      <c r="A46" s="502"/>
      <c r="B46" s="495"/>
      <c r="C46" s="495"/>
      <c r="D46" s="495"/>
      <c r="E46" s="495"/>
      <c r="F46" s="495"/>
      <c r="G46" s="495"/>
      <c r="H46" s="495"/>
      <c r="I46" s="495"/>
      <c r="J46" s="495"/>
      <c r="K46" s="495"/>
      <c r="L46" s="495"/>
      <c r="M46" s="495"/>
      <c r="N46" s="495"/>
      <c r="O46" s="495"/>
      <c r="P46" s="495"/>
      <c r="Q46" s="495"/>
      <c r="R46" s="495"/>
      <c r="S46" s="495"/>
      <c r="T46" s="495"/>
      <c r="U46" s="495"/>
      <c r="V46" s="495"/>
      <c r="W46" s="495"/>
      <c r="X46" s="495"/>
      <c r="Y46" s="495"/>
      <c r="Z46" s="495"/>
    </row>
    <row r="47" spans="1:26" ht="12.75" customHeight="1">
      <c r="A47" s="502"/>
      <c r="B47" s="495"/>
      <c r="C47" s="495"/>
      <c r="D47" s="495"/>
      <c r="E47" s="495"/>
      <c r="F47" s="495"/>
      <c r="G47" s="495"/>
      <c r="H47" s="495"/>
      <c r="I47" s="495"/>
      <c r="J47" s="495"/>
      <c r="K47" s="495"/>
      <c r="L47" s="495"/>
      <c r="M47" s="495"/>
      <c r="N47" s="495"/>
      <c r="O47" s="495"/>
      <c r="P47" s="495"/>
      <c r="Q47" s="495"/>
      <c r="R47" s="495"/>
      <c r="S47" s="495"/>
      <c r="T47" s="495"/>
      <c r="U47" s="495"/>
      <c r="V47" s="495"/>
      <c r="W47" s="495"/>
      <c r="X47" s="495"/>
      <c r="Y47" s="495"/>
      <c r="Z47" s="495"/>
    </row>
    <row r="48" spans="1:26" ht="12.75" customHeight="1">
      <c r="A48" s="502"/>
      <c r="B48" s="495"/>
      <c r="C48" s="495"/>
      <c r="D48" s="495"/>
      <c r="E48" s="495"/>
      <c r="F48" s="495"/>
      <c r="G48" s="495"/>
      <c r="H48" s="495"/>
      <c r="I48" s="495"/>
      <c r="J48" s="495"/>
      <c r="K48" s="495"/>
      <c r="L48" s="495"/>
      <c r="M48" s="495"/>
      <c r="N48" s="495"/>
      <c r="O48" s="495"/>
      <c r="P48" s="495"/>
      <c r="Q48" s="495"/>
      <c r="R48" s="495"/>
      <c r="S48" s="495"/>
      <c r="T48" s="495"/>
      <c r="U48" s="495"/>
      <c r="V48" s="495"/>
      <c r="W48" s="495"/>
      <c r="X48" s="495"/>
      <c r="Y48" s="495"/>
      <c r="Z48" s="495"/>
    </row>
    <row r="49" spans="1:26" ht="12.75" customHeight="1">
      <c r="A49" s="502"/>
      <c r="B49" s="495"/>
      <c r="C49" s="495"/>
      <c r="D49" s="495"/>
      <c r="E49" s="495"/>
      <c r="F49" s="495"/>
      <c r="G49" s="495"/>
      <c r="H49" s="495"/>
      <c r="I49" s="495"/>
      <c r="J49" s="495"/>
      <c r="K49" s="495"/>
      <c r="L49" s="495"/>
      <c r="M49" s="495"/>
      <c r="N49" s="495"/>
      <c r="O49" s="495"/>
      <c r="P49" s="495"/>
      <c r="Q49" s="495"/>
      <c r="R49" s="495"/>
      <c r="S49" s="495"/>
      <c r="T49" s="495"/>
      <c r="U49" s="495"/>
      <c r="V49" s="495"/>
      <c r="W49" s="495"/>
      <c r="X49" s="495"/>
      <c r="Y49" s="495"/>
      <c r="Z49" s="495"/>
    </row>
    <row r="50" spans="1:26" ht="12.75" customHeight="1">
      <c r="A50" s="502"/>
      <c r="B50" s="495"/>
      <c r="C50" s="495"/>
      <c r="D50" s="495"/>
      <c r="E50" s="495"/>
      <c r="F50" s="495"/>
      <c r="G50" s="495"/>
      <c r="H50" s="495"/>
      <c r="I50" s="495"/>
      <c r="J50" s="495"/>
      <c r="K50" s="495"/>
      <c r="L50" s="495"/>
      <c r="M50" s="495"/>
      <c r="N50" s="495"/>
      <c r="O50" s="495"/>
      <c r="P50" s="495"/>
      <c r="Q50" s="495"/>
      <c r="R50" s="495"/>
      <c r="S50" s="495"/>
      <c r="T50" s="495"/>
      <c r="U50" s="495"/>
      <c r="V50" s="495"/>
      <c r="W50" s="495"/>
      <c r="X50" s="495"/>
      <c r="Y50" s="495"/>
      <c r="Z50" s="495"/>
    </row>
    <row r="51" spans="1:26" ht="12.75" customHeight="1">
      <c r="A51" s="502"/>
      <c r="B51" s="495"/>
      <c r="C51" s="495"/>
      <c r="D51" s="495"/>
      <c r="E51" s="495"/>
      <c r="F51" s="495"/>
      <c r="G51" s="495"/>
      <c r="H51" s="495"/>
      <c r="I51" s="495"/>
      <c r="J51" s="495"/>
      <c r="K51" s="495"/>
      <c r="L51" s="495"/>
      <c r="M51" s="495"/>
      <c r="N51" s="495"/>
      <c r="O51" s="495"/>
      <c r="P51" s="495"/>
      <c r="Q51" s="495"/>
      <c r="R51" s="495"/>
      <c r="S51" s="495"/>
      <c r="T51" s="495"/>
      <c r="U51" s="495"/>
      <c r="V51" s="495"/>
      <c r="W51" s="495"/>
      <c r="X51" s="495"/>
      <c r="Y51" s="495"/>
      <c r="Z51" s="495"/>
    </row>
    <row r="52" spans="1:26" ht="12.75" customHeight="1">
      <c r="A52" s="502"/>
      <c r="B52" s="495"/>
      <c r="C52" s="495"/>
      <c r="D52" s="495"/>
      <c r="E52" s="495"/>
      <c r="F52" s="495"/>
      <c r="G52" s="495"/>
      <c r="H52" s="495"/>
      <c r="I52" s="495"/>
      <c r="J52" s="495"/>
      <c r="K52" s="495"/>
      <c r="L52" s="495"/>
      <c r="M52" s="495"/>
      <c r="N52" s="495"/>
      <c r="O52" s="495"/>
      <c r="P52" s="495"/>
      <c r="Q52" s="495"/>
      <c r="R52" s="495"/>
      <c r="S52" s="495"/>
      <c r="T52" s="495"/>
      <c r="U52" s="495"/>
      <c r="V52" s="495"/>
      <c r="W52" s="495"/>
      <c r="X52" s="495"/>
      <c r="Y52" s="495"/>
      <c r="Z52" s="495"/>
    </row>
    <row r="53" spans="1:26" ht="12.75" customHeight="1">
      <c r="A53" s="502"/>
      <c r="B53" s="495"/>
      <c r="C53" s="495"/>
      <c r="D53" s="495"/>
      <c r="E53" s="495"/>
      <c r="F53" s="495"/>
      <c r="G53" s="495"/>
      <c r="H53" s="495"/>
      <c r="I53" s="495"/>
      <c r="J53" s="495"/>
      <c r="K53" s="495"/>
      <c r="L53" s="495"/>
      <c r="M53" s="495"/>
      <c r="N53" s="495"/>
      <c r="O53" s="495"/>
      <c r="P53" s="495"/>
      <c r="Q53" s="495"/>
      <c r="R53" s="495"/>
      <c r="S53" s="495"/>
      <c r="T53" s="495"/>
      <c r="U53" s="495"/>
      <c r="V53" s="495"/>
      <c r="W53" s="495"/>
      <c r="X53" s="495"/>
      <c r="Y53" s="495"/>
      <c r="Z53" s="495"/>
    </row>
    <row r="54" spans="1:26" ht="12.75" customHeight="1">
      <c r="A54" s="502"/>
      <c r="B54" s="495"/>
      <c r="C54" s="495"/>
      <c r="D54" s="495"/>
      <c r="E54" s="495"/>
      <c r="F54" s="495"/>
      <c r="G54" s="495"/>
      <c r="H54" s="495"/>
      <c r="I54" s="495"/>
      <c r="J54" s="495"/>
      <c r="K54" s="495"/>
      <c r="L54" s="495"/>
      <c r="M54" s="495"/>
      <c r="N54" s="495"/>
      <c r="O54" s="495"/>
      <c r="P54" s="495"/>
      <c r="Q54" s="495"/>
      <c r="R54" s="495"/>
      <c r="S54" s="495"/>
      <c r="T54" s="495"/>
      <c r="U54" s="495"/>
      <c r="V54" s="495"/>
      <c r="W54" s="495"/>
      <c r="X54" s="495"/>
      <c r="Y54" s="495"/>
      <c r="Z54" s="495"/>
    </row>
    <row r="55" spans="1:26" ht="12.75" customHeight="1">
      <c r="A55" s="502"/>
      <c r="B55" s="495"/>
      <c r="C55" s="495"/>
      <c r="D55" s="495"/>
      <c r="E55" s="495"/>
      <c r="F55" s="495"/>
      <c r="G55" s="495"/>
      <c r="H55" s="495"/>
      <c r="I55" s="495"/>
      <c r="J55" s="495"/>
      <c r="K55" s="495"/>
      <c r="L55" s="495"/>
      <c r="M55" s="495"/>
      <c r="N55" s="495"/>
      <c r="O55" s="495"/>
      <c r="P55" s="495"/>
      <c r="Q55" s="495"/>
      <c r="R55" s="495"/>
      <c r="S55" s="495"/>
      <c r="T55" s="495"/>
      <c r="U55" s="495"/>
      <c r="V55" s="495"/>
      <c r="W55" s="495"/>
      <c r="X55" s="495"/>
      <c r="Y55" s="495"/>
      <c r="Z55" s="495"/>
    </row>
    <row r="56" spans="1:26" ht="12.75" customHeight="1">
      <c r="A56" s="502"/>
      <c r="B56" s="495"/>
      <c r="C56" s="495"/>
      <c r="D56" s="495"/>
      <c r="E56" s="495"/>
      <c r="F56" s="495"/>
      <c r="G56" s="495"/>
      <c r="H56" s="495"/>
      <c r="I56" s="495"/>
      <c r="J56" s="495"/>
      <c r="K56" s="495"/>
      <c r="L56" s="495"/>
      <c r="M56" s="495"/>
      <c r="N56" s="495"/>
      <c r="O56" s="495"/>
      <c r="P56" s="495"/>
      <c r="Q56" s="495"/>
      <c r="R56" s="495"/>
      <c r="S56" s="495"/>
      <c r="T56" s="495"/>
      <c r="U56" s="495"/>
      <c r="V56" s="495"/>
      <c r="W56" s="495"/>
      <c r="X56" s="495"/>
      <c r="Y56" s="495"/>
      <c r="Z56" s="495"/>
    </row>
    <row r="57" spans="1:26" ht="12.75" customHeight="1">
      <c r="A57" s="502"/>
      <c r="B57" s="495"/>
      <c r="C57" s="495"/>
      <c r="D57" s="495"/>
      <c r="E57" s="495"/>
      <c r="F57" s="495"/>
      <c r="G57" s="495"/>
      <c r="H57" s="495"/>
      <c r="I57" s="495"/>
      <c r="J57" s="495"/>
      <c r="K57" s="495"/>
      <c r="L57" s="495"/>
      <c r="M57" s="495"/>
      <c r="N57" s="495"/>
      <c r="O57" s="495"/>
      <c r="P57" s="495"/>
      <c r="Q57" s="495"/>
      <c r="R57" s="495"/>
      <c r="S57" s="495"/>
      <c r="T57" s="495"/>
      <c r="U57" s="495"/>
      <c r="V57" s="495"/>
      <c r="W57" s="495"/>
      <c r="X57" s="495"/>
      <c r="Y57" s="495"/>
      <c r="Z57" s="495"/>
    </row>
    <row r="58" spans="1:26" ht="12.75" customHeight="1">
      <c r="A58" s="502"/>
      <c r="B58" s="495"/>
      <c r="C58" s="495"/>
      <c r="D58" s="495"/>
      <c r="E58" s="495"/>
      <c r="F58" s="495"/>
      <c r="G58" s="495"/>
      <c r="H58" s="495"/>
      <c r="I58" s="495"/>
      <c r="J58" s="495"/>
      <c r="K58" s="495"/>
      <c r="L58" s="495"/>
      <c r="M58" s="495"/>
      <c r="N58" s="495"/>
      <c r="O58" s="495"/>
      <c r="P58" s="495"/>
      <c r="Q58" s="495"/>
      <c r="R58" s="495"/>
      <c r="S58" s="495"/>
      <c r="T58" s="495"/>
      <c r="U58" s="495"/>
      <c r="V58" s="495"/>
      <c r="W58" s="495"/>
      <c r="X58" s="495"/>
      <c r="Y58" s="495"/>
      <c r="Z58" s="495"/>
    </row>
    <row r="59" spans="1:26" ht="12.75" customHeight="1">
      <c r="A59" s="502"/>
      <c r="B59" s="495"/>
      <c r="C59" s="495"/>
      <c r="D59" s="495"/>
      <c r="E59" s="495"/>
      <c r="F59" s="495"/>
      <c r="G59" s="495"/>
      <c r="H59" s="495"/>
      <c r="I59" s="495"/>
      <c r="J59" s="495"/>
      <c r="K59" s="495"/>
      <c r="L59" s="495"/>
      <c r="M59" s="495"/>
      <c r="N59" s="495"/>
      <c r="O59" s="495"/>
      <c r="P59" s="495"/>
      <c r="Q59" s="495"/>
      <c r="R59" s="495"/>
      <c r="S59" s="495"/>
      <c r="T59" s="495"/>
      <c r="U59" s="495"/>
      <c r="V59" s="495"/>
      <c r="W59" s="495"/>
      <c r="X59" s="495"/>
      <c r="Y59" s="495"/>
      <c r="Z59" s="495"/>
    </row>
    <row r="60" spans="1:26" ht="12.75" customHeight="1">
      <c r="A60" s="502"/>
      <c r="B60" s="495"/>
      <c r="C60" s="495"/>
      <c r="D60" s="495"/>
      <c r="E60" s="495"/>
      <c r="F60" s="495"/>
      <c r="G60" s="495"/>
      <c r="H60" s="495"/>
      <c r="I60" s="495"/>
      <c r="J60" s="495"/>
      <c r="K60" s="495"/>
      <c r="L60" s="495"/>
      <c r="M60" s="495"/>
      <c r="N60" s="495"/>
      <c r="O60" s="495"/>
      <c r="P60" s="495"/>
      <c r="Q60" s="495"/>
      <c r="R60" s="495"/>
      <c r="S60" s="495"/>
      <c r="T60" s="495"/>
      <c r="U60" s="495"/>
      <c r="V60" s="495"/>
      <c r="W60" s="495"/>
      <c r="X60" s="495"/>
      <c r="Y60" s="495"/>
      <c r="Z60" s="495"/>
    </row>
    <row r="61" spans="1:26" ht="12.75" customHeight="1">
      <c r="A61" s="502"/>
      <c r="B61" s="495"/>
      <c r="C61" s="495"/>
      <c r="D61" s="495"/>
      <c r="E61" s="495"/>
      <c r="F61" s="495"/>
      <c r="G61" s="495"/>
      <c r="H61" s="495"/>
      <c r="I61" s="495"/>
      <c r="J61" s="495"/>
      <c r="K61" s="495"/>
      <c r="L61" s="495"/>
      <c r="M61" s="495"/>
      <c r="N61" s="495"/>
      <c r="O61" s="495"/>
      <c r="P61" s="495"/>
      <c r="Q61" s="495"/>
      <c r="R61" s="495"/>
      <c r="S61" s="495"/>
      <c r="T61" s="495"/>
      <c r="U61" s="495"/>
      <c r="V61" s="495"/>
      <c r="W61" s="495"/>
      <c r="X61" s="495"/>
      <c r="Y61" s="495"/>
      <c r="Z61" s="495"/>
    </row>
    <row r="62" spans="1:26" ht="12.75" customHeight="1">
      <c r="A62" s="502"/>
      <c r="B62" s="495"/>
      <c r="C62" s="495"/>
      <c r="D62" s="495"/>
      <c r="E62" s="495"/>
      <c r="F62" s="495"/>
      <c r="G62" s="495"/>
      <c r="H62" s="495"/>
      <c r="I62" s="495"/>
      <c r="J62" s="495"/>
      <c r="K62" s="495"/>
      <c r="L62" s="495"/>
      <c r="M62" s="495"/>
      <c r="N62" s="495"/>
      <c r="O62" s="495"/>
      <c r="P62" s="495"/>
      <c r="Q62" s="495"/>
      <c r="R62" s="495"/>
      <c r="S62" s="495"/>
      <c r="T62" s="495"/>
      <c r="U62" s="495"/>
      <c r="V62" s="495"/>
      <c r="W62" s="495"/>
      <c r="X62" s="495"/>
      <c r="Y62" s="495"/>
      <c r="Z62" s="495"/>
    </row>
    <row r="63" spans="1:26" ht="12.75" customHeight="1">
      <c r="A63" s="502"/>
      <c r="B63" s="495"/>
      <c r="C63" s="495"/>
      <c r="D63" s="495"/>
      <c r="E63" s="495"/>
      <c r="F63" s="495"/>
      <c r="G63" s="495"/>
      <c r="H63" s="495"/>
      <c r="I63" s="495"/>
      <c r="J63" s="495"/>
      <c r="K63" s="495"/>
      <c r="L63" s="495"/>
      <c r="M63" s="495"/>
      <c r="N63" s="495"/>
      <c r="O63" s="495"/>
      <c r="P63" s="495"/>
      <c r="Q63" s="495"/>
      <c r="R63" s="495"/>
      <c r="S63" s="495"/>
      <c r="T63" s="495"/>
      <c r="U63" s="495"/>
      <c r="V63" s="495"/>
      <c r="W63" s="495"/>
      <c r="X63" s="495"/>
      <c r="Y63" s="495"/>
      <c r="Z63" s="495"/>
    </row>
    <row r="64" spans="1:26" ht="12.75" customHeight="1">
      <c r="A64" s="502"/>
      <c r="B64" s="495"/>
      <c r="C64" s="495"/>
      <c r="D64" s="495"/>
      <c r="E64" s="495"/>
      <c r="F64" s="495"/>
      <c r="G64" s="495"/>
      <c r="H64" s="495"/>
      <c r="I64" s="495"/>
      <c r="J64" s="495"/>
      <c r="K64" s="495"/>
      <c r="L64" s="495"/>
      <c r="M64" s="495"/>
      <c r="N64" s="495"/>
      <c r="O64" s="495"/>
      <c r="P64" s="495"/>
      <c r="Q64" s="495"/>
      <c r="R64" s="495"/>
      <c r="S64" s="495"/>
      <c r="T64" s="495"/>
      <c r="U64" s="495"/>
      <c r="V64" s="495"/>
      <c r="W64" s="495"/>
      <c r="X64" s="495"/>
      <c r="Y64" s="495"/>
      <c r="Z64" s="495"/>
    </row>
    <row r="65" spans="1:26" ht="12.75" customHeight="1">
      <c r="A65" s="502"/>
      <c r="B65" s="495"/>
      <c r="C65" s="495"/>
      <c r="D65" s="495"/>
      <c r="E65" s="495"/>
      <c r="F65" s="495"/>
      <c r="G65" s="495"/>
      <c r="H65" s="495"/>
      <c r="I65" s="495"/>
      <c r="J65" s="495"/>
      <c r="K65" s="495"/>
      <c r="L65" s="495"/>
      <c r="M65" s="495"/>
      <c r="N65" s="495"/>
      <c r="O65" s="495"/>
      <c r="P65" s="495"/>
      <c r="Q65" s="495"/>
      <c r="R65" s="495"/>
      <c r="S65" s="495"/>
      <c r="T65" s="495"/>
      <c r="U65" s="495"/>
      <c r="V65" s="495"/>
      <c r="W65" s="495"/>
      <c r="X65" s="495"/>
      <c r="Y65" s="495"/>
      <c r="Z65" s="495"/>
    </row>
    <row r="66" spans="1:26" ht="12.75" customHeight="1">
      <c r="A66" s="502"/>
      <c r="B66" s="495"/>
      <c r="C66" s="495"/>
      <c r="D66" s="495"/>
      <c r="E66" s="495"/>
      <c r="F66" s="495"/>
      <c r="G66" s="495"/>
      <c r="H66" s="495"/>
      <c r="I66" s="495"/>
      <c r="J66" s="495"/>
      <c r="K66" s="495"/>
      <c r="L66" s="495"/>
      <c r="M66" s="495"/>
      <c r="N66" s="495"/>
      <c r="O66" s="495"/>
      <c r="P66" s="495"/>
      <c r="Q66" s="495"/>
      <c r="R66" s="495"/>
      <c r="S66" s="495"/>
      <c r="T66" s="495"/>
      <c r="U66" s="495"/>
      <c r="V66" s="495"/>
      <c r="W66" s="495"/>
      <c r="X66" s="495"/>
      <c r="Y66" s="495"/>
      <c r="Z66" s="495"/>
    </row>
    <row r="67" spans="1:26" ht="12.75" customHeight="1">
      <c r="A67" s="502"/>
      <c r="B67" s="495"/>
      <c r="C67" s="495"/>
      <c r="D67" s="495"/>
      <c r="E67" s="495"/>
      <c r="F67" s="495"/>
      <c r="G67" s="495"/>
      <c r="H67" s="495"/>
      <c r="I67" s="495"/>
      <c r="J67" s="495"/>
      <c r="K67" s="495"/>
      <c r="L67" s="495"/>
      <c r="M67" s="495"/>
      <c r="N67" s="495"/>
      <c r="O67" s="495"/>
      <c r="P67" s="495"/>
      <c r="Q67" s="495"/>
      <c r="R67" s="495"/>
      <c r="S67" s="495"/>
      <c r="T67" s="495"/>
      <c r="U67" s="495"/>
      <c r="V67" s="495"/>
      <c r="W67" s="495"/>
      <c r="X67" s="495"/>
      <c r="Y67" s="495"/>
      <c r="Z67" s="495"/>
    </row>
    <row r="68" spans="1:26" ht="12.75" customHeight="1">
      <c r="A68" s="502"/>
      <c r="B68" s="495"/>
      <c r="C68" s="495"/>
      <c r="D68" s="495"/>
      <c r="E68" s="495"/>
      <c r="F68" s="495"/>
      <c r="G68" s="495"/>
      <c r="H68" s="495"/>
      <c r="I68" s="495"/>
      <c r="J68" s="495"/>
      <c r="K68" s="495"/>
      <c r="L68" s="495"/>
      <c r="M68" s="495"/>
      <c r="N68" s="495"/>
      <c r="O68" s="495"/>
      <c r="P68" s="495"/>
      <c r="Q68" s="495"/>
      <c r="R68" s="495"/>
      <c r="S68" s="495"/>
      <c r="T68" s="495"/>
      <c r="U68" s="495"/>
      <c r="V68" s="495"/>
      <c r="W68" s="495"/>
      <c r="X68" s="495"/>
      <c r="Y68" s="495"/>
      <c r="Z68" s="495"/>
    </row>
    <row r="69" spans="1:26" ht="12.75" customHeight="1">
      <c r="A69" s="502"/>
      <c r="B69" s="495"/>
      <c r="C69" s="495"/>
      <c r="D69" s="495"/>
      <c r="E69" s="495"/>
      <c r="F69" s="495"/>
      <c r="G69" s="495"/>
      <c r="H69" s="495"/>
      <c r="I69" s="495"/>
      <c r="J69" s="495"/>
      <c r="K69" s="495"/>
      <c r="L69" s="495"/>
      <c r="M69" s="495"/>
      <c r="N69" s="495"/>
      <c r="O69" s="495"/>
      <c r="P69" s="495"/>
      <c r="Q69" s="495"/>
      <c r="R69" s="495"/>
      <c r="S69" s="495"/>
      <c r="T69" s="495"/>
      <c r="U69" s="495"/>
      <c r="V69" s="495"/>
      <c r="W69" s="495"/>
      <c r="X69" s="495"/>
      <c r="Y69" s="495"/>
      <c r="Z69" s="495"/>
    </row>
    <row r="70" spans="1:26" ht="12.75" customHeight="1">
      <c r="A70" s="502"/>
      <c r="B70" s="495"/>
      <c r="C70" s="495"/>
      <c r="D70" s="495"/>
      <c r="E70" s="495"/>
      <c r="F70" s="495"/>
      <c r="G70" s="495"/>
      <c r="H70" s="495"/>
      <c r="I70" s="495"/>
      <c r="J70" s="495"/>
      <c r="K70" s="495"/>
      <c r="L70" s="495"/>
      <c r="M70" s="495"/>
      <c r="N70" s="495"/>
      <c r="O70" s="495"/>
      <c r="P70" s="495"/>
      <c r="Q70" s="495"/>
      <c r="R70" s="495"/>
      <c r="S70" s="495"/>
      <c r="T70" s="495"/>
      <c r="U70" s="495"/>
      <c r="V70" s="495"/>
      <c r="W70" s="495"/>
      <c r="X70" s="495"/>
      <c r="Y70" s="495"/>
      <c r="Z70" s="495"/>
    </row>
    <row r="71" spans="1:26" ht="12.75" customHeight="1">
      <c r="A71" s="502"/>
      <c r="B71" s="495"/>
      <c r="C71" s="495"/>
      <c r="D71" s="495"/>
      <c r="E71" s="495"/>
      <c r="F71" s="495"/>
      <c r="G71" s="495"/>
      <c r="H71" s="495"/>
      <c r="I71" s="495"/>
      <c r="J71" s="495"/>
      <c r="K71" s="495"/>
      <c r="L71" s="495"/>
      <c r="M71" s="495"/>
      <c r="N71" s="495"/>
      <c r="O71" s="495"/>
      <c r="P71" s="495"/>
      <c r="Q71" s="495"/>
      <c r="R71" s="495"/>
      <c r="S71" s="495"/>
      <c r="T71" s="495"/>
      <c r="U71" s="495"/>
      <c r="V71" s="495"/>
      <c r="W71" s="495"/>
      <c r="X71" s="495"/>
      <c r="Y71" s="495"/>
      <c r="Z71" s="495"/>
    </row>
    <row r="72" spans="1:26" ht="12.75" customHeight="1">
      <c r="A72" s="502"/>
      <c r="B72" s="495"/>
      <c r="C72" s="495"/>
      <c r="D72" s="495"/>
      <c r="E72" s="495"/>
      <c r="F72" s="495"/>
      <c r="G72" s="495"/>
      <c r="H72" s="495"/>
      <c r="I72" s="495"/>
      <c r="J72" s="495"/>
      <c r="K72" s="495"/>
      <c r="L72" s="495"/>
      <c r="M72" s="495"/>
      <c r="N72" s="495"/>
      <c r="O72" s="495"/>
      <c r="P72" s="495"/>
      <c r="Q72" s="495"/>
      <c r="R72" s="495"/>
      <c r="S72" s="495"/>
      <c r="T72" s="495"/>
      <c r="U72" s="495"/>
      <c r="V72" s="495"/>
      <c r="W72" s="495"/>
      <c r="X72" s="495"/>
      <c r="Y72" s="495"/>
      <c r="Z72" s="495"/>
    </row>
    <row r="73" spans="1:26" ht="12.75" customHeight="1">
      <c r="A73" s="502"/>
      <c r="B73" s="495"/>
      <c r="C73" s="495"/>
      <c r="D73" s="495"/>
      <c r="E73" s="495"/>
      <c r="F73" s="495"/>
      <c r="G73" s="495"/>
      <c r="H73" s="495"/>
      <c r="I73" s="495"/>
      <c r="J73" s="495"/>
      <c r="K73" s="495"/>
      <c r="L73" s="495"/>
      <c r="M73" s="495"/>
      <c r="N73" s="495"/>
      <c r="O73" s="495"/>
      <c r="P73" s="495"/>
      <c r="Q73" s="495"/>
      <c r="R73" s="495"/>
      <c r="S73" s="495"/>
      <c r="T73" s="495"/>
      <c r="U73" s="495"/>
      <c r="V73" s="495"/>
      <c r="W73" s="495"/>
      <c r="X73" s="495"/>
      <c r="Y73" s="495"/>
      <c r="Z73" s="495"/>
    </row>
    <row r="74" spans="1:26" ht="12.75" customHeight="1">
      <c r="A74" s="502"/>
      <c r="B74" s="495"/>
      <c r="C74" s="495"/>
      <c r="D74" s="495"/>
      <c r="E74" s="495"/>
      <c r="F74" s="495"/>
      <c r="G74" s="495"/>
      <c r="H74" s="495"/>
      <c r="I74" s="495"/>
      <c r="J74" s="495"/>
      <c r="K74" s="495"/>
      <c r="L74" s="495"/>
      <c r="M74" s="495"/>
      <c r="N74" s="495"/>
      <c r="O74" s="495"/>
      <c r="P74" s="495"/>
      <c r="Q74" s="495"/>
      <c r="R74" s="495"/>
      <c r="S74" s="495"/>
      <c r="T74" s="495"/>
      <c r="U74" s="495"/>
      <c r="V74" s="495"/>
      <c r="W74" s="495"/>
      <c r="X74" s="495"/>
      <c r="Y74" s="495"/>
      <c r="Z74" s="495"/>
    </row>
    <row r="75" spans="1:26" ht="12.75" customHeight="1">
      <c r="A75" s="502"/>
      <c r="B75" s="495"/>
      <c r="C75" s="495"/>
      <c r="D75" s="495"/>
      <c r="E75" s="495"/>
      <c r="F75" s="495"/>
      <c r="G75" s="495"/>
      <c r="H75" s="495"/>
      <c r="I75" s="495"/>
      <c r="J75" s="495"/>
      <c r="K75" s="495"/>
      <c r="L75" s="495"/>
      <c r="M75" s="495"/>
      <c r="N75" s="495"/>
      <c r="O75" s="495"/>
      <c r="P75" s="495"/>
      <c r="Q75" s="495"/>
      <c r="R75" s="495"/>
      <c r="S75" s="495"/>
      <c r="T75" s="495"/>
      <c r="U75" s="495"/>
      <c r="V75" s="495"/>
      <c r="W75" s="495"/>
      <c r="X75" s="495"/>
      <c r="Y75" s="495"/>
      <c r="Z75" s="495"/>
    </row>
    <row r="76" spans="1:26" ht="12.75" customHeight="1">
      <c r="A76" s="502"/>
      <c r="B76" s="495"/>
      <c r="C76" s="495"/>
      <c r="D76" s="495"/>
      <c r="E76" s="495"/>
      <c r="F76" s="495"/>
      <c r="G76" s="495"/>
      <c r="H76" s="495"/>
      <c r="I76" s="495"/>
      <c r="J76" s="495"/>
      <c r="K76" s="495"/>
      <c r="L76" s="495"/>
      <c r="M76" s="495"/>
      <c r="N76" s="495"/>
      <c r="O76" s="495"/>
      <c r="P76" s="495"/>
      <c r="Q76" s="495"/>
      <c r="R76" s="495"/>
      <c r="S76" s="495"/>
      <c r="T76" s="495"/>
      <c r="U76" s="495"/>
      <c r="V76" s="495"/>
      <c r="W76" s="495"/>
      <c r="X76" s="495"/>
      <c r="Y76" s="495"/>
      <c r="Z76" s="495"/>
    </row>
    <row r="77" spans="1:26" ht="12.75" customHeight="1">
      <c r="A77" s="502"/>
      <c r="B77" s="495"/>
      <c r="C77" s="495"/>
      <c r="D77" s="495"/>
      <c r="E77" s="495"/>
      <c r="F77" s="495"/>
      <c r="G77" s="495"/>
      <c r="H77" s="495"/>
      <c r="I77" s="495"/>
      <c r="J77" s="495"/>
      <c r="K77" s="495"/>
      <c r="L77" s="495"/>
      <c r="M77" s="495"/>
      <c r="N77" s="495"/>
      <c r="O77" s="495"/>
      <c r="P77" s="495"/>
      <c r="Q77" s="495"/>
      <c r="R77" s="495"/>
      <c r="S77" s="495"/>
      <c r="T77" s="495"/>
      <c r="U77" s="495"/>
      <c r="V77" s="495"/>
      <c r="W77" s="495"/>
      <c r="X77" s="495"/>
      <c r="Y77" s="495"/>
      <c r="Z77" s="495"/>
    </row>
    <row r="78" spans="1:26" ht="12.75" customHeight="1">
      <c r="A78" s="502"/>
      <c r="B78" s="495"/>
      <c r="C78" s="495"/>
      <c r="D78" s="495"/>
      <c r="E78" s="495"/>
      <c r="F78" s="495"/>
      <c r="G78" s="495"/>
      <c r="H78" s="495"/>
      <c r="I78" s="495"/>
      <c r="J78" s="495"/>
      <c r="K78" s="495"/>
      <c r="L78" s="495"/>
      <c r="M78" s="495"/>
      <c r="N78" s="495"/>
      <c r="O78" s="495"/>
      <c r="P78" s="495"/>
      <c r="Q78" s="495"/>
      <c r="R78" s="495"/>
      <c r="S78" s="495"/>
      <c r="T78" s="495"/>
      <c r="U78" s="495"/>
      <c r="V78" s="495"/>
      <c r="W78" s="495"/>
      <c r="X78" s="495"/>
      <c r="Y78" s="495"/>
      <c r="Z78" s="495"/>
    </row>
    <row r="79" spans="1:26" ht="12.75" customHeight="1">
      <c r="A79" s="502"/>
      <c r="B79" s="495"/>
      <c r="C79" s="495"/>
      <c r="D79" s="495"/>
      <c r="E79" s="495"/>
      <c r="F79" s="495"/>
      <c r="G79" s="495"/>
      <c r="H79" s="495"/>
      <c r="I79" s="495"/>
      <c r="J79" s="495"/>
      <c r="K79" s="495"/>
      <c r="L79" s="495"/>
      <c r="M79" s="495"/>
      <c r="N79" s="495"/>
      <c r="O79" s="495"/>
      <c r="P79" s="495"/>
      <c r="Q79" s="495"/>
      <c r="R79" s="495"/>
      <c r="S79" s="495"/>
      <c r="T79" s="495"/>
      <c r="U79" s="495"/>
      <c r="V79" s="495"/>
      <c r="W79" s="495"/>
      <c r="X79" s="495"/>
      <c r="Y79" s="495"/>
      <c r="Z79" s="495"/>
    </row>
    <row r="80" spans="1:26" ht="12.75" customHeight="1">
      <c r="A80" s="502"/>
      <c r="B80" s="495"/>
      <c r="C80" s="495"/>
      <c r="D80" s="495"/>
      <c r="E80" s="495"/>
      <c r="F80" s="495"/>
      <c r="G80" s="495"/>
      <c r="H80" s="495"/>
      <c r="I80" s="495"/>
      <c r="J80" s="495"/>
      <c r="K80" s="495"/>
      <c r="L80" s="495"/>
      <c r="M80" s="495"/>
      <c r="N80" s="495"/>
      <c r="O80" s="495"/>
      <c r="P80" s="495"/>
      <c r="Q80" s="495"/>
      <c r="R80" s="495"/>
      <c r="S80" s="495"/>
      <c r="T80" s="495"/>
      <c r="U80" s="495"/>
      <c r="V80" s="495"/>
      <c r="W80" s="495"/>
      <c r="X80" s="495"/>
      <c r="Y80" s="495"/>
      <c r="Z80" s="495"/>
    </row>
    <row r="81" spans="1:26" ht="12.75" customHeight="1">
      <c r="A81" s="502"/>
      <c r="B81" s="495"/>
      <c r="C81" s="495"/>
      <c r="D81" s="495"/>
      <c r="E81" s="495"/>
      <c r="F81" s="495"/>
      <c r="G81" s="495"/>
      <c r="H81" s="495"/>
      <c r="I81" s="495"/>
      <c r="J81" s="495"/>
      <c r="K81" s="495"/>
      <c r="L81" s="495"/>
      <c r="M81" s="495"/>
      <c r="N81" s="495"/>
      <c r="O81" s="495"/>
      <c r="P81" s="495"/>
      <c r="Q81" s="495"/>
      <c r="R81" s="495"/>
      <c r="S81" s="495"/>
      <c r="T81" s="495"/>
      <c r="U81" s="495"/>
      <c r="V81" s="495"/>
      <c r="W81" s="495"/>
      <c r="X81" s="495"/>
      <c r="Y81" s="495"/>
      <c r="Z81" s="495"/>
    </row>
    <row r="82" spans="1:26" ht="12.75" customHeight="1">
      <c r="A82" s="502"/>
      <c r="B82" s="495"/>
      <c r="C82" s="495"/>
      <c r="D82" s="495"/>
      <c r="E82" s="495"/>
      <c r="F82" s="495"/>
      <c r="G82" s="495"/>
      <c r="H82" s="495"/>
      <c r="I82" s="495"/>
      <c r="J82" s="495"/>
      <c r="K82" s="495"/>
      <c r="L82" s="495"/>
      <c r="M82" s="495"/>
      <c r="N82" s="495"/>
      <c r="O82" s="495"/>
      <c r="P82" s="495"/>
      <c r="Q82" s="495"/>
      <c r="R82" s="495"/>
      <c r="S82" s="495"/>
      <c r="T82" s="495"/>
      <c r="U82" s="495"/>
      <c r="V82" s="495"/>
      <c r="W82" s="495"/>
      <c r="X82" s="495"/>
      <c r="Y82" s="495"/>
      <c r="Z82" s="495"/>
    </row>
    <row r="83" spans="1:26" ht="12.75" customHeight="1">
      <c r="A83" s="502"/>
      <c r="B83" s="495"/>
      <c r="C83" s="495"/>
      <c r="D83" s="495"/>
      <c r="E83" s="495"/>
      <c r="F83" s="495"/>
      <c r="G83" s="495"/>
      <c r="H83" s="495"/>
      <c r="I83" s="495"/>
      <c r="J83" s="495"/>
      <c r="K83" s="495"/>
      <c r="L83" s="495"/>
      <c r="M83" s="495"/>
      <c r="N83" s="495"/>
      <c r="O83" s="495"/>
      <c r="P83" s="495"/>
      <c r="Q83" s="495"/>
      <c r="R83" s="495"/>
      <c r="S83" s="495"/>
      <c r="T83" s="495"/>
      <c r="U83" s="495"/>
      <c r="V83" s="495"/>
      <c r="W83" s="495"/>
      <c r="X83" s="495"/>
      <c r="Y83" s="495"/>
      <c r="Z83" s="495"/>
    </row>
    <row r="84" spans="1:26" ht="12.75" customHeight="1">
      <c r="A84" s="502"/>
      <c r="B84" s="495"/>
      <c r="C84" s="495"/>
      <c r="D84" s="495"/>
      <c r="E84" s="495"/>
      <c r="F84" s="495"/>
      <c r="G84" s="495"/>
      <c r="H84" s="495"/>
      <c r="I84" s="495"/>
      <c r="J84" s="495"/>
      <c r="K84" s="495"/>
      <c r="L84" s="495"/>
      <c r="M84" s="495"/>
      <c r="N84" s="495"/>
      <c r="O84" s="495"/>
      <c r="P84" s="495"/>
      <c r="Q84" s="495"/>
      <c r="R84" s="495"/>
      <c r="S84" s="495"/>
      <c r="T84" s="495"/>
      <c r="U84" s="495"/>
      <c r="V84" s="495"/>
      <c r="W84" s="495"/>
      <c r="X84" s="495"/>
      <c r="Y84" s="495"/>
      <c r="Z84" s="495"/>
    </row>
    <row r="85" spans="1:26" ht="12.75" customHeight="1">
      <c r="A85" s="502"/>
      <c r="B85" s="495"/>
      <c r="C85" s="495"/>
      <c r="D85" s="495"/>
      <c r="E85" s="495"/>
      <c r="F85" s="495"/>
      <c r="G85" s="495"/>
      <c r="H85" s="495"/>
      <c r="I85" s="495"/>
      <c r="J85" s="495"/>
      <c r="K85" s="495"/>
      <c r="L85" s="495"/>
      <c r="M85" s="495"/>
      <c r="N85" s="495"/>
      <c r="O85" s="495"/>
      <c r="P85" s="495"/>
      <c r="Q85" s="495"/>
      <c r="R85" s="495"/>
      <c r="S85" s="495"/>
      <c r="T85" s="495"/>
      <c r="U85" s="495"/>
      <c r="V85" s="495"/>
      <c r="W85" s="495"/>
      <c r="X85" s="495"/>
      <c r="Y85" s="495"/>
      <c r="Z85" s="495"/>
    </row>
    <row r="86" spans="1:26" ht="12.75" customHeight="1">
      <c r="A86" s="502"/>
      <c r="B86" s="495"/>
      <c r="C86" s="495"/>
      <c r="D86" s="495"/>
      <c r="E86" s="495"/>
      <c r="F86" s="495"/>
      <c r="G86" s="495"/>
      <c r="H86" s="495"/>
      <c r="I86" s="495"/>
      <c r="J86" s="495"/>
      <c r="K86" s="495"/>
      <c r="L86" s="495"/>
      <c r="M86" s="495"/>
      <c r="N86" s="495"/>
      <c r="O86" s="495"/>
      <c r="P86" s="495"/>
      <c r="Q86" s="495"/>
      <c r="R86" s="495"/>
      <c r="S86" s="495"/>
      <c r="T86" s="495"/>
      <c r="U86" s="495"/>
      <c r="V86" s="495"/>
      <c r="W86" s="495"/>
      <c r="X86" s="495"/>
      <c r="Y86" s="495"/>
      <c r="Z86" s="495"/>
    </row>
    <row r="87" spans="1:26" ht="12.75" customHeight="1">
      <c r="A87" s="502"/>
      <c r="B87" s="495"/>
      <c r="C87" s="495"/>
      <c r="D87" s="495"/>
      <c r="E87" s="495"/>
      <c r="F87" s="495"/>
      <c r="G87" s="495"/>
      <c r="H87" s="495"/>
      <c r="I87" s="495"/>
      <c r="J87" s="495"/>
      <c r="K87" s="495"/>
      <c r="L87" s="495"/>
      <c r="M87" s="495"/>
      <c r="N87" s="495"/>
      <c r="O87" s="495"/>
      <c r="P87" s="495"/>
      <c r="Q87" s="495"/>
      <c r="R87" s="495"/>
      <c r="S87" s="495"/>
      <c r="T87" s="495"/>
      <c r="U87" s="495"/>
      <c r="V87" s="495"/>
      <c r="W87" s="495"/>
      <c r="X87" s="495"/>
      <c r="Y87" s="495"/>
      <c r="Z87" s="495"/>
    </row>
    <row r="88" spans="1:26" ht="12.75" customHeight="1">
      <c r="A88" s="502"/>
      <c r="B88" s="495"/>
      <c r="C88" s="495"/>
      <c r="D88" s="495"/>
      <c r="E88" s="495"/>
      <c r="F88" s="495"/>
      <c r="G88" s="495"/>
      <c r="H88" s="495"/>
      <c r="I88" s="495"/>
      <c r="J88" s="495"/>
      <c r="K88" s="495"/>
      <c r="L88" s="495"/>
      <c r="M88" s="495"/>
      <c r="N88" s="495"/>
      <c r="O88" s="495"/>
      <c r="P88" s="495"/>
      <c r="Q88" s="495"/>
      <c r="R88" s="495"/>
      <c r="S88" s="495"/>
      <c r="T88" s="495"/>
      <c r="U88" s="495"/>
      <c r="V88" s="495"/>
      <c r="W88" s="495"/>
      <c r="X88" s="495"/>
      <c r="Y88" s="495"/>
      <c r="Z88" s="495"/>
    </row>
    <row r="89" spans="1:26" ht="12.75" customHeight="1">
      <c r="A89" s="502"/>
      <c r="B89" s="495"/>
      <c r="C89" s="495"/>
      <c r="D89" s="495"/>
      <c r="E89" s="495"/>
      <c r="F89" s="495"/>
      <c r="G89" s="495"/>
      <c r="H89" s="495"/>
      <c r="I89" s="495"/>
      <c r="J89" s="495"/>
      <c r="K89" s="495"/>
      <c r="L89" s="495"/>
      <c r="M89" s="495"/>
      <c r="N89" s="495"/>
      <c r="O89" s="495"/>
      <c r="P89" s="495"/>
      <c r="Q89" s="495"/>
      <c r="R89" s="495"/>
      <c r="S89" s="495"/>
      <c r="T89" s="495"/>
      <c r="U89" s="495"/>
      <c r="V89" s="495"/>
      <c r="W89" s="495"/>
      <c r="X89" s="495"/>
      <c r="Y89" s="495"/>
      <c r="Z89" s="495"/>
    </row>
    <row r="90" spans="1:26" ht="12.75" customHeight="1">
      <c r="A90" s="502"/>
      <c r="B90" s="495"/>
      <c r="C90" s="495"/>
      <c r="D90" s="495"/>
      <c r="E90" s="495"/>
      <c r="F90" s="495"/>
      <c r="G90" s="495"/>
      <c r="H90" s="495"/>
      <c r="I90" s="495"/>
      <c r="J90" s="495"/>
      <c r="K90" s="495"/>
      <c r="L90" s="495"/>
      <c r="M90" s="495"/>
      <c r="N90" s="495"/>
      <c r="O90" s="495"/>
      <c r="P90" s="495"/>
      <c r="Q90" s="495"/>
      <c r="R90" s="495"/>
      <c r="S90" s="495"/>
      <c r="T90" s="495"/>
      <c r="U90" s="495"/>
      <c r="V90" s="495"/>
      <c r="W90" s="495"/>
      <c r="X90" s="495"/>
      <c r="Y90" s="495"/>
      <c r="Z90" s="495"/>
    </row>
    <row r="91" spans="1:26" ht="12.75" customHeight="1">
      <c r="A91" s="502"/>
      <c r="B91" s="495"/>
      <c r="C91" s="495"/>
      <c r="D91" s="495"/>
      <c r="E91" s="495"/>
      <c r="F91" s="495"/>
      <c r="G91" s="495"/>
      <c r="H91" s="495"/>
      <c r="I91" s="495"/>
      <c r="J91" s="495"/>
      <c r="K91" s="495"/>
      <c r="L91" s="495"/>
      <c r="M91" s="495"/>
      <c r="N91" s="495"/>
      <c r="O91" s="495"/>
      <c r="P91" s="495"/>
      <c r="Q91" s="495"/>
      <c r="R91" s="495"/>
      <c r="S91" s="495"/>
      <c r="T91" s="495"/>
      <c r="U91" s="495"/>
      <c r="V91" s="495"/>
      <c r="W91" s="495"/>
      <c r="X91" s="495"/>
      <c r="Y91" s="495"/>
      <c r="Z91" s="495"/>
    </row>
    <row r="92" spans="1:26" ht="12.75" customHeight="1">
      <c r="A92" s="502"/>
      <c r="B92" s="495"/>
      <c r="C92" s="495"/>
      <c r="D92" s="495"/>
      <c r="E92" s="495"/>
      <c r="F92" s="495"/>
      <c r="G92" s="495"/>
      <c r="H92" s="495"/>
      <c r="I92" s="495"/>
      <c r="J92" s="495"/>
      <c r="K92" s="495"/>
      <c r="L92" s="495"/>
      <c r="M92" s="495"/>
      <c r="N92" s="495"/>
      <c r="O92" s="495"/>
      <c r="P92" s="495"/>
      <c r="Q92" s="495"/>
      <c r="R92" s="495"/>
      <c r="S92" s="495"/>
      <c r="T92" s="495"/>
      <c r="U92" s="495"/>
      <c r="V92" s="495"/>
      <c r="W92" s="495"/>
      <c r="X92" s="495"/>
      <c r="Y92" s="495"/>
      <c r="Z92" s="495"/>
    </row>
    <row r="93" spans="1:26" ht="12.75" customHeight="1">
      <c r="A93" s="502"/>
      <c r="B93" s="495"/>
      <c r="C93" s="495"/>
      <c r="D93" s="495"/>
      <c r="E93" s="495"/>
      <c r="F93" s="495"/>
      <c r="G93" s="495"/>
      <c r="H93" s="495"/>
      <c r="I93" s="495"/>
      <c r="J93" s="495"/>
      <c r="K93" s="495"/>
      <c r="L93" s="495"/>
      <c r="M93" s="495"/>
      <c r="N93" s="495"/>
      <c r="O93" s="495"/>
      <c r="P93" s="495"/>
      <c r="Q93" s="495"/>
      <c r="R93" s="495"/>
      <c r="S93" s="495"/>
      <c r="T93" s="495"/>
      <c r="U93" s="495"/>
      <c r="V93" s="495"/>
      <c r="W93" s="495"/>
      <c r="X93" s="495"/>
      <c r="Y93" s="495"/>
      <c r="Z93" s="495"/>
    </row>
    <row r="94" spans="1:26" ht="12.75" customHeight="1">
      <c r="A94" s="502"/>
      <c r="B94" s="495"/>
      <c r="C94" s="495"/>
      <c r="D94" s="495"/>
      <c r="E94" s="495"/>
      <c r="F94" s="495"/>
      <c r="G94" s="495"/>
      <c r="H94" s="495"/>
      <c r="I94" s="495"/>
      <c r="J94" s="495"/>
      <c r="K94" s="495"/>
      <c r="L94" s="495"/>
      <c r="M94" s="495"/>
      <c r="N94" s="495"/>
      <c r="O94" s="495"/>
      <c r="P94" s="495"/>
      <c r="Q94" s="495"/>
      <c r="R94" s="495"/>
      <c r="S94" s="495"/>
      <c r="T94" s="495"/>
      <c r="U94" s="495"/>
      <c r="V94" s="495"/>
      <c r="W94" s="495"/>
      <c r="X94" s="495"/>
      <c r="Y94" s="495"/>
      <c r="Z94" s="495"/>
    </row>
    <row r="95" spans="1:26" ht="12.75" customHeight="1">
      <c r="A95" s="502"/>
      <c r="B95" s="495"/>
      <c r="C95" s="495"/>
      <c r="D95" s="495"/>
      <c r="E95" s="495"/>
      <c r="F95" s="495"/>
      <c r="G95" s="495"/>
      <c r="H95" s="495"/>
      <c r="I95" s="495"/>
      <c r="J95" s="495"/>
      <c r="K95" s="495"/>
      <c r="L95" s="495"/>
      <c r="M95" s="495"/>
      <c r="N95" s="495"/>
      <c r="O95" s="495"/>
      <c r="P95" s="495"/>
      <c r="Q95" s="495"/>
      <c r="R95" s="495"/>
      <c r="S95" s="495"/>
      <c r="T95" s="495"/>
      <c r="U95" s="495"/>
      <c r="V95" s="495"/>
      <c r="W95" s="495"/>
      <c r="X95" s="495"/>
      <c r="Y95" s="495"/>
      <c r="Z95" s="495"/>
    </row>
    <row r="96" spans="1:26" ht="12.75" customHeight="1">
      <c r="A96" s="502"/>
      <c r="B96" s="495"/>
      <c r="C96" s="495"/>
      <c r="D96" s="495"/>
      <c r="E96" s="495"/>
      <c r="F96" s="495"/>
      <c r="G96" s="495"/>
      <c r="H96" s="495"/>
      <c r="I96" s="495"/>
      <c r="J96" s="495"/>
      <c r="K96" s="495"/>
      <c r="L96" s="495"/>
      <c r="M96" s="495"/>
      <c r="N96" s="495"/>
      <c r="O96" s="495"/>
      <c r="P96" s="495"/>
      <c r="Q96" s="495"/>
      <c r="R96" s="495"/>
      <c r="S96" s="495"/>
      <c r="T96" s="495"/>
      <c r="U96" s="495"/>
      <c r="V96" s="495"/>
      <c r="W96" s="495"/>
      <c r="X96" s="495"/>
      <c r="Y96" s="495"/>
      <c r="Z96" s="495"/>
    </row>
    <row r="97" spans="1:26" ht="12.75" customHeight="1">
      <c r="A97" s="502"/>
      <c r="B97" s="495"/>
      <c r="C97" s="495"/>
      <c r="D97" s="495"/>
      <c r="E97" s="495"/>
      <c r="F97" s="495"/>
      <c r="G97" s="495"/>
      <c r="H97" s="495"/>
      <c r="I97" s="495"/>
      <c r="J97" s="495"/>
      <c r="K97" s="495"/>
      <c r="L97" s="495"/>
      <c r="M97" s="495"/>
      <c r="N97" s="495"/>
      <c r="O97" s="495"/>
      <c r="P97" s="495"/>
      <c r="Q97" s="495"/>
      <c r="R97" s="495"/>
      <c r="S97" s="495"/>
      <c r="T97" s="495"/>
      <c r="U97" s="495"/>
      <c r="V97" s="495"/>
      <c r="W97" s="495"/>
      <c r="X97" s="495"/>
      <c r="Y97" s="495"/>
      <c r="Z97" s="495"/>
    </row>
    <row r="98" spans="1:26" ht="12.75" customHeight="1">
      <c r="A98" s="502"/>
      <c r="B98" s="495"/>
      <c r="C98" s="495"/>
      <c r="D98" s="495"/>
      <c r="E98" s="495"/>
      <c r="F98" s="495"/>
      <c r="G98" s="495"/>
      <c r="H98" s="495"/>
      <c r="I98" s="495"/>
      <c r="J98" s="495"/>
      <c r="K98" s="495"/>
      <c r="L98" s="495"/>
      <c r="M98" s="495"/>
      <c r="N98" s="495"/>
      <c r="O98" s="495"/>
      <c r="P98" s="495"/>
      <c r="Q98" s="495"/>
      <c r="R98" s="495"/>
      <c r="S98" s="495"/>
      <c r="T98" s="495"/>
      <c r="U98" s="495"/>
      <c r="V98" s="495"/>
      <c r="W98" s="495"/>
      <c r="X98" s="495"/>
      <c r="Y98" s="495"/>
      <c r="Z98" s="495"/>
    </row>
    <row r="99" spans="1:26" ht="12.75" customHeight="1">
      <c r="A99" s="502"/>
      <c r="B99" s="495"/>
      <c r="C99" s="495"/>
      <c r="D99" s="495"/>
      <c r="E99" s="495"/>
      <c r="F99" s="495"/>
      <c r="G99" s="495"/>
      <c r="H99" s="495"/>
      <c r="I99" s="495"/>
      <c r="J99" s="495"/>
      <c r="K99" s="495"/>
      <c r="L99" s="495"/>
      <c r="M99" s="495"/>
      <c r="N99" s="495"/>
      <c r="O99" s="495"/>
      <c r="P99" s="495"/>
      <c r="Q99" s="495"/>
      <c r="R99" s="495"/>
      <c r="S99" s="495"/>
      <c r="T99" s="495"/>
      <c r="U99" s="495"/>
      <c r="V99" s="495"/>
      <c r="W99" s="495"/>
      <c r="X99" s="495"/>
      <c r="Y99" s="495"/>
      <c r="Z99" s="495"/>
    </row>
    <row r="100" spans="1:26" ht="12.75" customHeight="1">
      <c r="A100" s="502"/>
      <c r="B100" s="495"/>
      <c r="C100" s="495"/>
      <c r="D100" s="495"/>
      <c r="E100" s="495"/>
      <c r="F100" s="495"/>
      <c r="G100" s="495"/>
      <c r="H100" s="495"/>
      <c r="I100" s="495"/>
      <c r="J100" s="495"/>
      <c r="K100" s="495"/>
      <c r="L100" s="495"/>
      <c r="M100" s="495"/>
      <c r="N100" s="495"/>
      <c r="O100" s="495"/>
      <c r="P100" s="495"/>
      <c r="Q100" s="495"/>
      <c r="R100" s="495"/>
      <c r="S100" s="495"/>
      <c r="T100" s="495"/>
      <c r="U100" s="495"/>
      <c r="V100" s="495"/>
      <c r="W100" s="495"/>
      <c r="X100" s="495"/>
      <c r="Y100" s="495"/>
      <c r="Z100" s="495"/>
    </row>
  </sheetData>
  <mergeCells count="8">
    <mergeCell ref="F18:F19"/>
    <mergeCell ref="A10:A20"/>
    <mergeCell ref="C11:C16"/>
    <mergeCell ref="D11:D16"/>
    <mergeCell ref="E11:E17"/>
    <mergeCell ref="C18:C19"/>
    <mergeCell ref="D18:D19"/>
    <mergeCell ref="E18:E19"/>
  </mergeCells>
  <pageMargins left="0.25" right="0.25" top="0.75" bottom="0.75" header="0" footer="0"/>
  <pageSetup fitToHeight="0" orientation="landscape"/>
  <headerFooter>
    <oddFooter>&amp;L000000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GLOSARIO</vt:lpstr>
      <vt:lpstr>IDENTIFICACIÓN</vt:lpstr>
      <vt:lpstr>EQUIPO DE TRABAJO</vt:lpstr>
      <vt:lpstr>ASPECTOS ADMINISTRATIVOS</vt:lpstr>
      <vt:lpstr>ASPECTOS DE FUNCIÓN ARCHIVÍSTIC</vt:lpstr>
      <vt:lpstr>ASPECTOS DE PRESERVACIÓN</vt:lpstr>
      <vt:lpstr>Aspectos Archivísticos</vt:lpstr>
      <vt:lpstr>Medición Puntual ML</vt:lpstr>
      <vt:lpstr>Aspectos Conservación</vt:lpstr>
      <vt:lpstr>Aspectos Conservación (5%)</vt:lpstr>
      <vt:lpstr>Apectos Archivísticos (5%)</vt:lpstr>
      <vt:lpstr>Datos</vt:lpstr>
      <vt:lpstr>Gráficas</vt:lpstr>
      <vt:lpstr>Matriz DOFA</vt:lpstr>
      <vt:lpstr>Matriz Mejora y Ruta Acción</vt:lpstr>
      <vt:lpstr>'Aspectos Archivísticos'!Z_22FD451E_BB62_4A8F_A583_65268F369E9B_.wvu.Rows</vt:lpstr>
      <vt:lpstr>'Aspectos Conservación'!Z_22FD451E_BB62_4A8F_A583_65268F369E9B_.wvu.Rows</vt:lpstr>
      <vt:lpstr>'Aspectos Archivísticos'!Z_E0F33300_A76B_4CE9_8DE2_798643301373_.wvu.Rows</vt:lpstr>
      <vt:lpstr>'Aspectos Conservación'!Z_E0F33300_A76B_4CE9_8DE2_798643301373_.wvu.Rows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USUARIO</cp:lastModifiedBy>
  <cp:lastPrinted>2018-02-24T20:31:12Z</cp:lastPrinted>
  <dcterms:created xsi:type="dcterms:W3CDTF">2012-11-29T15:25:28Z</dcterms:created>
  <dcterms:modified xsi:type="dcterms:W3CDTF">2022-02-17T20:19:07Z</dcterms:modified>
</cp:coreProperties>
</file>